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2D848CA-3391-4A09-86BA-E8598F8203E2}" xr6:coauthVersionLast="47" xr6:coauthVersionMax="47" xr10:uidLastSave="{00000000-0000-0000-0000-000000000000}"/>
  <bookViews>
    <workbookView xWindow="-110" yWindow="-110" windowWidth="19420" windowHeight="10420" tabRatio="890" firstSheet="1" activeTab="12" xr2:uid="{00000000-000D-0000-FFFF-FFFF00000000}"/>
  </bookViews>
  <sheets>
    <sheet name="التامين الصحى" sheetId="1" state="hidden" r:id="rId1"/>
    <sheet name="بنتكام" sheetId="2" r:id="rId2"/>
    <sheet name="فحوصات الاشاعات " sheetId="3" state="hidden" r:id="rId3"/>
    <sheet name="عدسات" sheetId="4" state="hidden" r:id="rId4"/>
    <sheet name="كشوفات" sheetId="6" state="hidden" r:id="rId5"/>
    <sheet name="مسح العدسه" sheetId="7" state="hidden" r:id="rId6"/>
    <sheet name="ارجون" sheetId="8" state="hidden" r:id="rId7"/>
    <sheet name="احصائيه" sheetId="9" state="hidden" r:id="rId8"/>
    <sheet name="كشف فري" sheetId="10" state="hidden" r:id="rId9"/>
    <sheet name="ورقة1" sheetId="11" state="hidden" r:id="rId10"/>
    <sheet name="اشاعات" sheetId="12" r:id="rId11"/>
    <sheet name="عمليات" sheetId="14" r:id="rId12"/>
    <sheet name="كشف" sheetId="13" r:id="rId13"/>
  </sheets>
  <definedNames>
    <definedName name="_xlnm._FilterDatabase" localSheetId="0" hidden="1">'التامين الصحى'!$A$5:$I$416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4" l="1"/>
  <c r="M3" i="14" s="1"/>
  <c r="L4" i="14"/>
  <c r="M4" i="14" s="1"/>
  <c r="L5" i="14"/>
  <c r="M5" i="14" s="1"/>
  <c r="L6" i="14"/>
  <c r="M6" i="14" s="1"/>
  <c r="L7" i="14"/>
  <c r="M7" i="14" s="1"/>
  <c r="L8" i="14"/>
  <c r="M8" i="14" s="1"/>
  <c r="L9" i="14"/>
  <c r="M9" i="14" s="1"/>
  <c r="L10" i="14"/>
  <c r="L11" i="14"/>
  <c r="M11" i="14" s="1"/>
  <c r="N11" i="14" s="1"/>
  <c r="L12" i="14"/>
  <c r="M12" i="14" s="1"/>
  <c r="L13" i="14"/>
  <c r="M13" i="14" s="1"/>
  <c r="L14" i="14"/>
  <c r="L15" i="14"/>
  <c r="M15" i="14" s="1"/>
  <c r="L16" i="14"/>
  <c r="M16" i="14" s="1"/>
  <c r="L17" i="14"/>
  <c r="M17" i="14" s="1"/>
  <c r="L18" i="14"/>
  <c r="L19" i="14"/>
  <c r="M19" i="14" s="1"/>
  <c r="L20" i="14"/>
  <c r="M20" i="14" s="1"/>
  <c r="L21" i="14"/>
  <c r="M21" i="14" s="1"/>
  <c r="L22" i="14"/>
  <c r="L23" i="14"/>
  <c r="M23" i="14" s="1"/>
  <c r="L24" i="14"/>
  <c r="M24" i="14" s="1"/>
  <c r="L25" i="14"/>
  <c r="M25" i="14" s="1"/>
  <c r="L27" i="14"/>
  <c r="L28" i="14"/>
  <c r="M28" i="14" s="1"/>
  <c r="L29" i="14"/>
  <c r="M29" i="14" s="1"/>
  <c r="L31" i="14"/>
  <c r="L32" i="14"/>
  <c r="M32" i="14" s="1"/>
  <c r="L33" i="14"/>
  <c r="M33" i="14" s="1"/>
  <c r="L34" i="14"/>
  <c r="M34" i="14" s="1"/>
  <c r="L35" i="14"/>
  <c r="L36" i="14"/>
  <c r="M36" i="14" s="1"/>
  <c r="L37" i="14"/>
  <c r="M37" i="14" s="1"/>
  <c r="L44" i="14"/>
  <c r="M44" i="14" s="1"/>
  <c r="L45" i="14"/>
  <c r="M45" i="14" s="1"/>
  <c r="L46" i="14"/>
  <c r="M46" i="14" s="1"/>
  <c r="L47" i="14"/>
  <c r="L48" i="14"/>
  <c r="M48" i="14" s="1"/>
  <c r="L49" i="14"/>
  <c r="L50" i="14"/>
  <c r="M50" i="14" s="1"/>
  <c r="L51" i="14"/>
  <c r="M51" i="14" s="1"/>
  <c r="L52" i="14"/>
  <c r="M52" i="14" s="1"/>
  <c r="L53" i="14"/>
  <c r="M53" i="14" s="1"/>
  <c r="L54" i="14"/>
  <c r="M54" i="14" s="1"/>
  <c r="L55" i="14"/>
  <c r="M55" i="14" s="1"/>
  <c r="N55" i="14" s="1"/>
  <c r="L56" i="14"/>
  <c r="M56" i="14" s="1"/>
  <c r="L57" i="14"/>
  <c r="M57" i="14" s="1"/>
  <c r="L58" i="14"/>
  <c r="L59" i="14"/>
  <c r="M59" i="14" s="1"/>
  <c r="L60" i="14"/>
  <c r="L61" i="14"/>
  <c r="M61" i="14" s="1"/>
  <c r="L62" i="14"/>
  <c r="M62" i="14" s="1"/>
  <c r="L63" i="14"/>
  <c r="L64" i="14"/>
  <c r="L65" i="14"/>
  <c r="L66" i="14"/>
  <c r="M66" i="14" s="1"/>
  <c r="L67" i="14"/>
  <c r="M67" i="14" s="1"/>
  <c r="L68" i="14"/>
  <c r="L69" i="14"/>
  <c r="M69" i="14" s="1"/>
  <c r="L70" i="14"/>
  <c r="M70" i="14" s="1"/>
  <c r="O70" i="14" s="1"/>
  <c r="L71" i="14"/>
  <c r="M71" i="14" s="1"/>
  <c r="L72" i="14"/>
  <c r="L73" i="14"/>
  <c r="N73" i="14" s="1"/>
  <c r="L74" i="14"/>
  <c r="M74" i="14" s="1"/>
  <c r="L75" i="14"/>
  <c r="L76" i="14"/>
  <c r="L77" i="14"/>
  <c r="N77" i="14" s="1"/>
  <c r="L78" i="14"/>
  <c r="M78" i="14" s="1"/>
  <c r="L79" i="14"/>
  <c r="M79" i="14" s="1"/>
  <c r="L80" i="14"/>
  <c r="O80" i="14" s="1"/>
  <c r="L81" i="14"/>
  <c r="N81" i="14" s="1"/>
  <c r="L82" i="14"/>
  <c r="M82" i="14" s="1"/>
  <c r="L83" i="14"/>
  <c r="M83" i="14" s="1"/>
  <c r="L84" i="14"/>
  <c r="O84" i="14" s="1"/>
  <c r="L85" i="14"/>
  <c r="L86" i="14"/>
  <c r="M86" i="14" s="1"/>
  <c r="L87" i="14"/>
  <c r="L88" i="14"/>
  <c r="M88" i="14" s="1"/>
  <c r="L89" i="14"/>
  <c r="L90" i="14"/>
  <c r="M90" i="14" s="1"/>
  <c r="L91" i="14"/>
  <c r="L92" i="14"/>
  <c r="M92" i="14" s="1"/>
  <c r="L93" i="14"/>
  <c r="L94" i="14"/>
  <c r="M94" i="14" s="1"/>
  <c r="L96" i="14"/>
  <c r="M96" i="14" s="1"/>
  <c r="L97" i="14"/>
  <c r="L98" i="14"/>
  <c r="M98" i="14" s="1"/>
  <c r="L101" i="14"/>
  <c r="L102" i="14"/>
  <c r="M102" i="14" s="1"/>
  <c r="L103" i="14"/>
  <c r="L104" i="14"/>
  <c r="M104" i="14" s="1"/>
  <c r="L105" i="14"/>
  <c r="L106" i="14"/>
  <c r="M106" i="14" s="1"/>
  <c r="L107" i="14"/>
  <c r="L108" i="14"/>
  <c r="M108" i="14" s="1"/>
  <c r="L109" i="14"/>
  <c r="L110" i="14"/>
  <c r="M110" i="14" s="1"/>
  <c r="L111" i="14"/>
  <c r="L112" i="14"/>
  <c r="L113" i="14"/>
  <c r="N113" i="14" s="1"/>
  <c r="L114" i="14"/>
  <c r="M114" i="14" s="1"/>
  <c r="L115" i="14"/>
  <c r="L116" i="14"/>
  <c r="L117" i="14"/>
  <c r="O118" i="14"/>
  <c r="L119" i="14"/>
  <c r="M119" i="14" s="1"/>
  <c r="L120" i="14"/>
  <c r="M120" i="14" s="1"/>
  <c r="L121" i="14"/>
  <c r="M121" i="14" s="1"/>
  <c r="L122" i="14"/>
  <c r="L123" i="14"/>
  <c r="N123" i="14" s="1"/>
  <c r="L124" i="14"/>
  <c r="M124" i="14" s="1"/>
  <c r="L125" i="14"/>
  <c r="M125" i="14" s="1"/>
  <c r="O126" i="14"/>
  <c r="L127" i="14"/>
  <c r="N127" i="14" s="1"/>
  <c r="L128" i="14"/>
  <c r="M128" i="14" s="1"/>
  <c r="L129" i="14"/>
  <c r="N129" i="14" s="1"/>
  <c r="L130" i="14"/>
  <c r="L131" i="14"/>
  <c r="M131" i="14" s="1"/>
  <c r="L132" i="14"/>
  <c r="L133" i="14"/>
  <c r="N133" i="14" s="1"/>
  <c r="L134" i="14"/>
  <c r="N134" i="14" s="1"/>
  <c r="N135" i="14"/>
  <c r="L136" i="14"/>
  <c r="O136" i="14" s="1"/>
  <c r="L137" i="14"/>
  <c r="L138" i="14"/>
  <c r="N138" i="14" s="1"/>
  <c r="L139" i="14"/>
  <c r="N139" i="14" s="1"/>
  <c r="L140" i="14"/>
  <c r="O140" i="14" s="1"/>
  <c r="L141" i="14"/>
  <c r="M141" i="14" s="1"/>
  <c r="L142" i="14"/>
  <c r="N142" i="14" s="1"/>
  <c r="L143" i="14"/>
  <c r="M143" i="14" s="1"/>
  <c r="L144" i="14"/>
  <c r="L145" i="14"/>
  <c r="M145" i="14" s="1"/>
  <c r="L146" i="14"/>
  <c r="L147" i="14"/>
  <c r="N147" i="14" s="1"/>
  <c r="L148" i="14"/>
  <c r="L149" i="14"/>
  <c r="M149" i="14" s="1"/>
  <c r="L150" i="14"/>
  <c r="L151" i="14"/>
  <c r="M151" i="14" s="1"/>
  <c r="L152" i="14"/>
  <c r="O152" i="14" s="1"/>
  <c r="L153" i="14"/>
  <c r="M153" i="14" s="1"/>
  <c r="L154" i="14"/>
  <c r="L155" i="14"/>
  <c r="N155" i="14" s="1"/>
  <c r="L156" i="14"/>
  <c r="L157" i="14"/>
  <c r="O157" i="14" s="1"/>
  <c r="L158" i="14"/>
  <c r="M158" i="14" s="1"/>
  <c r="L159" i="14"/>
  <c r="L160" i="14"/>
  <c r="N160" i="14" s="1"/>
  <c r="L161" i="14"/>
  <c r="O161" i="14" s="1"/>
  <c r="L162" i="14"/>
  <c r="M162" i="14" s="1"/>
  <c r="L163" i="14"/>
  <c r="M163" i="14" s="1"/>
  <c r="L164" i="14"/>
  <c r="L165" i="14"/>
  <c r="N165" i="14" s="1"/>
  <c r="L166" i="14"/>
  <c r="L167" i="14"/>
  <c r="N167" i="14" s="1"/>
  <c r="L168" i="14"/>
  <c r="N168" i="14" s="1"/>
  <c r="L169" i="14"/>
  <c r="O169" i="14" s="1"/>
  <c r="L170" i="14"/>
  <c r="O170" i="14" s="1"/>
  <c r="L171" i="14"/>
  <c r="M171" i="14" s="1"/>
  <c r="L172" i="14"/>
  <c r="M172" i="14" s="1"/>
  <c r="L173" i="14"/>
  <c r="O173" i="14" s="1"/>
  <c r="L174" i="14"/>
  <c r="O174" i="14" s="1"/>
  <c r="L175" i="14"/>
  <c r="M175" i="14" s="1"/>
  <c r="L176" i="14"/>
  <c r="M176" i="14" s="1"/>
  <c r="L177" i="14"/>
  <c r="O177" i="14" s="1"/>
  <c r="L178" i="14"/>
  <c r="O178" i="14" s="1"/>
  <c r="L179" i="14"/>
  <c r="O179" i="14" s="1"/>
  <c r="L180" i="14"/>
  <c r="M180" i="14" s="1"/>
  <c r="L181" i="14"/>
  <c r="N181" i="14" s="1"/>
  <c r="L182" i="14"/>
  <c r="M182" i="14" s="1"/>
  <c r="L183" i="14"/>
  <c r="N183" i="14" s="1"/>
  <c r="L184" i="14"/>
  <c r="N184" i="14" s="1"/>
  <c r="L185" i="14"/>
  <c r="L186" i="14"/>
  <c r="O186" i="14" s="1"/>
  <c r="L187" i="14"/>
  <c r="N187" i="14" s="1"/>
  <c r="L188" i="14"/>
  <c r="L189" i="14"/>
  <c r="L190" i="14"/>
  <c r="L191" i="14"/>
  <c r="N191" i="14" s="1"/>
  <c r="L192" i="14"/>
  <c r="L193" i="14"/>
  <c r="L194" i="14"/>
  <c r="O194" i="14" s="1"/>
  <c r="L195" i="14"/>
  <c r="O195" i="14" s="1"/>
  <c r="L196" i="14"/>
  <c r="O196" i="14" s="1"/>
  <c r="L197" i="14"/>
  <c r="O197" i="14" s="1"/>
  <c r="L198" i="14"/>
  <c r="O198" i="14" s="1"/>
  <c r="L199" i="14"/>
  <c r="O199" i="14" s="1"/>
  <c r="L200" i="14"/>
  <c r="O200" i="14" s="1"/>
  <c r="L201" i="14"/>
  <c r="O201" i="14" s="1"/>
  <c r="L202" i="14"/>
  <c r="O202" i="14" s="1"/>
  <c r="L203" i="14"/>
  <c r="O203" i="14" s="1"/>
  <c r="L204" i="14"/>
  <c r="O204" i="14" s="1"/>
  <c r="L205" i="14"/>
  <c r="O205" i="14" s="1"/>
  <c r="L206" i="14"/>
  <c r="O206" i="14" s="1"/>
  <c r="L207" i="14"/>
  <c r="O207" i="14" s="1"/>
  <c r="L208" i="14"/>
  <c r="O208" i="14" s="1"/>
  <c r="L209" i="14"/>
  <c r="O209" i="14" s="1"/>
  <c r="L210" i="14"/>
  <c r="O210" i="14" s="1"/>
  <c r="L211" i="14"/>
  <c r="O211" i="14" s="1"/>
  <c r="L212" i="14"/>
  <c r="O212" i="14" s="1"/>
  <c r="L213" i="14"/>
  <c r="O213" i="14" s="1"/>
  <c r="L214" i="14"/>
  <c r="O214" i="14" s="1"/>
  <c r="L215" i="14"/>
  <c r="O215" i="14" s="1"/>
  <c r="L216" i="14"/>
  <c r="O216" i="14" s="1"/>
  <c r="L217" i="14"/>
  <c r="O217" i="14" s="1"/>
  <c r="L218" i="14"/>
  <c r="O218" i="14" s="1"/>
  <c r="L219" i="14"/>
  <c r="O219" i="14" s="1"/>
  <c r="L220" i="14"/>
  <c r="O220" i="14" s="1"/>
  <c r="L221" i="14"/>
  <c r="O221" i="14" s="1"/>
  <c r="L222" i="14"/>
  <c r="O222" i="14" s="1"/>
  <c r="L223" i="14"/>
  <c r="O223" i="14" s="1"/>
  <c r="L224" i="14"/>
  <c r="O224" i="14" s="1"/>
  <c r="L225" i="14"/>
  <c r="O225" i="14" s="1"/>
  <c r="L226" i="14"/>
  <c r="O226" i="14" s="1"/>
  <c r="L227" i="14"/>
  <c r="O227" i="14" s="1"/>
  <c r="L228" i="14"/>
  <c r="M228" i="14" s="1"/>
  <c r="L229" i="14"/>
  <c r="M229" i="14" s="1"/>
  <c r="L230" i="14"/>
  <c r="M230" i="14" s="1"/>
  <c r="L231" i="14"/>
  <c r="M231" i="14" s="1"/>
  <c r="L232" i="14"/>
  <c r="M232" i="14" s="1"/>
  <c r="L233" i="14"/>
  <c r="M233" i="14" s="1"/>
  <c r="L234" i="14"/>
  <c r="O234" i="14" s="1"/>
  <c r="L235" i="14"/>
  <c r="O235" i="14" s="1"/>
  <c r="L236" i="14"/>
  <c r="O236" i="14" s="1"/>
  <c r="L237" i="14"/>
  <c r="O237" i="14" s="1"/>
  <c r="L238" i="14"/>
  <c r="O238" i="14" s="1"/>
  <c r="L239" i="14"/>
  <c r="O239" i="14" s="1"/>
  <c r="L240" i="14"/>
  <c r="O240" i="14" s="1"/>
  <c r="L241" i="14"/>
  <c r="O241" i="14" s="1"/>
  <c r="L242" i="14"/>
  <c r="O242" i="14" s="1"/>
  <c r="L243" i="14"/>
  <c r="O243" i="14" s="1"/>
  <c r="L244" i="14"/>
  <c r="O244" i="14" s="1"/>
  <c r="L245" i="14"/>
  <c r="O245" i="14" s="1"/>
  <c r="L246" i="14"/>
  <c r="O246" i="14" s="1"/>
  <c r="L247" i="14"/>
  <c r="O247" i="14" s="1"/>
  <c r="L248" i="14"/>
  <c r="O248" i="14" s="1"/>
  <c r="L249" i="14"/>
  <c r="O249" i="14" s="1"/>
  <c r="L250" i="14"/>
  <c r="O250" i="14" s="1"/>
  <c r="L251" i="14"/>
  <c r="O251" i="14" s="1"/>
  <c r="L252" i="14"/>
  <c r="O252" i="14" s="1"/>
  <c r="L253" i="14"/>
  <c r="O253" i="14" s="1"/>
  <c r="L254" i="14"/>
  <c r="O254" i="14" s="1"/>
  <c r="L255" i="14"/>
  <c r="O255" i="14" s="1"/>
  <c r="L256" i="14"/>
  <c r="O256" i="14" s="1"/>
  <c r="L257" i="14"/>
  <c r="O257" i="14" s="1"/>
  <c r="L258" i="14"/>
  <c r="O258" i="14" s="1"/>
  <c r="L259" i="14"/>
  <c r="O259" i="14" s="1"/>
  <c r="L260" i="14"/>
  <c r="O260" i="14" s="1"/>
  <c r="L261" i="14"/>
  <c r="O261" i="14" s="1"/>
  <c r="L262" i="14"/>
  <c r="O262" i="14" s="1"/>
  <c r="L263" i="14"/>
  <c r="O263" i="14" s="1"/>
  <c r="L264" i="14"/>
  <c r="O264" i="14" s="1"/>
  <c r="L265" i="14"/>
  <c r="O265" i="14" s="1"/>
  <c r="L266" i="14"/>
  <c r="O266" i="14" s="1"/>
  <c r="L267" i="14"/>
  <c r="O267" i="14" s="1"/>
  <c r="L268" i="14"/>
  <c r="O268" i="14" s="1"/>
  <c r="L269" i="14"/>
  <c r="O269" i="14" s="1"/>
  <c r="L270" i="14"/>
  <c r="O270" i="14" s="1"/>
  <c r="L271" i="14"/>
  <c r="O271" i="14" s="1"/>
  <c r="L272" i="14"/>
  <c r="O272" i="14" s="1"/>
  <c r="L273" i="14"/>
  <c r="O273" i="14" s="1"/>
  <c r="L274" i="14"/>
  <c r="O274" i="14" s="1"/>
  <c r="L275" i="14"/>
  <c r="O275" i="14" s="1"/>
  <c r="L276" i="14"/>
  <c r="O276" i="14" s="1"/>
  <c r="L277" i="14"/>
  <c r="O277" i="14" s="1"/>
  <c r="L278" i="14"/>
  <c r="O278" i="14" s="1"/>
  <c r="L279" i="14"/>
  <c r="O279" i="14" s="1"/>
  <c r="L280" i="14"/>
  <c r="O280" i="14" s="1"/>
  <c r="L281" i="14"/>
  <c r="O281" i="14" s="1"/>
  <c r="L282" i="14"/>
  <c r="O282" i="14" s="1"/>
  <c r="L283" i="14"/>
  <c r="O283" i="14" s="1"/>
  <c r="L284" i="14"/>
  <c r="O284" i="14" s="1"/>
  <c r="L285" i="14"/>
  <c r="O285" i="14" s="1"/>
  <c r="L286" i="14"/>
  <c r="O286" i="14" s="1"/>
  <c r="L287" i="14"/>
  <c r="O287" i="14" s="1"/>
  <c r="L288" i="14"/>
  <c r="O288" i="14" s="1"/>
  <c r="L289" i="14"/>
  <c r="O289" i="14" s="1"/>
  <c r="L290" i="14"/>
  <c r="O290" i="14" s="1"/>
  <c r="L291" i="14"/>
  <c r="O291" i="14" s="1"/>
  <c r="L292" i="14"/>
  <c r="M292" i="14" s="1"/>
  <c r="L293" i="14"/>
  <c r="M293" i="14" s="1"/>
  <c r="L294" i="14"/>
  <c r="M294" i="14" s="1"/>
  <c r="L295" i="14"/>
  <c r="M295" i="14" s="1"/>
  <c r="L296" i="14"/>
  <c r="M296" i="14" s="1"/>
  <c r="L297" i="14"/>
  <c r="M297" i="14" s="1"/>
  <c r="L298" i="14"/>
  <c r="M298" i="14" s="1"/>
  <c r="L299" i="14"/>
  <c r="M299" i="14" s="1"/>
  <c r="L300" i="14"/>
  <c r="M300" i="14" s="1"/>
  <c r="L301" i="14"/>
  <c r="M301" i="14" s="1"/>
  <c r="L302" i="14"/>
  <c r="M302" i="14" s="1"/>
  <c r="L303" i="14"/>
  <c r="M303" i="14" s="1"/>
  <c r="L304" i="14"/>
  <c r="M304" i="14" s="1"/>
  <c r="L305" i="14"/>
  <c r="M305" i="14" s="1"/>
  <c r="L306" i="14"/>
  <c r="M306" i="14" s="1"/>
  <c r="L307" i="14"/>
  <c r="M307" i="14" s="1"/>
  <c r="L308" i="14"/>
  <c r="M308" i="14" s="1"/>
  <c r="L309" i="14"/>
  <c r="M309" i="14" s="1"/>
  <c r="L310" i="14"/>
  <c r="M310" i="14" s="1"/>
  <c r="L311" i="14"/>
  <c r="M311" i="14" s="1"/>
  <c r="L312" i="14"/>
  <c r="M312" i="14" s="1"/>
  <c r="L313" i="14"/>
  <c r="M313" i="14" s="1"/>
  <c r="L314" i="14"/>
  <c r="M314" i="14" s="1"/>
  <c r="L315" i="14"/>
  <c r="M315" i="14" s="1"/>
  <c r="L316" i="14"/>
  <c r="M316" i="14" s="1"/>
  <c r="L317" i="14"/>
  <c r="M317" i="14" s="1"/>
  <c r="L318" i="14"/>
  <c r="M318" i="14" s="1"/>
  <c r="L319" i="14"/>
  <c r="M319" i="14" s="1"/>
  <c r="L320" i="14"/>
  <c r="M320" i="14" s="1"/>
  <c r="L321" i="14"/>
  <c r="M321" i="14" s="1"/>
  <c r="L322" i="14"/>
  <c r="M322" i="14" s="1"/>
  <c r="L323" i="14"/>
  <c r="M323" i="14" s="1"/>
  <c r="L324" i="14"/>
  <c r="M324" i="14" s="1"/>
  <c r="L325" i="14"/>
  <c r="M325" i="14" s="1"/>
  <c r="L326" i="14"/>
  <c r="M326" i="14" s="1"/>
  <c r="L327" i="14"/>
  <c r="M327" i="14" s="1"/>
  <c r="L328" i="14"/>
  <c r="M328" i="14" s="1"/>
  <c r="L329" i="14"/>
  <c r="M329" i="14" s="1"/>
  <c r="L330" i="14"/>
  <c r="M330" i="14" s="1"/>
  <c r="L331" i="14"/>
  <c r="M331" i="14" s="1"/>
  <c r="L332" i="14"/>
  <c r="M332" i="14" s="1"/>
  <c r="L333" i="14"/>
  <c r="M333" i="14" s="1"/>
  <c r="L334" i="14"/>
  <c r="M334" i="14" s="1"/>
  <c r="L335" i="14"/>
  <c r="M335" i="14" s="1"/>
  <c r="L336" i="14"/>
  <c r="M336" i="14" s="1"/>
  <c r="L337" i="14"/>
  <c r="M337" i="14" s="1"/>
  <c r="L338" i="14"/>
  <c r="M338" i="14" s="1"/>
  <c r="L339" i="14"/>
  <c r="M339" i="14" s="1"/>
  <c r="L340" i="14"/>
  <c r="M340" i="14" s="1"/>
  <c r="L341" i="14"/>
  <c r="M341" i="14" s="1"/>
  <c r="L2" i="14"/>
  <c r="N2" i="14" s="1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P277" i="14"/>
  <c r="P278" i="14"/>
  <c r="P279" i="14"/>
  <c r="P280" i="14"/>
  <c r="P281" i="14"/>
  <c r="P282" i="14"/>
  <c r="P283" i="14"/>
  <c r="P284" i="14"/>
  <c r="P285" i="14"/>
  <c r="P286" i="14"/>
  <c r="P287" i="14"/>
  <c r="P288" i="14"/>
  <c r="P289" i="14"/>
  <c r="P290" i="14"/>
  <c r="P291" i="14"/>
  <c r="P292" i="14"/>
  <c r="P293" i="14"/>
  <c r="P294" i="14"/>
  <c r="P295" i="14"/>
  <c r="P296" i="14"/>
  <c r="P297" i="14"/>
  <c r="P298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23" i="14"/>
  <c r="P324" i="14"/>
  <c r="P325" i="14"/>
  <c r="P326" i="14"/>
  <c r="P327" i="14"/>
  <c r="P328" i="14"/>
  <c r="P329" i="14"/>
  <c r="P330" i="14"/>
  <c r="P331" i="14"/>
  <c r="P332" i="14"/>
  <c r="P333" i="14"/>
  <c r="P334" i="14"/>
  <c r="P335" i="14"/>
  <c r="P336" i="14"/>
  <c r="P337" i="14"/>
  <c r="P338" i="14"/>
  <c r="P339" i="14"/>
  <c r="P340" i="14"/>
  <c r="P341" i="14"/>
  <c r="P2" i="14"/>
  <c r="K3" i="12" a="1"/>
  <c r="K3" i="12" s="1"/>
  <c r="K4" i="12" a="1"/>
  <c r="K4" i="12" s="1"/>
  <c r="K5" i="12" a="1"/>
  <c r="K5" i="12" s="1"/>
  <c r="K6" i="12" a="1"/>
  <c r="K6" i="12" s="1"/>
  <c r="K7" i="12" a="1"/>
  <c r="K7" i="12" s="1"/>
  <c r="K8" i="12" a="1"/>
  <c r="K8" i="12" s="1"/>
  <c r="K9" i="12" a="1"/>
  <c r="K9" i="12" s="1"/>
  <c r="K10" i="12" a="1"/>
  <c r="K10" i="12" s="1"/>
  <c r="K11" i="12" a="1"/>
  <c r="K11" i="12" s="1"/>
  <c r="K12" i="12" a="1"/>
  <c r="K12" i="12" s="1"/>
  <c r="K13" i="12" a="1"/>
  <c r="K13" i="12" s="1"/>
  <c r="K14" i="12" a="1"/>
  <c r="K14" i="12" s="1"/>
  <c r="K15" i="12" a="1"/>
  <c r="K15" i="12" s="1"/>
  <c r="K16" i="12" a="1"/>
  <c r="K16" i="12" s="1"/>
  <c r="K17" i="12" a="1"/>
  <c r="K17" i="12" s="1"/>
  <c r="K18" i="12" a="1"/>
  <c r="K18" i="12" s="1"/>
  <c r="K19" i="12" a="1"/>
  <c r="K19" i="12" s="1"/>
  <c r="K20" i="12" a="1"/>
  <c r="K20" i="12" s="1"/>
  <c r="K21" i="12" a="1"/>
  <c r="K21" i="12" s="1"/>
  <c r="K22" i="12" a="1"/>
  <c r="K22" i="12" s="1"/>
  <c r="K23" i="12" a="1"/>
  <c r="K23" i="12" s="1"/>
  <c r="K24" i="12" a="1"/>
  <c r="K24" i="12" s="1"/>
  <c r="K25" i="12" a="1"/>
  <c r="K25" i="12" s="1"/>
  <c r="K26" i="12" a="1"/>
  <c r="K26" i="12" s="1"/>
  <c r="K27" i="12" a="1"/>
  <c r="K27" i="12" s="1"/>
  <c r="K28" i="12" a="1"/>
  <c r="K28" i="12" s="1"/>
  <c r="K29" i="12" a="1"/>
  <c r="K29" i="12" s="1"/>
  <c r="K31" i="12" a="1"/>
  <c r="K31" i="12" s="1"/>
  <c r="K32" i="12" a="1"/>
  <c r="K32" i="12" s="1"/>
  <c r="K33" i="12" a="1"/>
  <c r="K33" i="12" s="1"/>
  <c r="K34" i="12" a="1"/>
  <c r="K34" i="12" s="1"/>
  <c r="K35" i="12" a="1"/>
  <c r="K35" i="12" s="1"/>
  <c r="K36" i="12" a="1"/>
  <c r="K36" i="12" s="1"/>
  <c r="K37" i="12" a="1"/>
  <c r="K37" i="12" s="1"/>
  <c r="K38" i="12" a="1"/>
  <c r="K38" i="12" s="1"/>
  <c r="K39" i="12" a="1"/>
  <c r="K39" i="12" s="1"/>
  <c r="K40" i="12" a="1"/>
  <c r="K40" i="12" s="1"/>
  <c r="K41" i="12" a="1"/>
  <c r="K41" i="12" s="1"/>
  <c r="K42" i="12" a="1"/>
  <c r="K42" i="12" s="1"/>
  <c r="K43" i="12" a="1"/>
  <c r="K43" i="12" s="1"/>
  <c r="K44" i="12" a="1"/>
  <c r="K44" i="12" s="1"/>
  <c r="K45" i="12" a="1"/>
  <c r="K45" i="12" s="1"/>
  <c r="K46" i="12" a="1"/>
  <c r="K46" i="12" s="1"/>
  <c r="K47" i="12" a="1"/>
  <c r="K47" i="12" s="1"/>
  <c r="K49" i="12" a="1"/>
  <c r="K49" i="12" s="1"/>
  <c r="K50" i="12" a="1"/>
  <c r="K50" i="12" s="1"/>
  <c r="K51" i="12" a="1"/>
  <c r="K51" i="12" s="1"/>
  <c r="K52" i="12" a="1"/>
  <c r="K52" i="12" s="1"/>
  <c r="K53" i="12" a="1"/>
  <c r="K53" i="12" s="1"/>
  <c r="K54" i="12" a="1"/>
  <c r="K54" i="12" s="1"/>
  <c r="K55" i="12" a="1"/>
  <c r="K55" i="12" s="1"/>
  <c r="K56" i="12" a="1"/>
  <c r="K56" i="12" s="1"/>
  <c r="K57" i="12" a="1"/>
  <c r="K57" i="12" s="1"/>
  <c r="K58" i="12" a="1"/>
  <c r="K58" i="12" s="1"/>
  <c r="K59" i="12" a="1"/>
  <c r="K59" i="12" s="1"/>
  <c r="K60" i="12" a="1"/>
  <c r="K60" i="12" s="1"/>
  <c r="K62" i="12" a="1"/>
  <c r="K62" i="12" s="1"/>
  <c r="K63" i="12" a="1"/>
  <c r="K63" i="12" s="1"/>
  <c r="K64" i="12" a="1"/>
  <c r="K64" i="12" s="1"/>
  <c r="K65" i="12" a="1"/>
  <c r="K65" i="12" s="1"/>
  <c r="K66" i="12" a="1"/>
  <c r="K66" i="12" s="1"/>
  <c r="K67" i="12" a="1"/>
  <c r="K67" i="12" s="1"/>
  <c r="K68" i="12" a="1"/>
  <c r="K68" i="12" s="1"/>
  <c r="K69" i="12" a="1"/>
  <c r="K69" i="12" s="1"/>
  <c r="K70" i="12" a="1"/>
  <c r="K70" i="12" s="1"/>
  <c r="K71" i="12" a="1"/>
  <c r="K71" i="12" s="1"/>
  <c r="K72" i="12" a="1"/>
  <c r="K72" i="12" s="1"/>
  <c r="K73" i="12" a="1"/>
  <c r="K73" i="12" s="1"/>
  <c r="K74" i="12" a="1"/>
  <c r="K74" i="12" s="1"/>
  <c r="K75" i="12" a="1"/>
  <c r="K75" i="12" s="1"/>
  <c r="K76" i="12" a="1"/>
  <c r="K76" i="12" s="1"/>
  <c r="K77" i="12" a="1"/>
  <c r="K77" i="12" s="1"/>
  <c r="K78" i="12" a="1"/>
  <c r="K78" i="12" s="1"/>
  <c r="K79" i="12" a="1"/>
  <c r="K79" i="12" s="1"/>
  <c r="K80" i="12" a="1"/>
  <c r="K80" i="12" s="1"/>
  <c r="K81" i="12" a="1"/>
  <c r="K81" i="12" s="1"/>
  <c r="K82" i="12" a="1"/>
  <c r="K82" i="12" s="1"/>
  <c r="K83" i="12" a="1"/>
  <c r="K83" i="12" s="1"/>
  <c r="K84" i="12" a="1"/>
  <c r="K84" i="12" s="1"/>
  <c r="M85" i="12"/>
  <c r="K86" i="12" a="1"/>
  <c r="K86" i="12" s="1"/>
  <c r="K87" i="12" a="1"/>
  <c r="K87" i="12" s="1"/>
  <c r="K88" i="12" a="1"/>
  <c r="K88" i="12" s="1"/>
  <c r="K89" i="12" a="1"/>
  <c r="K89" i="12" s="1"/>
  <c r="K90" i="12" a="1"/>
  <c r="K90" i="12" s="1"/>
  <c r="K91" i="12" a="1"/>
  <c r="K91" i="12" s="1"/>
  <c r="K92" i="12" a="1"/>
  <c r="K92" i="12" s="1"/>
  <c r="K93" i="12" a="1"/>
  <c r="K93" i="12" s="1"/>
  <c r="K94" i="12" a="1"/>
  <c r="K94" i="12" s="1"/>
  <c r="K95" i="12" a="1"/>
  <c r="K95" i="12" s="1"/>
  <c r="K96" i="12" a="1"/>
  <c r="K96" i="12" s="1"/>
  <c r="K97" i="12" a="1"/>
  <c r="K97" i="12" s="1"/>
  <c r="K98" i="12" a="1"/>
  <c r="K98" i="12" s="1"/>
  <c r="K100" i="12" a="1"/>
  <c r="K100" i="12" s="1"/>
  <c r="K101" i="12" a="1"/>
  <c r="K101" i="12" s="1"/>
  <c r="K102" i="12" a="1"/>
  <c r="K102" i="12" s="1"/>
  <c r="K103" i="12" a="1"/>
  <c r="K103" i="12" s="1"/>
  <c r="K104" i="12" a="1"/>
  <c r="K104" i="12" s="1"/>
  <c r="K105" i="12" a="1"/>
  <c r="K105" i="12" s="1"/>
  <c r="K106" i="12" a="1"/>
  <c r="K106" i="12" s="1"/>
  <c r="K107" i="12" a="1"/>
  <c r="K107" i="12" s="1"/>
  <c r="K108" i="12" a="1"/>
  <c r="K108" i="12" s="1"/>
  <c r="K109" i="12" a="1"/>
  <c r="K109" i="12" s="1"/>
  <c r="K110" i="12" a="1"/>
  <c r="K110" i="12" s="1"/>
  <c r="K112" i="12" a="1"/>
  <c r="K112" i="12" s="1"/>
  <c r="K113" i="12" a="1"/>
  <c r="K113" i="12" s="1"/>
  <c r="K114" i="12" a="1"/>
  <c r="K114" i="12" s="1"/>
  <c r="K115" i="12" a="1"/>
  <c r="K115" i="12" s="1"/>
  <c r="K116" i="12" a="1"/>
  <c r="K116" i="12" s="1"/>
  <c r="K117" i="12" a="1"/>
  <c r="K117" i="12" s="1"/>
  <c r="K118" i="12" a="1"/>
  <c r="K118" i="12" s="1"/>
  <c r="M118" i="12" s="1"/>
  <c r="L118" i="12" s="1"/>
  <c r="K120" i="12" a="1"/>
  <c r="K120" i="12" s="1"/>
  <c r="K121" i="12" a="1"/>
  <c r="K121" i="12" s="1"/>
  <c r="K122" i="12" a="1"/>
  <c r="K122" i="12" s="1"/>
  <c r="M122" i="12" s="1"/>
  <c r="L122" i="12" s="1"/>
  <c r="K123" i="12" a="1"/>
  <c r="K123" i="12" s="1"/>
  <c r="K124" i="12" a="1"/>
  <c r="K124" i="12" s="1"/>
  <c r="K125" i="12" a="1"/>
  <c r="K125" i="12" s="1"/>
  <c r="K126" i="12" a="1"/>
  <c r="K126" i="12" s="1"/>
  <c r="M126" i="12" s="1"/>
  <c r="L126" i="12" s="1"/>
  <c r="K127" i="12" a="1"/>
  <c r="K127" i="12" s="1"/>
  <c r="K128" i="12" a="1"/>
  <c r="K128" i="12" s="1"/>
  <c r="K129" i="12" a="1"/>
  <c r="K129" i="12" s="1"/>
  <c r="K130" i="12" a="1"/>
  <c r="K130" i="12" s="1"/>
  <c r="M130" i="12" s="1"/>
  <c r="L130" i="12" s="1"/>
  <c r="K131" i="12" a="1"/>
  <c r="K131" i="12" s="1"/>
  <c r="K132" i="12" a="1"/>
  <c r="K132" i="12" s="1"/>
  <c r="K133" i="12" a="1"/>
  <c r="K133" i="12" s="1"/>
  <c r="K134" i="12" a="1"/>
  <c r="K134" i="12" s="1"/>
  <c r="M134" i="12" s="1"/>
  <c r="L134" i="12" s="1"/>
  <c r="K135" i="12" a="1"/>
  <c r="K135" i="12" s="1"/>
  <c r="K136" i="12" a="1"/>
  <c r="K136" i="12" s="1"/>
  <c r="K137" i="12" a="1"/>
  <c r="K137" i="12" s="1"/>
  <c r="K138" i="12" a="1"/>
  <c r="K138" i="12" s="1"/>
  <c r="K139" i="12" a="1"/>
  <c r="K139" i="12" s="1"/>
  <c r="K140" i="12" a="1"/>
  <c r="K140" i="12" s="1"/>
  <c r="K141" i="12" a="1"/>
  <c r="K141" i="12" s="1"/>
  <c r="K142" i="12" a="1"/>
  <c r="K142" i="12" s="1"/>
  <c r="M142" i="12" s="1"/>
  <c r="L142" i="12" s="1"/>
  <c r="K143" i="12" a="1"/>
  <c r="K143" i="12" s="1"/>
  <c r="K146" i="12" a="1"/>
  <c r="K146" i="12" s="1"/>
  <c r="M146" i="12" s="1"/>
  <c r="L146" i="12" s="1"/>
  <c r="K147" i="12" a="1"/>
  <c r="K147" i="12" s="1"/>
  <c r="K148" i="12" a="1"/>
  <c r="K148" i="12" s="1"/>
  <c r="K149" i="12" a="1"/>
  <c r="K149" i="12" s="1"/>
  <c r="M150" i="12"/>
  <c r="K151" i="12" a="1"/>
  <c r="K151" i="12" s="1"/>
  <c r="K152" i="12" a="1"/>
  <c r="K152" i="12" s="1"/>
  <c r="K154" i="12" a="1"/>
  <c r="K154" i="12" s="1"/>
  <c r="M154" i="12" s="1"/>
  <c r="L154" i="12" s="1"/>
  <c r="K155" i="12" a="1"/>
  <c r="K155" i="12" s="1"/>
  <c r="K156" i="12" a="1"/>
  <c r="K156" i="12" s="1"/>
  <c r="K157" i="12" a="1"/>
  <c r="K157" i="12" s="1"/>
  <c r="M157" i="12" s="1"/>
  <c r="K158" i="12" a="1"/>
  <c r="K158" i="12" s="1"/>
  <c r="K159" i="12" a="1"/>
  <c r="K159" i="12" s="1"/>
  <c r="K160" i="12" a="1"/>
  <c r="K160" i="12" s="1"/>
  <c r="K161" i="12" a="1"/>
  <c r="K161" i="12" s="1"/>
  <c r="K162" i="12" a="1"/>
  <c r="K162" i="12" s="1"/>
  <c r="M162" i="12" s="1"/>
  <c r="L162" i="12" s="1"/>
  <c r="K163" i="12" a="1"/>
  <c r="K163" i="12" s="1"/>
  <c r="K164" i="12" a="1"/>
  <c r="K164" i="12" s="1"/>
  <c r="K165" i="12" a="1"/>
  <c r="K165" i="12" s="1"/>
  <c r="K167" i="12" a="1"/>
  <c r="K167" i="12" s="1"/>
  <c r="K168" i="12" a="1"/>
  <c r="K168" i="12" s="1"/>
  <c r="K169" i="12" a="1"/>
  <c r="K169" i="12" s="1"/>
  <c r="K170" i="12" a="1"/>
  <c r="K170" i="12" s="1"/>
  <c r="M170" i="12" s="1"/>
  <c r="L170" i="12" s="1"/>
  <c r="K171" i="12" a="1"/>
  <c r="K171" i="12" s="1"/>
  <c r="K172" i="12" a="1"/>
  <c r="K172" i="12" s="1"/>
  <c r="K173" i="12" a="1"/>
  <c r="K173" i="12" s="1"/>
  <c r="K174" i="12" a="1"/>
  <c r="K174" i="12" s="1"/>
  <c r="M174" i="12" s="1"/>
  <c r="L174" i="12" s="1"/>
  <c r="K175" i="12" a="1"/>
  <c r="K175" i="12" s="1"/>
  <c r="K176" i="12" a="1"/>
  <c r="K176" i="12" s="1"/>
  <c r="K177" i="12" a="1"/>
  <c r="K177" i="12" s="1"/>
  <c r="K178" i="12" a="1"/>
  <c r="K178" i="12" s="1"/>
  <c r="M178" i="12" s="1"/>
  <c r="L178" i="12" s="1"/>
  <c r="K179" i="12" a="1"/>
  <c r="K179" i="12" s="1"/>
  <c r="K180" i="12" a="1"/>
  <c r="K180" i="12" s="1"/>
  <c r="K181" i="12" a="1"/>
  <c r="K181" i="12" s="1"/>
  <c r="K182" i="12" a="1"/>
  <c r="K182" i="12" s="1"/>
  <c r="M182" i="12" s="1"/>
  <c r="L182" i="12" s="1"/>
  <c r="K184" i="12" a="1"/>
  <c r="K184" i="12" s="1"/>
  <c r="K185" i="12" a="1"/>
  <c r="K185" i="12" s="1"/>
  <c r="K186" i="12" a="1"/>
  <c r="K186" i="12" s="1"/>
  <c r="M186" i="12" s="1"/>
  <c r="L186" i="12" s="1"/>
  <c r="K187" i="12" a="1"/>
  <c r="K187" i="12" s="1"/>
  <c r="K188" i="12" a="1"/>
  <c r="K188" i="12" s="1"/>
  <c r="K189" i="12" a="1"/>
  <c r="K189" i="12" s="1"/>
  <c r="K190" i="12" a="1"/>
  <c r="K190" i="12" s="1"/>
  <c r="M190" i="12" s="1"/>
  <c r="L190" i="12" s="1"/>
  <c r="K191" i="12" a="1"/>
  <c r="K191" i="12" s="1"/>
  <c r="K192" i="12" a="1"/>
  <c r="K192" i="12" s="1"/>
  <c r="K193" i="12" a="1"/>
  <c r="K193" i="12" s="1"/>
  <c r="K194" i="12" a="1"/>
  <c r="K194" i="12" s="1"/>
  <c r="M194" i="12" s="1"/>
  <c r="L194" i="12" s="1"/>
  <c r="K195" i="12" a="1"/>
  <c r="K195" i="12" s="1"/>
  <c r="K196" i="12" a="1"/>
  <c r="K196" i="12" s="1"/>
  <c r="K197" i="12" a="1"/>
  <c r="K197" i="12" s="1"/>
  <c r="K198" i="12" a="1"/>
  <c r="K198" i="12" s="1"/>
  <c r="M198" i="12" s="1"/>
  <c r="L198" i="12" s="1"/>
  <c r="K199" i="12" a="1"/>
  <c r="K199" i="12" s="1"/>
  <c r="K200" i="12" a="1"/>
  <c r="K200" i="12" s="1"/>
  <c r="K201" i="12" a="1"/>
  <c r="K201" i="12" s="1"/>
  <c r="K202" i="12" a="1"/>
  <c r="K202" i="12" s="1"/>
  <c r="K203" i="12" a="1"/>
  <c r="K203" i="12" s="1"/>
  <c r="K204" i="12" a="1"/>
  <c r="K204" i="12" s="1"/>
  <c r="M204" i="12" s="1"/>
  <c r="K205" i="12" a="1"/>
  <c r="K205" i="12" s="1"/>
  <c r="K206" i="12" a="1"/>
  <c r="K206" i="12" s="1"/>
  <c r="M206" i="12" s="1"/>
  <c r="L206" i="12" s="1"/>
  <c r="K207" i="12" a="1"/>
  <c r="K207" i="12" s="1"/>
  <c r="K208" i="12" a="1"/>
  <c r="K208" i="12" s="1"/>
  <c r="K210" i="12" a="1"/>
  <c r="K210" i="12" s="1"/>
  <c r="M210" i="12" s="1"/>
  <c r="L210" i="12" s="1"/>
  <c r="K211" i="12" a="1"/>
  <c r="K211" i="12" s="1"/>
  <c r="K212" i="12" a="1"/>
  <c r="K212" i="12" s="1"/>
  <c r="K213" i="12" a="1"/>
  <c r="K213" i="12" s="1"/>
  <c r="K214" i="12" a="1"/>
  <c r="K214" i="12" s="1"/>
  <c r="M214" i="12" s="1"/>
  <c r="L214" i="12" s="1"/>
  <c r="K215" i="12" a="1"/>
  <c r="K215" i="12" s="1"/>
  <c r="K216" i="12" a="1"/>
  <c r="K216" i="12" s="1"/>
  <c r="K218" i="12" a="1"/>
  <c r="K218" i="12" s="1"/>
  <c r="M218" i="12" s="1"/>
  <c r="L218" i="12" s="1"/>
  <c r="K219" i="12" a="1"/>
  <c r="K219" i="12" s="1"/>
  <c r="K220" i="12" a="1"/>
  <c r="K220" i="12" s="1"/>
  <c r="K221" i="12" a="1"/>
  <c r="K221" i="12" s="1"/>
  <c r="K222" i="12" a="1"/>
  <c r="K222" i="12" s="1"/>
  <c r="K223" i="12" a="1"/>
  <c r="K223" i="12" s="1"/>
  <c r="K224" i="12" a="1"/>
  <c r="K224" i="12" s="1"/>
  <c r="K225" i="12" a="1"/>
  <c r="K225" i="12" s="1"/>
  <c r="K226" i="12" a="1"/>
  <c r="K226" i="12" s="1"/>
  <c r="M226" i="12" s="1"/>
  <c r="L226" i="12" s="1"/>
  <c r="K228" i="12" a="1"/>
  <c r="K228" i="12" s="1"/>
  <c r="K229" i="12" a="1"/>
  <c r="K229" i="12" s="1"/>
  <c r="K230" i="12" a="1"/>
  <c r="K230" i="12" s="1"/>
  <c r="M230" i="12" s="1"/>
  <c r="L230" i="12" s="1"/>
  <c r="K231" i="12" a="1"/>
  <c r="K231" i="12" s="1"/>
  <c r="K232" i="12" a="1"/>
  <c r="K232" i="12" s="1"/>
  <c r="K233" i="12" a="1"/>
  <c r="K233" i="12" s="1"/>
  <c r="K234" i="12" a="1"/>
  <c r="K234" i="12" s="1"/>
  <c r="M234" i="12" s="1"/>
  <c r="L234" i="12" s="1"/>
  <c r="K235" i="12" a="1"/>
  <c r="K235" i="12" s="1"/>
  <c r="K236" i="12" a="1"/>
  <c r="K236" i="12" s="1"/>
  <c r="K237" i="12" a="1"/>
  <c r="K237" i="12" s="1"/>
  <c r="K238" i="12" a="1"/>
  <c r="K238" i="12" s="1"/>
  <c r="M238" i="12" s="1"/>
  <c r="L238" i="12" s="1"/>
  <c r="K239" i="12" a="1"/>
  <c r="K239" i="12" s="1"/>
  <c r="K240" i="12" a="1"/>
  <c r="K240" i="12" s="1"/>
  <c r="K241" i="12" a="1"/>
  <c r="K241" i="12" s="1"/>
  <c r="K242" i="12" a="1"/>
  <c r="K242" i="12" s="1"/>
  <c r="K243" i="12" a="1"/>
  <c r="K243" i="12" s="1"/>
  <c r="K244" i="12" a="1"/>
  <c r="K244" i="12" s="1"/>
  <c r="K245" i="12" a="1"/>
  <c r="K245" i="12" s="1"/>
  <c r="K248" i="12" a="1"/>
  <c r="K248" i="12" s="1"/>
  <c r="K249" i="12" a="1"/>
  <c r="K249" i="12" s="1"/>
  <c r="M249" i="12" s="1"/>
  <c r="K250" i="12" a="1"/>
  <c r="K250" i="12" s="1"/>
  <c r="M250" i="12" s="1"/>
  <c r="L250" i="12" s="1"/>
  <c r="K252" i="12" a="1"/>
  <c r="K252" i="12" s="1"/>
  <c r="K253" i="12" a="1"/>
  <c r="K253" i="12" s="1"/>
  <c r="K254" i="12" a="1"/>
  <c r="K254" i="12" s="1"/>
  <c r="K255" i="12" a="1"/>
  <c r="K255" i="12" s="1"/>
  <c r="M255" i="12" s="1"/>
  <c r="K257" i="12" a="1"/>
  <c r="K257" i="12" s="1"/>
  <c r="K258" i="12" a="1"/>
  <c r="K258" i="12" s="1"/>
  <c r="M258" i="12" s="1"/>
  <c r="K259" i="12" a="1"/>
  <c r="K259" i="12" s="1"/>
  <c r="K260" i="12" a="1"/>
  <c r="K260" i="12" s="1"/>
  <c r="K261" i="12" a="1"/>
  <c r="K261" i="12" s="1"/>
  <c r="K262" i="12" a="1"/>
  <c r="K262" i="12" s="1"/>
  <c r="M262" i="12" s="1"/>
  <c r="L262" i="12" s="1"/>
  <c r="K263" i="12" a="1"/>
  <c r="K263" i="12" s="1"/>
  <c r="M263" i="12" s="1"/>
  <c r="L263" i="12" s="1"/>
  <c r="K264" i="12" a="1"/>
  <c r="K264" i="12" s="1"/>
  <c r="K265" i="12" a="1"/>
  <c r="K265" i="12" s="1"/>
  <c r="K266" i="12" a="1"/>
  <c r="K266" i="12" s="1"/>
  <c r="M266" i="12" s="1"/>
  <c r="K267" i="12" a="1"/>
  <c r="K267" i="12" s="1"/>
  <c r="K268" i="12" a="1"/>
  <c r="K268" i="12" s="1"/>
  <c r="K269" i="12" a="1"/>
  <c r="K269" i="12" s="1"/>
  <c r="L269" i="12" s="1"/>
  <c r="K270" i="12" a="1"/>
  <c r="K270" i="12" s="1"/>
  <c r="L270" i="12" s="1"/>
  <c r="K271" i="12" a="1"/>
  <c r="K271" i="12" s="1"/>
  <c r="M271" i="12" s="1"/>
  <c r="K272" i="12" a="1"/>
  <c r="K272" i="12" s="1"/>
  <c r="K273" i="12" a="1"/>
  <c r="K273" i="12" s="1"/>
  <c r="L273" i="12" s="1"/>
  <c r="K274" i="12" a="1"/>
  <c r="K274" i="12" s="1"/>
  <c r="L274" i="12" s="1"/>
  <c r="K275" i="12" a="1"/>
  <c r="K275" i="12" s="1"/>
  <c r="L275" i="12" s="1"/>
  <c r="K276" i="12" a="1"/>
  <c r="K276" i="12" s="1"/>
  <c r="L276" i="12" s="1"/>
  <c r="K277" i="12" a="1"/>
  <c r="K277" i="12" s="1"/>
  <c r="L277" i="12" s="1"/>
  <c r="K278" i="12" a="1"/>
  <c r="K278" i="12" s="1"/>
  <c r="M278" i="12" s="1"/>
  <c r="K279" i="12" a="1"/>
  <c r="K279" i="12" s="1"/>
  <c r="K280" i="12" a="1"/>
  <c r="K280" i="12" s="1"/>
  <c r="K281" i="12" a="1"/>
  <c r="K281" i="12" s="1"/>
  <c r="K282" i="12" a="1"/>
  <c r="K282" i="12" s="1"/>
  <c r="L282" i="12" s="1"/>
  <c r="K283" i="12" a="1"/>
  <c r="K283" i="12" s="1"/>
  <c r="L283" i="12" s="1"/>
  <c r="K284" i="12" a="1"/>
  <c r="K284" i="12" s="1"/>
  <c r="K285" i="12" a="1"/>
  <c r="K285" i="12" s="1"/>
  <c r="L285" i="12" s="1"/>
  <c r="K286" i="12" a="1"/>
  <c r="K286" i="12" s="1"/>
  <c r="L286" i="12" s="1"/>
  <c r="K287" i="12" a="1"/>
  <c r="K287" i="12" s="1"/>
  <c r="L287" i="12" s="1"/>
  <c r="K288" i="12" a="1"/>
  <c r="K288" i="12" s="1"/>
  <c r="K289" i="12" a="1"/>
  <c r="K289" i="12" s="1"/>
  <c r="L289" i="12" s="1"/>
  <c r="K290" i="12" a="1"/>
  <c r="K290" i="12" s="1"/>
  <c r="L290" i="12" s="1"/>
  <c r="K291" i="12" a="1"/>
  <c r="K291" i="12" s="1"/>
  <c r="L291" i="12" s="1"/>
  <c r="K292" i="12" a="1"/>
  <c r="K292" i="12" s="1"/>
  <c r="L292" i="12" s="1"/>
  <c r="K293" i="12" a="1"/>
  <c r="K293" i="12" s="1"/>
  <c r="K294" i="12" a="1"/>
  <c r="K294" i="12" s="1"/>
  <c r="L294" i="12" s="1"/>
  <c r="K295" i="12" a="1"/>
  <c r="K295" i="12" s="1"/>
  <c r="L295" i="12" s="1"/>
  <c r="K296" i="12" a="1"/>
  <c r="K296" i="12" s="1"/>
  <c r="K297" i="12" a="1"/>
  <c r="K297" i="12" s="1"/>
  <c r="K298" i="12" a="1"/>
  <c r="K298" i="12" s="1"/>
  <c r="M298" i="12" s="1"/>
  <c r="K299" i="12" a="1"/>
  <c r="K299" i="12" s="1"/>
  <c r="L299" i="12" s="1"/>
  <c r="K300" i="12" a="1"/>
  <c r="K300" i="12" s="1"/>
  <c r="K301" i="12" a="1"/>
  <c r="K301" i="12" s="1"/>
  <c r="K302" i="12" a="1"/>
  <c r="K302" i="12" s="1"/>
  <c r="L302" i="12" s="1"/>
  <c r="K303" i="12" a="1"/>
  <c r="K303" i="12" s="1"/>
  <c r="L303" i="12" s="1"/>
  <c r="K304" i="12" a="1"/>
  <c r="K304" i="12" s="1"/>
  <c r="K305" i="12" a="1"/>
  <c r="K305" i="12" s="1"/>
  <c r="M305" i="12" s="1"/>
  <c r="K306" i="12" a="1"/>
  <c r="K306" i="12" s="1"/>
  <c r="L306" i="12" s="1"/>
  <c r="K307" i="12" a="1"/>
  <c r="K307" i="12" s="1"/>
  <c r="L307" i="12" s="1"/>
  <c r="K308" i="12" a="1"/>
  <c r="K308" i="12" s="1"/>
  <c r="L308" i="12" s="1"/>
  <c r="K309" i="12" a="1"/>
  <c r="K309" i="12" s="1"/>
  <c r="L309" i="12" s="1"/>
  <c r="K310" i="12" a="1"/>
  <c r="K310" i="12" s="1"/>
  <c r="L310" i="12" s="1"/>
  <c r="K311" i="12" a="1"/>
  <c r="K311" i="12" s="1"/>
  <c r="L311" i="12" s="1"/>
  <c r="K312" i="12" a="1"/>
  <c r="K312" i="12" s="1"/>
  <c r="K313" i="12" a="1"/>
  <c r="K313" i="12" s="1"/>
  <c r="K314" i="12" a="1"/>
  <c r="K314" i="12" s="1"/>
  <c r="L314" i="12" s="1"/>
  <c r="K2" i="12" a="1"/>
  <c r="K2" i="12" s="1"/>
  <c r="L111" i="12"/>
  <c r="L157" i="12"/>
  <c r="L165" i="12"/>
  <c r="L204" i="12"/>
  <c r="L249" i="12"/>
  <c r="L279" i="12"/>
  <c r="L284" i="12"/>
  <c r="L293" i="12"/>
  <c r="L300" i="12"/>
  <c r="L301" i="12"/>
  <c r="M117" i="12"/>
  <c r="L117" i="12" s="1"/>
  <c r="M125" i="12"/>
  <c r="L125" i="12" s="1"/>
  <c r="M128" i="12"/>
  <c r="L128" i="12" s="1"/>
  <c r="M133" i="12"/>
  <c r="L133" i="12" s="1"/>
  <c r="M141" i="12"/>
  <c r="L141" i="12" s="1"/>
  <c r="M149" i="12"/>
  <c r="L149" i="12" s="1"/>
  <c r="M163" i="12"/>
  <c r="L163" i="12" s="1"/>
  <c r="M165" i="12"/>
  <c r="M173" i="12"/>
  <c r="L173" i="12" s="1"/>
  <c r="M181" i="12"/>
  <c r="L181" i="12" s="1"/>
  <c r="M185" i="12"/>
  <c r="L185" i="12" s="1"/>
  <c r="M188" i="12"/>
  <c r="L188" i="12" s="1"/>
  <c r="M193" i="12"/>
  <c r="L193" i="12" s="1"/>
  <c r="M197" i="12"/>
  <c r="M201" i="12"/>
  <c r="L201" i="12" s="1"/>
  <c r="M205" i="12"/>
  <c r="M209" i="12"/>
  <c r="L209" i="12" s="1"/>
  <c r="M213" i="12"/>
  <c r="L213" i="12" s="1"/>
  <c r="M220" i="12"/>
  <c r="L220" i="12" s="1"/>
  <c r="M225" i="12"/>
  <c r="M228" i="12"/>
  <c r="L228" i="12" s="1"/>
  <c r="M236" i="12"/>
  <c r="L236" i="12" s="1"/>
  <c r="M241" i="12"/>
  <c r="M244" i="12"/>
  <c r="L244" i="12" s="1"/>
  <c r="M252" i="12"/>
  <c r="L252" i="12" s="1"/>
  <c r="M257" i="12"/>
  <c r="L257" i="12" s="1"/>
  <c r="M260" i="12"/>
  <c r="L260" i="12" s="1"/>
  <c r="M268" i="12"/>
  <c r="L268" i="12" s="1"/>
  <c r="M276" i="12"/>
  <c r="M284" i="12"/>
  <c r="M292" i="12"/>
  <c r="M300" i="12"/>
  <c r="M308" i="12"/>
  <c r="M3" i="12"/>
  <c r="L3" i="12" s="1"/>
  <c r="M4" i="12"/>
  <c r="L4" i="12" s="1"/>
  <c r="M5" i="12"/>
  <c r="L5" i="12" s="1"/>
  <c r="M6" i="12"/>
  <c r="L6" i="12" s="1"/>
  <c r="M7" i="12"/>
  <c r="L7" i="12" s="1"/>
  <c r="M8" i="12"/>
  <c r="L8" i="12" s="1"/>
  <c r="M9" i="12"/>
  <c r="L9" i="12" s="1"/>
  <c r="M10" i="12"/>
  <c r="L10" i="12" s="1"/>
  <c r="M11" i="12"/>
  <c r="L11" i="12" s="1"/>
  <c r="M12" i="12"/>
  <c r="L12" i="12" s="1"/>
  <c r="M13" i="12"/>
  <c r="L13" i="12" s="1"/>
  <c r="M14" i="12"/>
  <c r="L14" i="12" s="1"/>
  <c r="M15" i="12"/>
  <c r="L15" i="12" s="1"/>
  <c r="M16" i="12"/>
  <c r="L16" i="12" s="1"/>
  <c r="M17" i="12"/>
  <c r="L17" i="12" s="1"/>
  <c r="M18" i="12"/>
  <c r="L18" i="12" s="1"/>
  <c r="M19" i="12"/>
  <c r="L19" i="12" s="1"/>
  <c r="M20" i="12"/>
  <c r="L20" i="12" s="1"/>
  <c r="M21" i="12"/>
  <c r="L21" i="12" s="1"/>
  <c r="M22" i="12"/>
  <c r="M23" i="12"/>
  <c r="L23" i="12" s="1"/>
  <c r="M24" i="12"/>
  <c r="L24" i="12" s="1"/>
  <c r="M25" i="12"/>
  <c r="L25" i="12" s="1"/>
  <c r="M26" i="12"/>
  <c r="L26" i="12" s="1"/>
  <c r="M27" i="12"/>
  <c r="L27" i="12" s="1"/>
  <c r="M28" i="12"/>
  <c r="L28" i="12" s="1"/>
  <c r="M29" i="12"/>
  <c r="L29" i="12" s="1"/>
  <c r="M30" i="12"/>
  <c r="L30" i="12" s="1"/>
  <c r="M31" i="12"/>
  <c r="L31" i="12" s="1"/>
  <c r="M32" i="12"/>
  <c r="L32" i="12" s="1"/>
  <c r="M33" i="12"/>
  <c r="L33" i="12" s="1"/>
  <c r="M34" i="12"/>
  <c r="L34" i="12" s="1"/>
  <c r="M35" i="12"/>
  <c r="L35" i="12" s="1"/>
  <c r="M36" i="12"/>
  <c r="L36" i="12" s="1"/>
  <c r="M37" i="12"/>
  <c r="L37" i="12" s="1"/>
  <c r="M38" i="12"/>
  <c r="L38" i="12" s="1"/>
  <c r="M39" i="12"/>
  <c r="L39" i="12" s="1"/>
  <c r="M40" i="12"/>
  <c r="L40" i="12" s="1"/>
  <c r="M41" i="12"/>
  <c r="L41" i="12" s="1"/>
  <c r="M42" i="12"/>
  <c r="L42" i="12" s="1"/>
  <c r="M43" i="12"/>
  <c r="L43" i="12" s="1"/>
  <c r="M44" i="12"/>
  <c r="L44" i="12" s="1"/>
  <c r="M45" i="12"/>
  <c r="L45" i="12" s="1"/>
  <c r="M46" i="12"/>
  <c r="M47" i="12"/>
  <c r="L47" i="12" s="1"/>
  <c r="M48" i="12"/>
  <c r="L48" i="12" s="1"/>
  <c r="M49" i="12"/>
  <c r="L49" i="12" s="1"/>
  <c r="M50" i="12"/>
  <c r="L50" i="12" s="1"/>
  <c r="M51" i="12"/>
  <c r="L51" i="12" s="1"/>
  <c r="M52" i="12"/>
  <c r="L52" i="12" s="1"/>
  <c r="M53" i="12"/>
  <c r="L53" i="12" s="1"/>
  <c r="M54" i="12"/>
  <c r="L54" i="12" s="1"/>
  <c r="M55" i="12"/>
  <c r="L55" i="12" s="1"/>
  <c r="M56" i="12"/>
  <c r="L56" i="12" s="1"/>
  <c r="M57" i="12"/>
  <c r="L57" i="12" s="1"/>
  <c r="M58" i="12"/>
  <c r="L58" i="12" s="1"/>
  <c r="M59" i="12"/>
  <c r="L59" i="12" s="1"/>
  <c r="M60" i="12"/>
  <c r="L60" i="12" s="1"/>
  <c r="M61" i="12"/>
  <c r="L61" i="12" s="1"/>
  <c r="M62" i="12"/>
  <c r="L62" i="12" s="1"/>
  <c r="M63" i="12"/>
  <c r="L63" i="12" s="1"/>
  <c r="M64" i="12"/>
  <c r="L64" i="12" s="1"/>
  <c r="M65" i="12"/>
  <c r="L65" i="12" s="1"/>
  <c r="M66" i="12"/>
  <c r="L66" i="12" s="1"/>
  <c r="M67" i="12"/>
  <c r="L67" i="12" s="1"/>
  <c r="M68" i="12"/>
  <c r="L68" i="12" s="1"/>
  <c r="M69" i="12"/>
  <c r="L69" i="12" s="1"/>
  <c r="M70" i="12"/>
  <c r="L70" i="12" s="1"/>
  <c r="M71" i="12"/>
  <c r="L71" i="12" s="1"/>
  <c r="M72" i="12"/>
  <c r="L72" i="12" s="1"/>
  <c r="M73" i="12"/>
  <c r="L73" i="12" s="1"/>
  <c r="M74" i="12"/>
  <c r="L74" i="12" s="1"/>
  <c r="M75" i="12"/>
  <c r="L75" i="12" s="1"/>
  <c r="M76" i="12"/>
  <c r="L76" i="12" s="1"/>
  <c r="M77" i="12"/>
  <c r="L77" i="12" s="1"/>
  <c r="M78" i="12"/>
  <c r="L78" i="12" s="1"/>
  <c r="M79" i="12"/>
  <c r="L79" i="12" s="1"/>
  <c r="M80" i="12"/>
  <c r="L80" i="12" s="1"/>
  <c r="M81" i="12"/>
  <c r="L81" i="12" s="1"/>
  <c r="M82" i="12"/>
  <c r="L82" i="12" s="1"/>
  <c r="M83" i="12"/>
  <c r="L83" i="12" s="1"/>
  <c r="M84" i="12"/>
  <c r="L84" i="12" s="1"/>
  <c r="M86" i="12"/>
  <c r="L86" i="12" s="1"/>
  <c r="M87" i="12"/>
  <c r="L87" i="12" s="1"/>
  <c r="M88" i="12"/>
  <c r="L88" i="12" s="1"/>
  <c r="M89" i="12"/>
  <c r="L89" i="12" s="1"/>
  <c r="M90" i="12"/>
  <c r="L90" i="12" s="1"/>
  <c r="M91" i="12"/>
  <c r="L91" i="12" s="1"/>
  <c r="M92" i="12"/>
  <c r="L92" i="12" s="1"/>
  <c r="M93" i="12"/>
  <c r="L93" i="12" s="1"/>
  <c r="M94" i="12"/>
  <c r="L94" i="12" s="1"/>
  <c r="M95" i="12"/>
  <c r="L95" i="12" s="1"/>
  <c r="M96" i="12"/>
  <c r="L96" i="12" s="1"/>
  <c r="M97" i="12"/>
  <c r="L97" i="12" s="1"/>
  <c r="M98" i="12"/>
  <c r="L98" i="12" s="1"/>
  <c r="M99" i="12"/>
  <c r="L99" i="12" s="1"/>
  <c r="M100" i="12"/>
  <c r="L100" i="12" s="1"/>
  <c r="M101" i="12"/>
  <c r="L101" i="12" s="1"/>
  <c r="M102" i="12"/>
  <c r="L102" i="12" s="1"/>
  <c r="M103" i="12"/>
  <c r="L103" i="12" s="1"/>
  <c r="M104" i="12"/>
  <c r="L104" i="12" s="1"/>
  <c r="M105" i="12"/>
  <c r="L105" i="12" s="1"/>
  <c r="M106" i="12"/>
  <c r="L106" i="12" s="1"/>
  <c r="M107" i="12"/>
  <c r="L107" i="12" s="1"/>
  <c r="M108" i="12"/>
  <c r="L108" i="12" s="1"/>
  <c r="M109" i="12"/>
  <c r="L109" i="12" s="1"/>
  <c r="M110" i="12"/>
  <c r="L110" i="12" s="1"/>
  <c r="M111" i="12"/>
  <c r="M112" i="12"/>
  <c r="L112" i="12" s="1"/>
  <c r="M113" i="12"/>
  <c r="L113" i="12" s="1"/>
  <c r="M114" i="12"/>
  <c r="L114" i="12" s="1"/>
  <c r="M115" i="12"/>
  <c r="L115" i="12" s="1"/>
  <c r="M116" i="12"/>
  <c r="L116" i="12" s="1"/>
  <c r="M119" i="12"/>
  <c r="L119" i="12" s="1"/>
  <c r="M120" i="12"/>
  <c r="L120" i="12" s="1"/>
  <c r="M121" i="12"/>
  <c r="L121" i="12" s="1"/>
  <c r="M123" i="12"/>
  <c r="L123" i="12" s="1"/>
  <c r="M124" i="12"/>
  <c r="L124" i="12" s="1"/>
  <c r="M127" i="12"/>
  <c r="L127" i="12" s="1"/>
  <c r="M129" i="12"/>
  <c r="L129" i="12" s="1"/>
  <c r="M132" i="12"/>
  <c r="L132" i="12" s="1"/>
  <c r="M135" i="12"/>
  <c r="L135" i="12" s="1"/>
  <c r="M136" i="12"/>
  <c r="L136" i="12" s="1"/>
  <c r="M137" i="12"/>
  <c r="L137" i="12" s="1"/>
  <c r="M139" i="12"/>
  <c r="L139" i="12" s="1"/>
  <c r="M140" i="12"/>
  <c r="L140" i="12" s="1"/>
  <c r="M143" i="12"/>
  <c r="L143" i="12" s="1"/>
  <c r="M144" i="12"/>
  <c r="L144" i="12" s="1"/>
  <c r="M145" i="12"/>
  <c r="L145" i="12" s="1"/>
  <c r="M147" i="12"/>
  <c r="L147" i="12" s="1"/>
  <c r="M148" i="12"/>
  <c r="L148" i="12" s="1"/>
  <c r="M151" i="12"/>
  <c r="L151" i="12" s="1"/>
  <c r="M152" i="12"/>
  <c r="L152" i="12" s="1"/>
  <c r="M153" i="12"/>
  <c r="L153" i="12" s="1"/>
  <c r="M155" i="12"/>
  <c r="L155" i="12" s="1"/>
  <c r="M156" i="12"/>
  <c r="L156" i="12" s="1"/>
  <c r="M158" i="12"/>
  <c r="L158" i="12" s="1"/>
  <c r="M159" i="12"/>
  <c r="L159" i="12" s="1"/>
  <c r="M161" i="12"/>
  <c r="M164" i="12"/>
  <c r="L164" i="12" s="1"/>
  <c r="M167" i="12"/>
  <c r="L167" i="12" s="1"/>
  <c r="M168" i="12"/>
  <c r="L168" i="12" s="1"/>
  <c r="M169" i="12"/>
  <c r="L169" i="12" s="1"/>
  <c r="M171" i="12"/>
  <c r="L171" i="12" s="1"/>
  <c r="M172" i="12"/>
  <c r="L172" i="12" s="1"/>
  <c r="M175" i="12"/>
  <c r="L175" i="12" s="1"/>
  <c r="M179" i="12"/>
  <c r="L179" i="12" s="1"/>
  <c r="M180" i="12"/>
  <c r="L180" i="12" s="1"/>
  <c r="M183" i="12"/>
  <c r="L183" i="12" s="1"/>
  <c r="M187" i="12"/>
  <c r="L187" i="12" s="1"/>
  <c r="M191" i="12"/>
  <c r="L191" i="12" s="1"/>
  <c r="M195" i="12"/>
  <c r="L195" i="12" s="1"/>
  <c r="M196" i="12"/>
  <c r="L196" i="12" s="1"/>
  <c r="M199" i="12"/>
  <c r="L199" i="12" s="1"/>
  <c r="M202" i="12"/>
  <c r="L202" i="12" s="1"/>
  <c r="M203" i="12"/>
  <c r="L203" i="12" s="1"/>
  <c r="M207" i="12"/>
  <c r="L207" i="12" s="1"/>
  <c r="M211" i="12"/>
  <c r="L211" i="12" s="1"/>
  <c r="M212" i="12"/>
  <c r="L212" i="12" s="1"/>
  <c r="M215" i="12"/>
  <c r="L215" i="12" s="1"/>
  <c r="M219" i="12"/>
  <c r="L219" i="12" s="1"/>
  <c r="M221" i="12"/>
  <c r="L221" i="12" s="1"/>
  <c r="M222" i="12"/>
  <c r="L222" i="12" s="1"/>
  <c r="M223" i="12"/>
  <c r="L223" i="12" s="1"/>
  <c r="M227" i="12"/>
  <c r="L227" i="12" s="1"/>
  <c r="M229" i="12"/>
  <c r="L229" i="12" s="1"/>
  <c r="M231" i="12"/>
  <c r="L231" i="12" s="1"/>
  <c r="M235" i="12"/>
  <c r="L235" i="12" s="1"/>
  <c r="M237" i="12"/>
  <c r="L237" i="12" s="1"/>
  <c r="M239" i="12"/>
  <c r="L239" i="12" s="1"/>
  <c r="M242" i="12"/>
  <c r="L242" i="12" s="1"/>
  <c r="M243" i="12"/>
  <c r="L243" i="12" s="1"/>
  <c r="M245" i="12"/>
  <c r="L245" i="12" s="1"/>
  <c r="M247" i="12"/>
  <c r="L247" i="12" s="1"/>
  <c r="M251" i="12"/>
  <c r="L251" i="12" s="1"/>
  <c r="M253" i="12"/>
  <c r="L253" i="12" s="1"/>
  <c r="M259" i="12"/>
  <c r="L259" i="12" s="1"/>
  <c r="M261" i="12"/>
  <c r="L261" i="12" s="1"/>
  <c r="M267" i="12"/>
  <c r="L267" i="12" s="1"/>
  <c r="M269" i="12"/>
  <c r="M277" i="12"/>
  <c r="M279" i="12"/>
  <c r="M285" i="12"/>
  <c r="M287" i="12"/>
  <c r="M293" i="12"/>
  <c r="M294" i="12"/>
  <c r="M295" i="12"/>
  <c r="M301" i="12"/>
  <c r="M303" i="12"/>
  <c r="M307" i="12"/>
  <c r="M309" i="12"/>
  <c r="M314" i="12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6" i="13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6" i="2"/>
  <c r="M255" i="14" l="1"/>
  <c r="N252" i="14"/>
  <c r="N218" i="14"/>
  <c r="M199" i="14"/>
  <c r="N272" i="14"/>
  <c r="N223" i="14"/>
  <c r="M186" i="14"/>
  <c r="N304" i="14"/>
  <c r="M218" i="14"/>
  <c r="M207" i="14"/>
  <c r="O62" i="14"/>
  <c r="N62" i="14"/>
  <c r="O55" i="14"/>
  <c r="N310" i="14"/>
  <c r="M275" i="14"/>
  <c r="N70" i="14"/>
  <c r="O67" i="14"/>
  <c r="O296" i="14"/>
  <c r="O34" i="14"/>
  <c r="O15" i="14"/>
  <c r="M2" i="14"/>
  <c r="O2" i="14" s="1"/>
  <c r="N298" i="14"/>
  <c r="N296" i="14"/>
  <c r="N263" i="14"/>
  <c r="M177" i="14"/>
  <c r="N177" i="14" s="1"/>
  <c r="O90" i="14"/>
  <c r="N79" i="14"/>
  <c r="N326" i="14"/>
  <c r="N306" i="14"/>
  <c r="M287" i="14"/>
  <c r="N284" i="14"/>
  <c r="N259" i="14"/>
  <c r="M239" i="14"/>
  <c r="M225" i="14"/>
  <c r="M223" i="14"/>
  <c r="M209" i="14"/>
  <c r="N203" i="14"/>
  <c r="M201" i="14"/>
  <c r="M165" i="14"/>
  <c r="O162" i="14"/>
  <c r="M157" i="14"/>
  <c r="N157" i="14" s="1"/>
  <c r="M140" i="14"/>
  <c r="O71" i="14"/>
  <c r="N67" i="14"/>
  <c r="N41" i="14"/>
  <c r="N322" i="14"/>
  <c r="N299" i="14"/>
  <c r="N291" i="14"/>
  <c r="M271" i="14"/>
  <c r="N268" i="14"/>
  <c r="M259" i="14"/>
  <c r="N256" i="14"/>
  <c r="N247" i="14"/>
  <c r="M217" i="14"/>
  <c r="N214" i="14"/>
  <c r="M194" i="14"/>
  <c r="O191" i="14"/>
  <c r="M178" i="14"/>
  <c r="O153" i="14"/>
  <c r="M136" i="14"/>
  <c r="O121" i="14"/>
  <c r="N71" i="14"/>
  <c r="O46" i="14"/>
  <c r="O11" i="14"/>
  <c r="N314" i="14"/>
  <c r="M291" i="14"/>
  <c r="N288" i="14"/>
  <c r="N279" i="14"/>
  <c r="M243" i="14"/>
  <c r="N240" i="14"/>
  <c r="M226" i="14"/>
  <c r="M210" i="14"/>
  <c r="M202" i="14"/>
  <c r="M161" i="14"/>
  <c r="O158" i="14"/>
  <c r="N121" i="14"/>
  <c r="O106" i="14"/>
  <c r="N46" i="14"/>
  <c r="N7" i="14"/>
  <c r="N318" i="14"/>
  <c r="O303" i="14"/>
  <c r="O292" i="14"/>
  <c r="N275" i="14"/>
  <c r="N243" i="14"/>
  <c r="N219" i="14"/>
  <c r="M215" i="14"/>
  <c r="N207" i="14"/>
  <c r="N202" i="14"/>
  <c r="N198" i="14"/>
  <c r="M173" i="14"/>
  <c r="O98" i="14"/>
  <c r="N66" i="14"/>
  <c r="N61" i="14"/>
  <c r="N51" i="14"/>
  <c r="N42" i="14"/>
  <c r="N29" i="14"/>
  <c r="O26" i="14"/>
  <c r="O19" i="14"/>
  <c r="N328" i="14"/>
  <c r="N320" i="14"/>
  <c r="N312" i="14"/>
  <c r="O304" i="14"/>
  <c r="N303" i="14"/>
  <c r="O299" i="14"/>
  <c r="N294" i="14"/>
  <c r="N292" i="14"/>
  <c r="M279" i="14"/>
  <c r="N276" i="14"/>
  <c r="M263" i="14"/>
  <c r="N260" i="14"/>
  <c r="M247" i="14"/>
  <c r="N244" i="14"/>
  <c r="M235" i="14"/>
  <c r="N226" i="14"/>
  <c r="M221" i="14"/>
  <c r="M219" i="14"/>
  <c r="N215" i="14"/>
  <c r="M214" i="14"/>
  <c r="N210" i="14"/>
  <c r="M205" i="14"/>
  <c r="M203" i="14"/>
  <c r="N199" i="14"/>
  <c r="M198" i="14"/>
  <c r="N194" i="14"/>
  <c r="O175" i="14"/>
  <c r="M170" i="14"/>
  <c r="M138" i="14"/>
  <c r="O138" i="14" s="1"/>
  <c r="O124" i="14"/>
  <c r="N119" i="14"/>
  <c r="O110" i="14"/>
  <c r="O94" i="14"/>
  <c r="N37" i="14"/>
  <c r="N236" i="14"/>
  <c r="N227" i="14"/>
  <c r="N211" i="14"/>
  <c r="N206" i="14"/>
  <c r="N195" i="14"/>
  <c r="O125" i="14"/>
  <c r="O50" i="14"/>
  <c r="O38" i="14"/>
  <c r="O23" i="14"/>
  <c r="O6" i="14"/>
  <c r="O300" i="14"/>
  <c r="O295" i="14"/>
  <c r="N222" i="14"/>
  <c r="N324" i="14"/>
  <c r="N316" i="14"/>
  <c r="N308" i="14"/>
  <c r="N302" i="14"/>
  <c r="N300" i="14"/>
  <c r="N295" i="14"/>
  <c r="M236" i="14"/>
  <c r="M227" i="14"/>
  <c r="M222" i="14"/>
  <c r="M213" i="14"/>
  <c r="M211" i="14"/>
  <c r="M206" i="14"/>
  <c r="M197" i="14"/>
  <c r="M195" i="14"/>
  <c r="M181" i="14"/>
  <c r="O171" i="14"/>
  <c r="M169" i="14"/>
  <c r="O145" i="14"/>
  <c r="M142" i="14"/>
  <c r="O142" i="14" s="1"/>
  <c r="M134" i="14"/>
  <c r="O134" i="14" s="1"/>
  <c r="N125" i="14"/>
  <c r="O114" i="14"/>
  <c r="O102" i="14"/>
  <c r="O86" i="14"/>
  <c r="O83" i="14"/>
  <c r="O66" i="14"/>
  <c r="N59" i="14"/>
  <c r="N54" i="14"/>
  <c r="O51" i="14"/>
  <c r="N50" i="14"/>
  <c r="N45" i="14"/>
  <c r="O42" i="14"/>
  <c r="N38" i="14"/>
  <c r="N33" i="14"/>
  <c r="O30" i="14"/>
  <c r="N25" i="14"/>
  <c r="N23" i="14"/>
  <c r="O7" i="14"/>
  <c r="N6" i="14"/>
  <c r="O156" i="14"/>
  <c r="M156" i="14"/>
  <c r="N146" i="14"/>
  <c r="M146" i="14"/>
  <c r="M117" i="14"/>
  <c r="O117" i="14" s="1"/>
  <c r="M111" i="14"/>
  <c r="N111" i="14"/>
  <c r="M105" i="14"/>
  <c r="N105" i="14" s="1"/>
  <c r="N95" i="14"/>
  <c r="O95" i="14"/>
  <c r="M89" i="14"/>
  <c r="N89" i="14" s="1"/>
  <c r="M63" i="14"/>
  <c r="O63" i="14" s="1"/>
  <c r="N63" i="14"/>
  <c r="M35" i="14"/>
  <c r="N35" i="14" s="1"/>
  <c r="O35" i="14"/>
  <c r="M27" i="14"/>
  <c r="N27" i="14" s="1"/>
  <c r="O27" i="14"/>
  <c r="M10" i="14"/>
  <c r="N10" i="14" s="1"/>
  <c r="O10" i="14"/>
  <c r="O233" i="14"/>
  <c r="O232" i="14"/>
  <c r="O231" i="14"/>
  <c r="O230" i="14"/>
  <c r="O229" i="14"/>
  <c r="O228" i="14"/>
  <c r="N166" i="14"/>
  <c r="M166" i="14"/>
  <c r="O166" i="14" s="1"/>
  <c r="N148" i="14"/>
  <c r="M148" i="14"/>
  <c r="O132" i="14"/>
  <c r="M132" i="14"/>
  <c r="M129" i="14"/>
  <c r="O129" i="14" s="1"/>
  <c r="M107" i="14"/>
  <c r="O107" i="14" s="1"/>
  <c r="N107" i="14"/>
  <c r="M101" i="14"/>
  <c r="N101" i="14"/>
  <c r="M91" i="14"/>
  <c r="N91" i="14" s="1"/>
  <c r="O91" i="14"/>
  <c r="M75" i="14"/>
  <c r="O75" i="14" s="1"/>
  <c r="N75" i="14"/>
  <c r="M58" i="14"/>
  <c r="O58" i="14" s="1"/>
  <c r="N58" i="14"/>
  <c r="M49" i="14"/>
  <c r="N49" i="14"/>
  <c r="O39" i="14"/>
  <c r="M22" i="14"/>
  <c r="O22" i="14" s="1"/>
  <c r="N22" i="14"/>
  <c r="O301" i="14"/>
  <c r="O293" i="14"/>
  <c r="N283" i="14"/>
  <c r="N267" i="14"/>
  <c r="N251" i="14"/>
  <c r="N234" i="14"/>
  <c r="N233" i="14"/>
  <c r="N232" i="14"/>
  <c r="N231" i="14"/>
  <c r="N230" i="14"/>
  <c r="N229" i="14"/>
  <c r="N228" i="14"/>
  <c r="N224" i="14"/>
  <c r="N220" i="14"/>
  <c r="N216" i="14"/>
  <c r="N212" i="14"/>
  <c r="N208" i="14"/>
  <c r="N204" i="14"/>
  <c r="N200" i="14"/>
  <c r="N196" i="14"/>
  <c r="N185" i="14"/>
  <c r="M185" i="14"/>
  <c r="N182" i="14"/>
  <c r="O182" i="14"/>
  <c r="N150" i="14"/>
  <c r="M150" i="14"/>
  <c r="O150" i="14" s="1"/>
  <c r="N137" i="14"/>
  <c r="M115" i="14"/>
  <c r="N115" i="14" s="1"/>
  <c r="M113" i="14"/>
  <c r="O113" i="14" s="1"/>
  <c r="M103" i="14"/>
  <c r="N103" i="14" s="1"/>
  <c r="O103" i="14"/>
  <c r="M97" i="14"/>
  <c r="N97" i="14" s="1"/>
  <c r="M87" i="14"/>
  <c r="N87" i="14" s="1"/>
  <c r="O87" i="14"/>
  <c r="M65" i="14"/>
  <c r="N65" i="14" s="1"/>
  <c r="O43" i="14"/>
  <c r="M31" i="14"/>
  <c r="O31" i="14" s="1"/>
  <c r="M18" i="14"/>
  <c r="N18" i="14" s="1"/>
  <c r="O18" i="14"/>
  <c r="O297" i="14"/>
  <c r="N329" i="14"/>
  <c r="N327" i="14"/>
  <c r="N325" i="14"/>
  <c r="N323" i="14"/>
  <c r="N321" i="14"/>
  <c r="N319" i="14"/>
  <c r="N317" i="14"/>
  <c r="N315" i="14"/>
  <c r="N313" i="14"/>
  <c r="N311" i="14"/>
  <c r="N309" i="14"/>
  <c r="N307" i="14"/>
  <c r="N305" i="14"/>
  <c r="O302" i="14"/>
  <c r="N301" i="14"/>
  <c r="O298" i="14"/>
  <c r="N297" i="14"/>
  <c r="O294" i="14"/>
  <c r="N293" i="14"/>
  <c r="N287" i="14"/>
  <c r="M283" i="14"/>
  <c r="N280" i="14"/>
  <c r="N271" i="14"/>
  <c r="M267" i="14"/>
  <c r="N264" i="14"/>
  <c r="N255" i="14"/>
  <c r="M251" i="14"/>
  <c r="N248" i="14"/>
  <c r="N239" i="14"/>
  <c r="N235" i="14"/>
  <c r="M234" i="14"/>
  <c r="N225" i="14"/>
  <c r="M224" i="14"/>
  <c r="N221" i="14"/>
  <c r="M220" i="14"/>
  <c r="N217" i="14"/>
  <c r="M216" i="14"/>
  <c r="N213" i="14"/>
  <c r="M212" i="14"/>
  <c r="N209" i="14"/>
  <c r="M208" i="14"/>
  <c r="N205" i="14"/>
  <c r="M204" i="14"/>
  <c r="N201" i="14"/>
  <c r="M200" i="14"/>
  <c r="N197" i="14"/>
  <c r="M196" i="14"/>
  <c r="N190" i="14"/>
  <c r="M190" i="14"/>
  <c r="O190" i="14" s="1"/>
  <c r="M174" i="14"/>
  <c r="N174" i="14" s="1"/>
  <c r="N154" i="14"/>
  <c r="M154" i="14"/>
  <c r="O154" i="14" s="1"/>
  <c r="M152" i="14"/>
  <c r="N152" i="14" s="1"/>
  <c r="O149" i="14"/>
  <c r="O146" i="14"/>
  <c r="O144" i="14"/>
  <c r="M144" i="14"/>
  <c r="N144" i="14" s="1"/>
  <c r="O141" i="14"/>
  <c r="N117" i="14"/>
  <c r="M109" i="14"/>
  <c r="N109" i="14" s="1"/>
  <c r="N99" i="14"/>
  <c r="O99" i="14"/>
  <c r="M93" i="14"/>
  <c r="N93" i="14" s="1"/>
  <c r="M47" i="14"/>
  <c r="O47" i="14" s="1"/>
  <c r="N47" i="14"/>
  <c r="M14" i="14"/>
  <c r="N14" i="14" s="1"/>
  <c r="O14" i="14"/>
  <c r="N57" i="14"/>
  <c r="N21" i="14"/>
  <c r="N17" i="14"/>
  <c r="N13" i="14"/>
  <c r="N9" i="14"/>
  <c r="O3" i="14"/>
  <c r="N83" i="14"/>
  <c r="O78" i="14"/>
  <c r="N69" i="14"/>
  <c r="N53" i="14"/>
  <c r="N34" i="14"/>
  <c r="N30" i="14"/>
  <c r="N26" i="14"/>
  <c r="N5" i="14"/>
  <c r="N3" i="14"/>
  <c r="O79" i="14"/>
  <c r="O59" i="14"/>
  <c r="O54" i="14"/>
  <c r="N290" i="14"/>
  <c r="M289" i="14"/>
  <c r="N286" i="14"/>
  <c r="M285" i="14"/>
  <c r="N282" i="14"/>
  <c r="M281" i="14"/>
  <c r="N278" i="14"/>
  <c r="M277" i="14"/>
  <c r="N274" i="14"/>
  <c r="M273" i="14"/>
  <c r="N270" i="14"/>
  <c r="M269" i="14"/>
  <c r="N266" i="14"/>
  <c r="M265" i="14"/>
  <c r="N262" i="14"/>
  <c r="M261" i="14"/>
  <c r="N258" i="14"/>
  <c r="M257" i="14"/>
  <c r="N254" i="14"/>
  <c r="M253" i="14"/>
  <c r="N250" i="14"/>
  <c r="M249" i="14"/>
  <c r="N246" i="14"/>
  <c r="M245" i="14"/>
  <c r="N242" i="14"/>
  <c r="M241" i="14"/>
  <c r="N238" i="14"/>
  <c r="M237" i="14"/>
  <c r="N193" i="14"/>
  <c r="O193" i="14"/>
  <c r="N189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M290" i="14"/>
  <c r="M286" i="14"/>
  <c r="M282" i="14"/>
  <c r="M278" i="14"/>
  <c r="M274" i="14"/>
  <c r="M270" i="14"/>
  <c r="M266" i="14"/>
  <c r="M262" i="14"/>
  <c r="M258" i="14"/>
  <c r="M254" i="14"/>
  <c r="M250" i="14"/>
  <c r="M246" i="14"/>
  <c r="M242" i="14"/>
  <c r="M238" i="14"/>
  <c r="N192" i="14"/>
  <c r="M192" i="14"/>
  <c r="O192" i="14"/>
  <c r="N188" i="14"/>
  <c r="M188" i="14"/>
  <c r="O188" i="14" s="1"/>
  <c r="N340" i="14"/>
  <c r="N338" i="14"/>
  <c r="N333" i="14"/>
  <c r="N341" i="14"/>
  <c r="N339" i="14"/>
  <c r="N337" i="14"/>
  <c r="N336" i="14"/>
  <c r="N335" i="14"/>
  <c r="N334" i="14"/>
  <c r="N332" i="14"/>
  <c r="N331" i="14"/>
  <c r="N330" i="14"/>
  <c r="N289" i="14"/>
  <c r="M288" i="14"/>
  <c r="N285" i="14"/>
  <c r="M284" i="14"/>
  <c r="N281" i="14"/>
  <c r="M280" i="14"/>
  <c r="N277" i="14"/>
  <c r="M276" i="14"/>
  <c r="N273" i="14"/>
  <c r="M272" i="14"/>
  <c r="N269" i="14"/>
  <c r="M268" i="14"/>
  <c r="N265" i="14"/>
  <c r="M264" i="14"/>
  <c r="N261" i="14"/>
  <c r="M260" i="14"/>
  <c r="N257" i="14"/>
  <c r="M256" i="14"/>
  <c r="N253" i="14"/>
  <c r="M252" i="14"/>
  <c r="N249" i="14"/>
  <c r="M248" i="14"/>
  <c r="N245" i="14"/>
  <c r="M244" i="14"/>
  <c r="N241" i="14"/>
  <c r="M240" i="14"/>
  <c r="N237" i="14"/>
  <c r="M193" i="14"/>
  <c r="M189" i="14"/>
  <c r="O189" i="14" s="1"/>
  <c r="M191" i="14"/>
  <c r="M187" i="14"/>
  <c r="O187" i="14" s="1"/>
  <c r="N186" i="14"/>
  <c r="M183" i="14"/>
  <c r="O183" i="14" s="1"/>
  <c r="O180" i="14"/>
  <c r="M179" i="14"/>
  <c r="N179" i="14" s="1"/>
  <c r="N178" i="14"/>
  <c r="O176" i="14"/>
  <c r="O172" i="14"/>
  <c r="N170" i="14"/>
  <c r="M167" i="14"/>
  <c r="O167" i="14" s="1"/>
  <c r="O164" i="14"/>
  <c r="N162" i="14"/>
  <c r="M159" i="14"/>
  <c r="N159" i="14" s="1"/>
  <c r="N158" i="14"/>
  <c r="M155" i="14"/>
  <c r="O155" i="14" s="1"/>
  <c r="O148" i="14"/>
  <c r="M147" i="14"/>
  <c r="O147" i="14" s="1"/>
  <c r="M139" i="14"/>
  <c r="O139" i="14" s="1"/>
  <c r="N128" i="14"/>
  <c r="N120" i="14"/>
  <c r="O185" i="14"/>
  <c r="M184" i="14"/>
  <c r="O184" i="14" s="1"/>
  <c r="O181" i="14"/>
  <c r="N175" i="14"/>
  <c r="N171" i="14"/>
  <c r="M168" i="14"/>
  <c r="O168" i="14" s="1"/>
  <c r="O165" i="14"/>
  <c r="M164" i="14"/>
  <c r="N164" i="14" s="1"/>
  <c r="N163" i="14"/>
  <c r="M160" i="14"/>
  <c r="O160" i="14" s="1"/>
  <c r="N151" i="14"/>
  <c r="N143" i="14"/>
  <c r="N131" i="14"/>
  <c r="N126" i="14"/>
  <c r="M123" i="14"/>
  <c r="O123" i="14" s="1"/>
  <c r="N118" i="14"/>
  <c r="N180" i="14"/>
  <c r="N176" i="14"/>
  <c r="N172" i="14"/>
  <c r="N156" i="14"/>
  <c r="N140" i="14"/>
  <c r="M137" i="14"/>
  <c r="O137" i="14" s="1"/>
  <c r="N136" i="14"/>
  <c r="M133" i="14"/>
  <c r="O133" i="14" s="1"/>
  <c r="N132" i="14"/>
  <c r="N124" i="14"/>
  <c r="M116" i="14"/>
  <c r="O116" i="14" s="1"/>
  <c r="N116" i="14"/>
  <c r="M112" i="14"/>
  <c r="O112" i="14" s="1"/>
  <c r="N112" i="14"/>
  <c r="N173" i="14"/>
  <c r="N169" i="14"/>
  <c r="O163" i="14"/>
  <c r="N161" i="14"/>
  <c r="O159" i="14"/>
  <c r="N153" i="14"/>
  <c r="O151" i="14"/>
  <c r="N149" i="14"/>
  <c r="N145" i="14"/>
  <c r="O143" i="14"/>
  <c r="N141" i="14"/>
  <c r="O135" i="14"/>
  <c r="O131" i="14"/>
  <c r="M130" i="14"/>
  <c r="O130" i="14" s="1"/>
  <c r="N130" i="14"/>
  <c r="O128" i="14"/>
  <c r="M127" i="14"/>
  <c r="O127" i="14" s="1"/>
  <c r="M122" i="14"/>
  <c r="O122" i="14" s="1"/>
  <c r="N122" i="14"/>
  <c r="O120" i="14"/>
  <c r="O119" i="14"/>
  <c r="O115" i="14"/>
  <c r="N114" i="14"/>
  <c r="O111" i="14"/>
  <c r="N110" i="14"/>
  <c r="N106" i="14"/>
  <c r="N102" i="14"/>
  <c r="N98" i="14"/>
  <c r="N94" i="14"/>
  <c r="N90" i="14"/>
  <c r="N86" i="14"/>
  <c r="N78" i="14"/>
  <c r="M68" i="14"/>
  <c r="O68" i="14" s="1"/>
  <c r="N68" i="14"/>
  <c r="O108" i="14"/>
  <c r="O104" i="14"/>
  <c r="O100" i="14"/>
  <c r="O96" i="14"/>
  <c r="O92" i="14"/>
  <c r="O88" i="14"/>
  <c r="M84" i="14"/>
  <c r="N84" i="14" s="1"/>
  <c r="O82" i="14"/>
  <c r="M81" i="14"/>
  <c r="O81" i="14" s="1"/>
  <c r="M76" i="14"/>
  <c r="O76" i="14" s="1"/>
  <c r="N76" i="14"/>
  <c r="O74" i="14"/>
  <c r="M73" i="14"/>
  <c r="O73" i="14" s="1"/>
  <c r="M64" i="14"/>
  <c r="N64" i="14" s="1"/>
  <c r="O64" i="14"/>
  <c r="O109" i="14"/>
  <c r="N108" i="14"/>
  <c r="O105" i="14"/>
  <c r="N104" i="14"/>
  <c r="O101" i="14"/>
  <c r="N100" i="14"/>
  <c r="O97" i="14"/>
  <c r="N96" i="14"/>
  <c r="O93" i="14"/>
  <c r="N92" i="14"/>
  <c r="O89" i="14"/>
  <c r="N88" i="14"/>
  <c r="N82" i="14"/>
  <c r="N74" i="14"/>
  <c r="M60" i="14"/>
  <c r="N60" i="14" s="1"/>
  <c r="O60" i="14"/>
  <c r="M85" i="14"/>
  <c r="N85" i="14" s="1"/>
  <c r="O85" i="14"/>
  <c r="M80" i="14"/>
  <c r="N80" i="14" s="1"/>
  <c r="M77" i="14"/>
  <c r="O77" i="14" s="1"/>
  <c r="M72" i="14"/>
  <c r="O72" i="14" s="1"/>
  <c r="N72" i="14"/>
  <c r="O56" i="14"/>
  <c r="O52" i="14"/>
  <c r="O48" i="14"/>
  <c r="O44" i="14"/>
  <c r="N43" i="14"/>
  <c r="O40" i="14"/>
  <c r="N39" i="14"/>
  <c r="O36" i="14"/>
  <c r="O32" i="14"/>
  <c r="N31" i="14"/>
  <c r="O28" i="14"/>
  <c r="O24" i="14"/>
  <c r="O20" i="14"/>
  <c r="N19" i="14"/>
  <c r="O16" i="14"/>
  <c r="N15" i="14"/>
  <c r="O12" i="14"/>
  <c r="O8" i="14"/>
  <c r="O4" i="14"/>
  <c r="O69" i="14"/>
  <c r="O65" i="14"/>
  <c r="O61" i="14"/>
  <c r="O57" i="14"/>
  <c r="N56" i="14"/>
  <c r="O53" i="14"/>
  <c r="N52" i="14"/>
  <c r="O49" i="14"/>
  <c r="N48" i="14"/>
  <c r="O45" i="14"/>
  <c r="N44" i="14"/>
  <c r="O41" i="14"/>
  <c r="N40" i="14"/>
  <c r="O37" i="14"/>
  <c r="N36" i="14"/>
  <c r="O33" i="14"/>
  <c r="N32" i="14"/>
  <c r="O29" i="14"/>
  <c r="N28" i="14"/>
  <c r="O25" i="14"/>
  <c r="N24" i="14"/>
  <c r="O21" i="14"/>
  <c r="N20" i="14"/>
  <c r="O17" i="14"/>
  <c r="N16" i="14"/>
  <c r="O13" i="14"/>
  <c r="N12" i="14"/>
  <c r="O9" i="14"/>
  <c r="N8" i="14"/>
  <c r="O5" i="14"/>
  <c r="N4" i="14"/>
  <c r="L85" i="12"/>
  <c r="L46" i="12"/>
  <c r="L22" i="12"/>
  <c r="L271" i="12"/>
  <c r="M311" i="12"/>
  <c r="M283" i="12"/>
  <c r="M275" i="12"/>
  <c r="M299" i="12"/>
  <c r="M291" i="12"/>
  <c r="M282" i="12"/>
  <c r="L305" i="12"/>
  <c r="L255" i="12"/>
  <c r="M306" i="12"/>
  <c r="M246" i="12"/>
  <c r="L246" i="12" s="1"/>
  <c r="M138" i="12"/>
  <c r="L138" i="12" s="1"/>
  <c r="L278" i="12"/>
  <c r="L298" i="12"/>
  <c r="M286" i="12"/>
  <c r="M274" i="12"/>
  <c r="M310" i="12"/>
  <c r="M273" i="12"/>
  <c r="L150" i="12"/>
  <c r="L266" i="12"/>
  <c r="M302" i="12"/>
  <c r="M290" i="12"/>
  <c r="M270" i="12"/>
  <c r="M166" i="12"/>
  <c r="L166" i="12" s="1"/>
  <c r="M289" i="12"/>
  <c r="L258" i="12"/>
  <c r="L313" i="12"/>
  <c r="M313" i="12"/>
  <c r="L297" i="12"/>
  <c r="M297" i="12"/>
  <c r="L281" i="12"/>
  <c r="M281" i="12"/>
  <c r="M265" i="12"/>
  <c r="L265" i="12" s="1"/>
  <c r="L241" i="12"/>
  <c r="M233" i="12"/>
  <c r="L233" i="12" s="1"/>
  <c r="L225" i="12"/>
  <c r="M217" i="12"/>
  <c r="L217" i="12" s="1"/>
  <c r="L205" i="12"/>
  <c r="L197" i="12"/>
  <c r="M189" i="12"/>
  <c r="L189" i="12" s="1"/>
  <c r="M177" i="12"/>
  <c r="L177" i="12" s="1"/>
  <c r="L161" i="12"/>
  <c r="M131" i="12"/>
  <c r="L131" i="12" s="1"/>
  <c r="L296" i="12"/>
  <c r="M296" i="12"/>
  <c r="M264" i="12"/>
  <c r="L264" i="12" s="1"/>
  <c r="M240" i="12"/>
  <c r="L240" i="12" s="1"/>
  <c r="M208" i="12"/>
  <c r="L208" i="12" s="1"/>
  <c r="M176" i="12"/>
  <c r="L176" i="12" s="1"/>
  <c r="M304" i="12"/>
  <c r="L304" i="12"/>
  <c r="M272" i="12"/>
  <c r="L272" i="12"/>
  <c r="M254" i="12"/>
  <c r="L254" i="12" s="1"/>
  <c r="M248" i="12"/>
  <c r="L248" i="12" s="1"/>
  <c r="M216" i="12"/>
  <c r="L216" i="12" s="1"/>
  <c r="M184" i="12"/>
  <c r="L184" i="12" s="1"/>
  <c r="M312" i="12"/>
  <c r="L312" i="12"/>
  <c r="L280" i="12"/>
  <c r="M280" i="12"/>
  <c r="M224" i="12"/>
  <c r="L224" i="12" s="1"/>
  <c r="M192" i="12"/>
  <c r="L192" i="12" s="1"/>
  <c r="M288" i="12"/>
  <c r="L288" i="12"/>
  <c r="M256" i="12"/>
  <c r="L256" i="12" s="1"/>
  <c r="M232" i="12"/>
  <c r="L232" i="12" s="1"/>
  <c r="M200" i="12"/>
  <c r="L200" i="12" s="1"/>
  <c r="M160" i="12"/>
  <c r="L160" i="12" s="1"/>
  <c r="M2" i="12"/>
  <c r="L2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<sst xmlns="http://schemas.openxmlformats.org/spreadsheetml/2006/main" count="5715" uniqueCount="1821">
  <si>
    <t>م</t>
  </si>
  <si>
    <t>العين</t>
  </si>
  <si>
    <t xml:space="preserve">الطبيب المعالج </t>
  </si>
  <si>
    <t>التليفون</t>
  </si>
  <si>
    <t>العنوان</t>
  </si>
  <si>
    <t>الرقم الطبي</t>
  </si>
  <si>
    <t>التاريخ</t>
  </si>
  <si>
    <t>الاسم</t>
  </si>
  <si>
    <t xml:space="preserve"> </t>
  </si>
  <si>
    <t xml:space="preserve">  </t>
  </si>
  <si>
    <t>قناه دمعيه</t>
  </si>
  <si>
    <t>ظفره</t>
  </si>
  <si>
    <t>افاستن</t>
  </si>
  <si>
    <t>ازاله غرز</t>
  </si>
  <si>
    <t>شعره</t>
  </si>
  <si>
    <t>الدكتور</t>
  </si>
  <si>
    <t>نوع الاشعة</t>
  </si>
  <si>
    <t>نوع العدسة</t>
  </si>
  <si>
    <t>power</t>
  </si>
  <si>
    <t>المقابل</t>
  </si>
  <si>
    <t>الطبيب</t>
  </si>
  <si>
    <t>المريض</t>
  </si>
  <si>
    <t>المستلم</t>
  </si>
  <si>
    <t>سعر الكشف شامل( فحص قاع العين - ضغط العين - نظارة )</t>
  </si>
  <si>
    <t>نوع التعاقد</t>
  </si>
  <si>
    <t>الدكتور القائم بذلك</t>
  </si>
  <si>
    <t xml:space="preserve">التاريخ </t>
  </si>
  <si>
    <t xml:space="preserve">مباه بيضاء </t>
  </si>
  <si>
    <t xml:space="preserve">كيس دهني </t>
  </si>
  <si>
    <t>ازاله انبوبه دمعيه</t>
  </si>
  <si>
    <t>ليزك</t>
  </si>
  <si>
    <t>انفصال شبكى</t>
  </si>
  <si>
    <t>م بيضاء وانفصال شبكى</t>
  </si>
  <si>
    <t>مياه بيضاء وافاستن</t>
  </si>
  <si>
    <t>ازاله سليكون</t>
  </si>
  <si>
    <t>مياه زرقاء</t>
  </si>
  <si>
    <t>ازاله جسم زجاجى</t>
  </si>
  <si>
    <t>زرع قرنيه</t>
  </si>
  <si>
    <t>اعاده انفصال شبكي</t>
  </si>
  <si>
    <t>Column1</t>
  </si>
  <si>
    <t xml:space="preserve">غرزه بالعين </t>
  </si>
  <si>
    <t>عدسه تورك</t>
  </si>
  <si>
    <t>فحص تحت مخدر كلى</t>
  </si>
  <si>
    <t>ارتخاء جفن</t>
  </si>
  <si>
    <t>تعديل عدسه</t>
  </si>
  <si>
    <t xml:space="preserve">ازاله رايش </t>
  </si>
  <si>
    <t>اعاده ليزك</t>
  </si>
  <si>
    <t>م بيضاء وقرنيه</t>
  </si>
  <si>
    <t>غسيل خزانه</t>
  </si>
  <si>
    <t>كى رموش</t>
  </si>
  <si>
    <t>م بيضاء وزرقاء</t>
  </si>
  <si>
    <t>تفريغ</t>
  </si>
  <si>
    <t>جرح قطعى بالجفن</t>
  </si>
  <si>
    <t>حقن هواء بالخزانه الاماميه</t>
  </si>
  <si>
    <t>م بيضاء وحقن</t>
  </si>
  <si>
    <t>زرع icl</t>
  </si>
  <si>
    <t>حول</t>
  </si>
  <si>
    <t>انفجار بمقله العغين</t>
  </si>
  <si>
    <t xml:space="preserve">الاسم </t>
  </si>
  <si>
    <t>ازاله كيس مائى بالملتحمه</t>
  </si>
  <si>
    <t xml:space="preserve">ورم بالجفن </t>
  </si>
  <si>
    <t>زرع عدسه ثانويه</t>
  </si>
  <si>
    <t>اصلاح قناه دمعيه</t>
  </si>
  <si>
    <t>م بيضاء وازاله غرز</t>
  </si>
  <si>
    <t>كيس شمعى</t>
  </si>
  <si>
    <t>اصلاح ارتخاء جفن</t>
  </si>
  <si>
    <t xml:space="preserve">غسل فلابه </t>
  </si>
  <si>
    <t xml:space="preserve">م بيضاء وازاله سليكون </t>
  </si>
  <si>
    <t xml:space="preserve">مسح قرنيه </t>
  </si>
  <si>
    <t xml:space="preserve">فحوصات التامين الصحى </t>
  </si>
  <si>
    <t>نوع الاشاعه</t>
  </si>
  <si>
    <t>م بيضاء وازاله جسم زجاجى</t>
  </si>
  <si>
    <t>ازاله كيس بالملتحمه</t>
  </si>
  <si>
    <t>ازاله زايده جلديه</t>
  </si>
  <si>
    <t>استبدال عدسه</t>
  </si>
  <si>
    <t>ازاله حسنه</t>
  </si>
  <si>
    <t>ازاله زايده باللحميه</t>
  </si>
  <si>
    <t>ازاله جسم زجاجى وزرع عدسه</t>
  </si>
  <si>
    <t>ازاله ورم بالملتحمه</t>
  </si>
  <si>
    <t>خياطه جرح بالجفن السفلي</t>
  </si>
  <si>
    <t xml:space="preserve">اعاده زرع عدسه </t>
  </si>
  <si>
    <t>نزيف بالجسم الزجاجى</t>
  </si>
  <si>
    <t xml:space="preserve">حقن ابرايفوان </t>
  </si>
  <si>
    <t xml:space="preserve">ورم حميد </t>
  </si>
  <si>
    <t xml:space="preserve">كيس مائي </t>
  </si>
  <si>
    <t xml:space="preserve">استعدال جفن </t>
  </si>
  <si>
    <t xml:space="preserve">استبدال عدسه </t>
  </si>
  <si>
    <t>اختبار قناه دمعيه</t>
  </si>
  <si>
    <t xml:space="preserve">حقن هوا بالخزانه الاماميه </t>
  </si>
  <si>
    <t>ازاله وحمه</t>
  </si>
  <si>
    <t>عمود1</t>
  </si>
  <si>
    <t>اعاده حول</t>
  </si>
  <si>
    <t>تعديل عدسه ارتيزان</t>
  </si>
  <si>
    <t>كيس دمعي وتركيب دعامه</t>
  </si>
  <si>
    <t>تركيب دعامه</t>
  </si>
  <si>
    <t>انسداد قناه دمعيه</t>
  </si>
  <si>
    <t>غسيل قرنيه</t>
  </si>
  <si>
    <t>مياه بيضاء وظفره</t>
  </si>
  <si>
    <t xml:space="preserve">زرع عدسه ارتيزان </t>
  </si>
  <si>
    <t>Column2</t>
  </si>
  <si>
    <t>Column3</t>
  </si>
  <si>
    <t>Column4</t>
  </si>
  <si>
    <t>ازاله عدسه icl</t>
  </si>
  <si>
    <t>ازاله جسم زجاجي وحقن سيلكون</t>
  </si>
  <si>
    <t>نزيف بالجسم الزجاجي وانفصال شبكيه</t>
  </si>
  <si>
    <t>غسيل بالجسم الزجاجي</t>
  </si>
  <si>
    <t>زرع عدسه خاصه</t>
  </si>
  <si>
    <t>انفصال شبكي وتليفات علي مركز الابصار</t>
  </si>
  <si>
    <t xml:space="preserve">مياه بيضاء وازاله جسم زجاجي امامي </t>
  </si>
  <si>
    <t>ذذذذ</t>
  </si>
  <si>
    <t>ذذذذذذذذذذذذذذذذذذذذذذذذذذذذذذذذذذذذ</t>
  </si>
  <si>
    <t>ازاله كيس مياه</t>
  </si>
  <si>
    <t xml:space="preserve">انفصال شبكي وازاله تليفات </t>
  </si>
  <si>
    <t>زياده سيلكون</t>
  </si>
  <si>
    <t>انفصال شبكي وازاله جسم زجاجي</t>
  </si>
  <si>
    <t>انفصال شبكي وترقيع بالجسم الزجاجي</t>
  </si>
  <si>
    <t>اصلاح انفصال شبكي مرتجع</t>
  </si>
  <si>
    <t xml:space="preserve">مياه بيضاء وازاله تليفات </t>
  </si>
  <si>
    <t>ازاله عدسه iclوميااه بيضاء</t>
  </si>
  <si>
    <t>ازالة غرز</t>
  </si>
  <si>
    <t>ازاله النسيج الطلائي للقرنيه</t>
  </si>
  <si>
    <t>غرز</t>
  </si>
  <si>
    <t>غسيل بعد مياه بيضاء</t>
  </si>
  <si>
    <t>مياه بيضاء بدون زرع عدسه</t>
  </si>
  <si>
    <t>شعره جراحيه</t>
  </si>
  <si>
    <t xml:space="preserve">     </t>
  </si>
  <si>
    <t>كشف خلال شهريونيو</t>
  </si>
  <si>
    <t>فحوصات يونيو 2024</t>
  </si>
  <si>
    <t>تسجيل العدسات2024</t>
  </si>
  <si>
    <t>ياج يونيو2024</t>
  </si>
  <si>
    <t>ارجون يونيو 2024</t>
  </si>
  <si>
    <t>ou</t>
  </si>
  <si>
    <t>احمد عادل</t>
  </si>
  <si>
    <t>خالد عبد العظيم</t>
  </si>
  <si>
    <t>لا يوجد</t>
  </si>
  <si>
    <t>عمرو الجارحي</t>
  </si>
  <si>
    <t>محمود فوزي</t>
  </si>
  <si>
    <t>بديعه عياد ابراهيم</t>
  </si>
  <si>
    <t>كشف</t>
  </si>
  <si>
    <t>بني وركان</t>
  </si>
  <si>
    <t>فايز صالح مكسيموس</t>
  </si>
  <si>
    <t>os</t>
  </si>
  <si>
    <t>مقطعيه</t>
  </si>
  <si>
    <t>صافيناز</t>
  </si>
  <si>
    <t>صباح عبد الحميد محمد</t>
  </si>
  <si>
    <t>مقطعيه+صبغه</t>
  </si>
  <si>
    <t>محمد حسن</t>
  </si>
  <si>
    <t>عزه محمد وجيه</t>
  </si>
  <si>
    <t>od</t>
  </si>
  <si>
    <t>زينب عبد الله مسعد</t>
  </si>
  <si>
    <t>صبغه</t>
  </si>
  <si>
    <t>شرين احمد محمد</t>
  </si>
  <si>
    <t>مقطعيه+ صبغه +تصوير ملون</t>
  </si>
  <si>
    <t>عمرو صلاح الدين</t>
  </si>
  <si>
    <t>هناء محروس توفيق</t>
  </si>
  <si>
    <t>مي احمد محروس</t>
  </si>
  <si>
    <t>تامين صحي</t>
  </si>
  <si>
    <t>احمد محمود ابراهيم</t>
  </si>
  <si>
    <t>عمرو عبد الرحمن</t>
  </si>
  <si>
    <t>مينا مجدي</t>
  </si>
  <si>
    <t>تريزا شهدي بطرس</t>
  </si>
  <si>
    <t>جوزيف جورج</t>
  </si>
  <si>
    <t>شكريه بشري غطاس</t>
  </si>
  <si>
    <t>بثينه الحسيني علي</t>
  </si>
  <si>
    <t>شهيره محمد شلقامي</t>
  </si>
  <si>
    <t>عدلي رشدي مسعد</t>
  </si>
  <si>
    <t>محمد مطاوع</t>
  </si>
  <si>
    <t>ملكه سليمان انداروس</t>
  </si>
  <si>
    <t>فله احمد ابراهيم</t>
  </si>
  <si>
    <t>عواطف محمد عاشور</t>
  </si>
  <si>
    <t>نرجس سليمان حنا</t>
  </si>
  <si>
    <t>محمود عماد صلاح</t>
  </si>
  <si>
    <t>عفاف سامي حكيم</t>
  </si>
  <si>
    <t>اشرف فكري</t>
  </si>
  <si>
    <t>سعديه حسن عرفان</t>
  </si>
  <si>
    <t>مركز النيل</t>
  </si>
  <si>
    <t>سعاد حسن محمد</t>
  </si>
  <si>
    <t>محمد جبريل عبد الله</t>
  </si>
  <si>
    <t>محروس شاهين</t>
  </si>
  <si>
    <t>نورا درويش محمد</t>
  </si>
  <si>
    <t>عبد الجواد عبد العظيم غرز الدين</t>
  </si>
  <si>
    <t>محمد عبد الحميد البرنس</t>
  </si>
  <si>
    <t>اميره محمد محمد عبد الله</t>
  </si>
  <si>
    <t>صفاء هاشم</t>
  </si>
  <si>
    <t>عصام محمد علي</t>
  </si>
  <si>
    <t>دهب علي محمد</t>
  </si>
  <si>
    <t>سونار</t>
  </si>
  <si>
    <t>امل محمود محمد</t>
  </si>
  <si>
    <t>الرمد</t>
  </si>
  <si>
    <t>هديه مختار موسي</t>
  </si>
  <si>
    <t>صباح محمد عثمان</t>
  </si>
  <si>
    <t>سعاد حسن علي</t>
  </si>
  <si>
    <t>عدل حجازي احمد</t>
  </si>
  <si>
    <t>سعيد كامل سعيد</t>
  </si>
  <si>
    <t>جزء امامي</t>
  </si>
  <si>
    <t>سونار+مقاس</t>
  </si>
  <si>
    <t>احمد البحار</t>
  </si>
  <si>
    <t>عزت توفيق احمد</t>
  </si>
  <si>
    <t>محمد مصطفي احمد</t>
  </si>
  <si>
    <t>العباسيه</t>
  </si>
  <si>
    <t>مقاس نظر اطفال</t>
  </si>
  <si>
    <t>ياسمين حسن سعد</t>
  </si>
  <si>
    <t>حبيبيه محمود شعبان</t>
  </si>
  <si>
    <t>تولين ربيع معوض</t>
  </si>
  <si>
    <t>ناديه حسين حسن</t>
  </si>
  <si>
    <t>حمدي ابراهيم قطب</t>
  </si>
  <si>
    <t>اشرف صبحي محمد</t>
  </si>
  <si>
    <t>سلطان حنفي عبد الوهاب</t>
  </si>
  <si>
    <t>احمد علي</t>
  </si>
  <si>
    <t>بيشوي اسامه سعد</t>
  </si>
  <si>
    <t>شارونه</t>
  </si>
  <si>
    <t>رشا حسين عبد الوهاب</t>
  </si>
  <si>
    <t>مغاغه</t>
  </si>
  <si>
    <t>محمود عبد المجيد</t>
  </si>
  <si>
    <t>جميله سيد اسطاوي</t>
  </si>
  <si>
    <t>مقاس عدسه</t>
  </si>
  <si>
    <t>محمد عبد الله محمد</t>
  </si>
  <si>
    <t>حنان عامر عبد السلام</t>
  </si>
  <si>
    <t>فاطمه عبد الصمد علي</t>
  </si>
  <si>
    <t>جمعه حفظي محمد</t>
  </si>
  <si>
    <t>يحيي  عبد الجواد محمد</t>
  </si>
  <si>
    <t>هند علي عبد الحميد</t>
  </si>
  <si>
    <t>بدر الفولي صابر</t>
  </si>
  <si>
    <t>تالين ابراهيم عبد الوهاب</t>
  </si>
  <si>
    <t>احمد محمد احمد</t>
  </si>
  <si>
    <t>راندا علي ابراهيم</t>
  </si>
  <si>
    <t>ماجده عقوله</t>
  </si>
  <si>
    <t>زين طه رمضان</t>
  </si>
  <si>
    <t>فاطمه غرياني علي</t>
  </si>
  <si>
    <t>عماد رجب مبروك</t>
  </si>
  <si>
    <t>ناديه زكي ابراهيم</t>
  </si>
  <si>
    <t>علي محمد موسي</t>
  </si>
  <si>
    <t>احمد محمد حسن</t>
  </si>
  <si>
    <t>جمالات فضل عبد الجواد</t>
  </si>
  <si>
    <t>حسني عبد الحليم ابراهيم</t>
  </si>
  <si>
    <t>سعديه صالح عبد العليم</t>
  </si>
  <si>
    <t>شعبان سيد احمد</t>
  </si>
  <si>
    <t>حمدي موسي حسن</t>
  </si>
  <si>
    <t>مني فولي عبدالعظيم</t>
  </si>
  <si>
    <t>صفيه ياسين طحاوي</t>
  </si>
  <si>
    <t>محروس محمد احمد</t>
  </si>
  <si>
    <t>رشدي علاء الدين محمد</t>
  </si>
  <si>
    <t>علاء محمد جمال السيد</t>
  </si>
  <si>
    <t>شعبان محمد قرني</t>
  </si>
  <si>
    <t>مقطعيه جزء امامي</t>
  </si>
  <si>
    <t>روماني ملاك فايق</t>
  </si>
  <si>
    <t>سامح ياسين علي</t>
  </si>
  <si>
    <t>سميره علي حسن</t>
  </si>
  <si>
    <t>رحاب ابراهيم</t>
  </si>
  <si>
    <t>حمدي رمضان مهدي</t>
  </si>
  <si>
    <t>ياسر عبد العظيم احمد</t>
  </si>
  <si>
    <t>اسماء محمد احمد</t>
  </si>
  <si>
    <t>ربيع عبد العظيم مرزوق</t>
  </si>
  <si>
    <t>مبروكه مرعي ابراهيم</t>
  </si>
  <si>
    <t>سناء سامح عبد الحليم</t>
  </si>
  <si>
    <t>نجلاء فتحي محمد</t>
  </si>
  <si>
    <t>احمد عبد اللاه</t>
  </si>
  <si>
    <t>عايده حليم عبد الشهيد</t>
  </si>
  <si>
    <t>صباح شعبان فكري</t>
  </si>
  <si>
    <t>كشف د/ احمد محمد حسن</t>
  </si>
  <si>
    <t>هبه خليل ابراهيم</t>
  </si>
  <si>
    <t>بني مزار</t>
  </si>
  <si>
    <t xml:space="preserve">نجاح عبد العفار دسوقي </t>
  </si>
  <si>
    <t>محمود لطفي</t>
  </si>
  <si>
    <t>سعديه محمود محمد</t>
  </si>
  <si>
    <t>سهير محمد</t>
  </si>
  <si>
    <t xml:space="preserve">مجدي كامل </t>
  </si>
  <si>
    <t xml:space="preserve">عمرو الجارحي </t>
  </si>
  <si>
    <t xml:space="preserve">ابتسام اسماعيل محمد </t>
  </si>
  <si>
    <t>كشف د/ محروس شاهين</t>
  </si>
  <si>
    <t xml:space="preserve">الفشن </t>
  </si>
  <si>
    <t xml:space="preserve">اروي مختار صادق </t>
  </si>
  <si>
    <t>نادر صادق</t>
  </si>
  <si>
    <t>نعمه عبد الله علي</t>
  </si>
  <si>
    <t>عبير خالد قرشي</t>
  </si>
  <si>
    <t xml:space="preserve">رحاب ابراهيم </t>
  </si>
  <si>
    <t xml:space="preserve">هناء رمضان غرياني </t>
  </si>
  <si>
    <t xml:space="preserve">عطا حنا عبد الشهيد </t>
  </si>
  <si>
    <t xml:space="preserve">كشف </t>
  </si>
  <si>
    <t>لايوجد</t>
  </si>
  <si>
    <t xml:space="preserve">محمود لطفي </t>
  </si>
  <si>
    <t>جمالات حسن خليفه</t>
  </si>
  <si>
    <t>حميده محمد عبد الله</t>
  </si>
  <si>
    <t>رضا محمد محمد</t>
  </si>
  <si>
    <t>نعيمه قاسم شعبان</t>
  </si>
  <si>
    <t>حمديه ابراهيم كامل</t>
  </si>
  <si>
    <t>ربيع شعبان ابراهيم</t>
  </si>
  <si>
    <t>اميمه محمد عبد الصمد</t>
  </si>
  <si>
    <t>مركز+عصب</t>
  </si>
  <si>
    <t>امل سعيد كامل</t>
  </si>
  <si>
    <t>محمد عبد العظيم مبروك</t>
  </si>
  <si>
    <t>صلاح يوسف عبد الحميد</t>
  </si>
  <si>
    <t>ناديه محمد محمد</t>
  </si>
  <si>
    <t>حسناء رضا دسوقي</t>
  </si>
  <si>
    <t>اميره ناجي محمد</t>
  </si>
  <si>
    <t>مني سعد محمد</t>
  </si>
  <si>
    <t>شاديه راضي احمد</t>
  </si>
  <si>
    <t>حسن حامد محمود</t>
  </si>
  <si>
    <t>كشف  جلوب ميد</t>
  </si>
  <si>
    <t>ياسمين جلال حسين</t>
  </si>
  <si>
    <t>ماري رؤوف عطالله</t>
  </si>
  <si>
    <t>عيده السيد محمود</t>
  </si>
  <si>
    <t>Ou</t>
  </si>
  <si>
    <t>بدر محمد سليمان</t>
  </si>
  <si>
    <t>حمديه محمد احمد</t>
  </si>
  <si>
    <t>السيد محمد عبد السلام</t>
  </si>
  <si>
    <t>احمد السيد علي</t>
  </si>
  <si>
    <t>احمد سيد فرج</t>
  </si>
  <si>
    <t>عبد الجيد احمد مصطفي</t>
  </si>
  <si>
    <t>أحمد عادل</t>
  </si>
  <si>
    <t>كمال حبيب جرجس</t>
  </si>
  <si>
    <t>كريم احمد محمد</t>
  </si>
  <si>
    <t>فتحيه راشد عبد الوهاب</t>
  </si>
  <si>
    <t>مني ربيع عبد الحميد</t>
  </si>
  <si>
    <t>سميره شحاته سيدهم</t>
  </si>
  <si>
    <t>ذكيه احمد محمد</t>
  </si>
  <si>
    <t>مصطفي ربيع احمد</t>
  </si>
  <si>
    <t>فاطمه خلف محمد</t>
  </si>
  <si>
    <t>عصام يوسف احمد</t>
  </si>
  <si>
    <t>سميره فاضل</t>
  </si>
  <si>
    <t>محمد عبد العظيم عبد الوهاب</t>
  </si>
  <si>
    <t>محمد طه شعبان</t>
  </si>
  <si>
    <t>هاني سمير حنا</t>
  </si>
  <si>
    <t>أحمد البحار</t>
  </si>
  <si>
    <t>صدام عبد الحميد محمد</t>
  </si>
  <si>
    <t>ازهار محروس محمد</t>
  </si>
  <si>
    <t>سميره عبد الوهاب</t>
  </si>
  <si>
    <t>نجلاء زغلول عبد الله</t>
  </si>
  <si>
    <t>زاهيه حسن صالح</t>
  </si>
  <si>
    <t>كريم احمد حسن</t>
  </si>
  <si>
    <t>صباح عاشور عشري</t>
  </si>
  <si>
    <t>شفا بسيوني عبد الحميد</t>
  </si>
  <si>
    <t>مريم حسن صبري</t>
  </si>
  <si>
    <t>هنا عبد المنعم محمد</t>
  </si>
  <si>
    <t>عبد العظيم محمد عبد العظيم</t>
  </si>
  <si>
    <t>حور احمد محمود</t>
  </si>
  <si>
    <t>ناهد خالد عبد العظيم</t>
  </si>
  <si>
    <t>مينا مجدي حنا</t>
  </si>
  <si>
    <t>امال عبد الله كامل</t>
  </si>
  <si>
    <t>عزيزه ابراهيم محمود</t>
  </si>
  <si>
    <t>عبد المنعم حسن جمعه</t>
  </si>
  <si>
    <t>انجي صموئيل سليمان</t>
  </si>
  <si>
    <t>ن</t>
  </si>
  <si>
    <t>بني واللمس</t>
  </si>
  <si>
    <t>صباح محمد ذكي</t>
  </si>
  <si>
    <t>امنه محمد السيد</t>
  </si>
  <si>
    <t>رمضان محمد احمد</t>
  </si>
  <si>
    <t>يارا صالحين يحي</t>
  </si>
  <si>
    <t>محمد حسن محروس</t>
  </si>
  <si>
    <t>نجاه عادل رجب</t>
  </si>
  <si>
    <t>شيماء محمد السيد</t>
  </si>
  <si>
    <t>كشف  د/ احمد محمد حسن</t>
  </si>
  <si>
    <t>احمد يونس</t>
  </si>
  <si>
    <t>ربيع عبد العظيم محمد</t>
  </si>
  <si>
    <t>OD</t>
  </si>
  <si>
    <t>كوثر عبد الغني محمد</t>
  </si>
  <si>
    <t>OU</t>
  </si>
  <si>
    <t>ماجد مجلي القس</t>
  </si>
  <si>
    <t>ميلاد نجيب غالي</t>
  </si>
  <si>
    <t>OS</t>
  </si>
  <si>
    <t>نجاح منجي عياد</t>
  </si>
  <si>
    <t>سوزان يوسف الياس</t>
  </si>
  <si>
    <t>مصطفي محمد ابراهيم</t>
  </si>
  <si>
    <t>اسحق ابراهيم ذكي</t>
  </si>
  <si>
    <t>مكاسب معبد الجهمي</t>
  </si>
  <si>
    <t>رزقه حسن علي</t>
  </si>
  <si>
    <t>عاطف وفقي عبد الجواد</t>
  </si>
  <si>
    <t>ايزيس فوكيه ولسن</t>
  </si>
  <si>
    <t>ورده خلف ذكي</t>
  </si>
  <si>
    <t>ناعسه فؤاد محمد</t>
  </si>
  <si>
    <t>عبد الباسط عبد الحكيم</t>
  </si>
  <si>
    <t>مروه احمد شوقي</t>
  </si>
  <si>
    <t>محمد عمار راضي</t>
  </si>
  <si>
    <t>زينب عمر محمد</t>
  </si>
  <si>
    <t>وفاء حسن محمد</t>
  </si>
  <si>
    <t>مني عبد الله زكي</t>
  </si>
  <si>
    <t>جمال مصطفي محمد</t>
  </si>
  <si>
    <t>كلثوم بكري شلقامي</t>
  </si>
  <si>
    <t>علي مصطفي محمد</t>
  </si>
  <si>
    <t>مني رمزي خليل</t>
  </si>
  <si>
    <t>نجاح محمد حسن</t>
  </si>
  <si>
    <t>مريم نجيب عيسي</t>
  </si>
  <si>
    <t>محمود الضيفي</t>
  </si>
  <si>
    <t>سعديه حسن عبد الرحيم</t>
  </si>
  <si>
    <t>محمود المغربي</t>
  </si>
  <si>
    <t>ناديه عويس قرني</t>
  </si>
  <si>
    <t>نعسه فرغلي عبد المنعم</t>
  </si>
  <si>
    <t>قمر حسين محمد</t>
  </si>
  <si>
    <t>راضيه محمد حافظ</t>
  </si>
  <si>
    <t>احمد عبد الحميد عبد العظيم</t>
  </si>
  <si>
    <t>مليكه محمد عيد</t>
  </si>
  <si>
    <t>احمد عبده</t>
  </si>
  <si>
    <t>فاطمه رضي عبد الحكيم</t>
  </si>
  <si>
    <t>محمود عربي جمال</t>
  </si>
  <si>
    <t>رجب سيد محمد</t>
  </si>
  <si>
    <t>احمد احمد محمد</t>
  </si>
  <si>
    <t>شعبان معتمد عيد</t>
  </si>
  <si>
    <t>ناديه حليم نخله</t>
  </si>
  <si>
    <t>ماهي احمد شحاته</t>
  </si>
  <si>
    <t>ريتاج ابوبكر ناجح</t>
  </si>
  <si>
    <t>خديجه محمد معوض</t>
  </si>
  <si>
    <t>ساره رمضان مصطفي</t>
  </si>
  <si>
    <t>محمد مصطفي محي الدين</t>
  </si>
  <si>
    <t>حمزه ايمن محمد</t>
  </si>
  <si>
    <t>نجيه سيد حسن</t>
  </si>
  <si>
    <t>نهي عيد علي</t>
  </si>
  <si>
    <t>المسيد</t>
  </si>
  <si>
    <t>حسانين محمد احمد</t>
  </si>
  <si>
    <t>شريف صابر</t>
  </si>
  <si>
    <t>سحر نشأت</t>
  </si>
  <si>
    <t>مني شحاته حسن</t>
  </si>
  <si>
    <t>Od</t>
  </si>
  <si>
    <t>لانش عوض محمد</t>
  </si>
  <si>
    <t>حسام جيره</t>
  </si>
  <si>
    <t xml:space="preserve">فاطمه احمد </t>
  </si>
  <si>
    <t>احمد قطب ابراهيم</t>
  </si>
  <si>
    <t>محمود احمد محمود</t>
  </si>
  <si>
    <t>عباد شارونه</t>
  </si>
  <si>
    <t>عكاشه محمد عكاشه</t>
  </si>
  <si>
    <t>ابا</t>
  </si>
  <si>
    <t>ايمان حسن محمد</t>
  </si>
  <si>
    <t>احمد علي عبد الجواد</t>
  </si>
  <si>
    <t xml:space="preserve">تاسوني عواطف حنين </t>
  </si>
  <si>
    <t xml:space="preserve">نعمات عبد الوهاب </t>
  </si>
  <si>
    <t>حنان عثمان احمد</t>
  </si>
  <si>
    <t xml:space="preserve">مي خالد عيد </t>
  </si>
  <si>
    <t>عليه فرج الله سعيد</t>
  </si>
  <si>
    <t>هناء عبد الجابر عثمان</t>
  </si>
  <si>
    <t>هاشم محمد احمد</t>
  </si>
  <si>
    <t>دهب علي جلاب</t>
  </si>
  <si>
    <t>راضيه محمد احمد</t>
  </si>
  <si>
    <t>تامر كمال</t>
  </si>
  <si>
    <t>فاطمه درديري عبدالمنعم</t>
  </si>
  <si>
    <t>مديحه محمد امين</t>
  </si>
  <si>
    <t>امال نعوم معوض</t>
  </si>
  <si>
    <t>ميمانه احمد زيدان</t>
  </si>
  <si>
    <t>ادم محمد مرسي</t>
  </si>
  <si>
    <t>سعديه عثمان محمد</t>
  </si>
  <si>
    <t>سعديه ابراهيم محمد</t>
  </si>
  <si>
    <t>صلاح خويطر السيد</t>
  </si>
  <si>
    <t>فاطمه محمد عبد</t>
  </si>
  <si>
    <t>ملك حسين محمد</t>
  </si>
  <si>
    <t>مروان حسين امين</t>
  </si>
  <si>
    <t>حمزه محمود محمد</t>
  </si>
  <si>
    <t>محمد اشرف خيري</t>
  </si>
  <si>
    <t>ميرفت عبد الله الشيمي</t>
  </si>
  <si>
    <t>سلمي حامد علي</t>
  </si>
  <si>
    <t>زينب محمد عبد المطلب</t>
  </si>
  <si>
    <t>ناديه فكري مرسي</t>
  </si>
  <si>
    <t>حسام شعبان</t>
  </si>
  <si>
    <t>ميخائيل يوسف معوض</t>
  </si>
  <si>
    <t>كشف د/ مينا</t>
  </si>
  <si>
    <t>طه حسام الدين</t>
  </si>
  <si>
    <t>حسام الدين عبد الفتاح</t>
  </si>
  <si>
    <t>الاء ثروت عجمي</t>
  </si>
  <si>
    <t>برمشا</t>
  </si>
  <si>
    <t>فاطمه محمد واصل</t>
  </si>
  <si>
    <t>امير ثروت عجمي</t>
  </si>
  <si>
    <t>رمضان شعبان ابراهيم</t>
  </si>
  <si>
    <t>العدوه</t>
  </si>
  <si>
    <t>عيد محمد احمد</t>
  </si>
  <si>
    <t>معوض عبد الكريم عبد السلام</t>
  </si>
  <si>
    <t xml:space="preserve">علا كردي </t>
  </si>
  <si>
    <t xml:space="preserve">صباح عبد المنعم </t>
  </si>
  <si>
    <t xml:space="preserve">شعبان قرني عبد المجيد </t>
  </si>
  <si>
    <t xml:space="preserve">مقطعيه </t>
  </si>
  <si>
    <t xml:space="preserve">حسام شعبان </t>
  </si>
  <si>
    <t xml:space="preserve">احمد جابرحسن </t>
  </si>
  <si>
    <t xml:space="preserve">مقطعيه +صبغه </t>
  </si>
  <si>
    <t xml:space="preserve">محمد عبد الوهاب حسن </t>
  </si>
  <si>
    <t xml:space="preserve">صباح محمد بكري </t>
  </si>
  <si>
    <t xml:space="preserve">صلاح ياسر شعبان </t>
  </si>
  <si>
    <t xml:space="preserve">احمد عادل </t>
  </si>
  <si>
    <t xml:space="preserve">ناديه ابراهيم ابراهيم </t>
  </si>
  <si>
    <t xml:space="preserve"> OD</t>
  </si>
  <si>
    <t xml:space="preserve">عمروالجارجي </t>
  </si>
  <si>
    <t xml:space="preserve">سعديه عبد المجيد معوض </t>
  </si>
  <si>
    <t xml:space="preserve">فايزه عبد الحليم السيد </t>
  </si>
  <si>
    <t xml:space="preserve">صبغه </t>
  </si>
  <si>
    <t xml:space="preserve">تامر كمال </t>
  </si>
  <si>
    <t xml:space="preserve">كريمه احسن حسن </t>
  </si>
  <si>
    <t xml:space="preserve">عيد محمد احمد </t>
  </si>
  <si>
    <t xml:space="preserve">شاديه مخائيل يعقوب </t>
  </si>
  <si>
    <t xml:space="preserve">OD </t>
  </si>
  <si>
    <t xml:space="preserve">فايز قرني </t>
  </si>
  <si>
    <t xml:space="preserve">الرمد </t>
  </si>
  <si>
    <t xml:space="preserve">بكري ابراهيم عبد الرحمن </t>
  </si>
  <si>
    <t xml:space="preserve">جرجس صادق جرجس </t>
  </si>
  <si>
    <t xml:space="preserve">علي جمال حسن </t>
  </si>
  <si>
    <t xml:space="preserve">OS </t>
  </si>
  <si>
    <t xml:space="preserve">مقطعيه+صبغه </t>
  </si>
  <si>
    <t>حمديه علي حسن</t>
  </si>
  <si>
    <t>كوثر حسن محمود</t>
  </si>
  <si>
    <t xml:space="preserve">محمد مطاوع </t>
  </si>
  <si>
    <t xml:space="preserve">ابراهيم صبري ابراهيم </t>
  </si>
  <si>
    <t xml:space="preserve">وعد ادهم شعبان </t>
  </si>
  <si>
    <t xml:space="preserve">مقاس اطفال </t>
  </si>
  <si>
    <t xml:space="preserve">الزهراء محمود حسن </t>
  </si>
  <si>
    <t xml:space="preserve">سونار </t>
  </si>
  <si>
    <t xml:space="preserve">نبيله محمد احمد </t>
  </si>
  <si>
    <t>حسن عبد الوهاب</t>
  </si>
  <si>
    <t xml:space="preserve">قدريه محمد احمد </t>
  </si>
  <si>
    <t xml:space="preserve">ربيع مرسي عيد </t>
  </si>
  <si>
    <t xml:space="preserve">رفعت علي علي </t>
  </si>
  <si>
    <t xml:space="preserve">كرستين سمير بطرس </t>
  </si>
  <si>
    <t xml:space="preserve">لطفي عبد النبي محمد </t>
  </si>
  <si>
    <t xml:space="preserve">شريف صابر </t>
  </si>
  <si>
    <t>حبيبه عاطف صلاح</t>
  </si>
  <si>
    <t>حسن عبد اللطيف محمد</t>
  </si>
  <si>
    <t>كشف نقابه محامين</t>
  </si>
  <si>
    <t>محمدحسن</t>
  </si>
  <si>
    <t>نعمه صالح ابراهيم</t>
  </si>
  <si>
    <t>مهرائيل اسامه سعد</t>
  </si>
  <si>
    <t>كشف د/مينا</t>
  </si>
  <si>
    <t>ليلي عبد الحفيظ محمد</t>
  </si>
  <si>
    <t>عفاف عبد الرحمن محمد</t>
  </si>
  <si>
    <t>لا</t>
  </si>
  <si>
    <t>سيد علي عبد اللطيف</t>
  </si>
  <si>
    <t>ناديه اسحق حبيب</t>
  </si>
  <si>
    <t>امنه عبد النبي مصطفي</t>
  </si>
  <si>
    <t>عبد الفتاح احمدحسن</t>
  </si>
  <si>
    <t>اعتماد عبد العظيم</t>
  </si>
  <si>
    <t>ناديه طه عبد الوهاب</t>
  </si>
  <si>
    <t>نصر الدين محمد السيد</t>
  </si>
  <si>
    <t>نوال رشدي عيسي</t>
  </si>
  <si>
    <t>نوره هارون محمد</t>
  </si>
  <si>
    <t>كواسه شكر الله</t>
  </si>
  <si>
    <t>نجوي عبد الجواد عبد العظيم</t>
  </si>
  <si>
    <t>جيهان حمدي فهمي</t>
  </si>
  <si>
    <t xml:space="preserve">ساالمه علي محمود </t>
  </si>
  <si>
    <t>عبد الوهاب اسماعيل محمد</t>
  </si>
  <si>
    <t>اميره اسطفانوس مرق</t>
  </si>
  <si>
    <t>هريدي محمد هريدي</t>
  </si>
  <si>
    <t>محمود مغربي</t>
  </si>
  <si>
    <t>مناجي محمد عيد</t>
  </si>
  <si>
    <t>فايزه علي محمد</t>
  </si>
  <si>
    <t>تريزه برسوم</t>
  </si>
  <si>
    <t>ناديه عزيز مصطفي</t>
  </si>
  <si>
    <t>تريزه كامل عبد الملاك</t>
  </si>
  <si>
    <t>فتحيه شحاته احمد</t>
  </si>
  <si>
    <t>رضوي</t>
  </si>
  <si>
    <t>شملول عبد المنعم عبد الحفيظ</t>
  </si>
  <si>
    <t>فاطمه الكردي</t>
  </si>
  <si>
    <t>علي محمد عايد</t>
  </si>
  <si>
    <t>ربيع شحاته مهران</t>
  </si>
  <si>
    <t>ابوزيد احمد ابوزيد</t>
  </si>
  <si>
    <t>صابرين عبد العزيز محمود</t>
  </si>
  <si>
    <t>ايمان علي محمد</t>
  </si>
  <si>
    <t>محمود ناصر عواد</t>
  </si>
  <si>
    <t>سعاد تمام صابر</t>
  </si>
  <si>
    <t>زيناهم حسين امام</t>
  </si>
  <si>
    <t>صباح صلاح ابراهيم</t>
  </si>
  <si>
    <t>لواحظ عبد الله اسماعيل</t>
  </si>
  <si>
    <t>مرزوقه سيد دسوقي</t>
  </si>
  <si>
    <t>عصمت عبد الحميد محمد</t>
  </si>
  <si>
    <t>محمد عربي محمد</t>
  </si>
  <si>
    <t>عطيات محمد محمد</t>
  </si>
  <si>
    <t>مريم ابراهيم رزق الله</t>
  </si>
  <si>
    <t>خلف السيد ابراهيم</t>
  </si>
  <si>
    <t>صلاح ابراهيم عبد الكافي</t>
  </si>
  <si>
    <t>سيد محمد مهدي</t>
  </si>
  <si>
    <t>محسن عمر محمد</t>
  </si>
  <si>
    <t>بنك الشفاء</t>
  </si>
  <si>
    <t>حفظه احمد بدري</t>
  </si>
  <si>
    <t>هويدا فاروق عمر</t>
  </si>
  <si>
    <t>دواته احمد علي</t>
  </si>
  <si>
    <t>ناديه تحسين عثمان</t>
  </si>
  <si>
    <t>محمد حسن خليفه</t>
  </si>
  <si>
    <t>امل حسن عبد العظيم</t>
  </si>
  <si>
    <t>بهلول بهنساوي محمد</t>
  </si>
  <si>
    <t>شكريه عازر بطرس</t>
  </si>
  <si>
    <t>ابتسام ممدوح</t>
  </si>
  <si>
    <t>كريم ابوهريره حسن</t>
  </si>
  <si>
    <t>طه ابراهيم عبد اللطيف</t>
  </si>
  <si>
    <t>فايزه احمد احمد</t>
  </si>
  <si>
    <t>اسراء صابر محمد</t>
  </si>
  <si>
    <t>دهب احمد الشاذلي</t>
  </si>
  <si>
    <t>صابره بسيوني عبد الحفيظ</t>
  </si>
  <si>
    <t>احمد حسن احمد</t>
  </si>
  <si>
    <t>حنان حجاج محمد</t>
  </si>
  <si>
    <t>رشدي ابراهيم راشد</t>
  </si>
  <si>
    <t>عمر جمعه رمضان</t>
  </si>
  <si>
    <t>فايزه عبد الله عبد العظيم</t>
  </si>
  <si>
    <t>عنايات ذكي عيسي</t>
  </si>
  <si>
    <t>احسان توفيق ابراهيم</t>
  </si>
  <si>
    <t>محمد فتحي سيد</t>
  </si>
  <si>
    <t>كريمه عبد العظيم محمد</t>
  </si>
  <si>
    <t>محمد علي نظير</t>
  </si>
  <si>
    <t>احمد محسن محمد</t>
  </si>
  <si>
    <t>ايه صفوت</t>
  </si>
  <si>
    <t>صفاء محمد ابراهيم</t>
  </si>
  <si>
    <t>عماد محمد احمد</t>
  </si>
  <si>
    <t>البنك الاهلي</t>
  </si>
  <si>
    <t>هبه خليفه جمعه</t>
  </si>
  <si>
    <t>احمد ربيع جابر</t>
  </si>
  <si>
    <t>سناء شلقامي حافظ</t>
  </si>
  <si>
    <t>نبيله ناروز نجيب</t>
  </si>
  <si>
    <t>بدوي حسين محمد</t>
  </si>
  <si>
    <t>ابتسام اسماعيل</t>
  </si>
  <si>
    <t>محاسن نصطفي عبد الصمد</t>
  </si>
  <si>
    <t>صبحي محمد قنديل</t>
  </si>
  <si>
    <t>عماد عبد الرحيم</t>
  </si>
  <si>
    <t>هانم محمد عبد السلام</t>
  </si>
  <si>
    <t>عبد الهادي يس</t>
  </si>
  <si>
    <t>حنان يسري محمد</t>
  </si>
  <si>
    <t>فايزه قرني محمد</t>
  </si>
  <si>
    <t>هاله محروس محمد</t>
  </si>
  <si>
    <t>عبد الوهاب احمد الجنيدي</t>
  </si>
  <si>
    <t>احمد عبد الوهاب احمد</t>
  </si>
  <si>
    <t>محمود خطاب</t>
  </si>
  <si>
    <t>عليه محمد حسن</t>
  </si>
  <si>
    <t>كراس سامح ماهر</t>
  </si>
  <si>
    <t>عادل محروس عبد السيد</t>
  </si>
  <si>
    <t>احسان رمضان احمد</t>
  </si>
  <si>
    <t>حنا ابراهيم حنا</t>
  </si>
  <si>
    <t>هاني مصطفي عبد الرحمن</t>
  </si>
  <si>
    <t>ميمنه احمد</t>
  </si>
  <si>
    <t>محمد شحاته علي</t>
  </si>
  <si>
    <t>مجدي محمد علي</t>
  </si>
  <si>
    <t>صباح عوض</t>
  </si>
  <si>
    <t>هنيه امين قاسم</t>
  </si>
  <si>
    <t>مني عبد السلام</t>
  </si>
  <si>
    <t>عاطف عبد الوهاب</t>
  </si>
  <si>
    <t>جني علي ابراهيم</t>
  </si>
  <si>
    <t>معاذ يحيي مسعود</t>
  </si>
  <si>
    <t>احمد محمد رشوان</t>
  </si>
  <si>
    <t>مرزوقه سيد شوقي</t>
  </si>
  <si>
    <t>عزت هلال ابوغنيمه</t>
  </si>
  <si>
    <t>مايزه علي محمد</t>
  </si>
  <si>
    <t>زهره فتحي ابراهيم</t>
  </si>
  <si>
    <t>السيد حسن محمد</t>
  </si>
  <si>
    <t>عواطف حسين ابراهيم</t>
  </si>
  <si>
    <t>سهير سلامه سليم</t>
  </si>
  <si>
    <t>محمد ندا حسيب</t>
  </si>
  <si>
    <t>سندس علي جاد المولي</t>
  </si>
  <si>
    <t>وائل فهمي رفعت</t>
  </si>
  <si>
    <t>ميد نت</t>
  </si>
  <si>
    <t>اسلام البحيري عبد الرحمن</t>
  </si>
  <si>
    <t>مدحت عصام نادري</t>
  </si>
  <si>
    <t>وان كير</t>
  </si>
  <si>
    <t>ج شارونه</t>
  </si>
  <si>
    <t>بدريه علي احمد</t>
  </si>
  <si>
    <t>محمود كمال سلمي</t>
  </si>
  <si>
    <t>هناء جابر حسين</t>
  </si>
  <si>
    <t xml:space="preserve"> os</t>
  </si>
  <si>
    <t>نجاه ابراهيم مرسي</t>
  </si>
  <si>
    <t>ليلي عزيز يوسف</t>
  </si>
  <si>
    <t>حمزه جابر السيد</t>
  </si>
  <si>
    <t>فرحه احمد شحاته</t>
  </si>
  <si>
    <t>نعمات حسين محمد</t>
  </si>
  <si>
    <t>بلهاسه</t>
  </si>
  <si>
    <t>اسماء حسن عبد اللطيف</t>
  </si>
  <si>
    <t>ناصر رجب السيد</t>
  </si>
  <si>
    <t>حسن حسين حافظ</t>
  </si>
  <si>
    <t>داليا منير بحر</t>
  </si>
  <si>
    <t>الرقم القومى</t>
  </si>
  <si>
    <t>شفيقه نجيب حنا</t>
  </si>
  <si>
    <t>عمر مؤمن حافظ</t>
  </si>
  <si>
    <t>محمد عبداللطيف على</t>
  </si>
  <si>
    <t>عبدالكبير محمد احمد</t>
  </si>
  <si>
    <t>سيده صلاح هاشم</t>
  </si>
  <si>
    <t>نجد احمد علوانى</t>
  </si>
  <si>
    <t>نوع الاشعه</t>
  </si>
  <si>
    <t>تريزه سمير حنا</t>
  </si>
  <si>
    <t>محمود محمد عيد محمد</t>
  </si>
  <si>
    <t>فتحى معوض عبدالعظيم رضوان</t>
  </si>
  <si>
    <t>عبدالنبي حسن عبود</t>
  </si>
  <si>
    <t>عبدالرحيم محمداحمد علي</t>
  </si>
  <si>
    <t>حماده خلف الله محمد</t>
  </si>
  <si>
    <t>سعيد ابو زيد عبدالمغيث</t>
  </si>
  <si>
    <t xml:space="preserve">امال نعوم معوض </t>
  </si>
  <si>
    <t>تريزه اسحق شكري</t>
  </si>
  <si>
    <t>هدى عبدالرؤوف حسن</t>
  </si>
  <si>
    <t>01221100720</t>
  </si>
  <si>
    <t>01150687370</t>
  </si>
  <si>
    <t>01102038822</t>
  </si>
  <si>
    <t>01145866284</t>
  </si>
  <si>
    <t>01033585109</t>
  </si>
  <si>
    <t>01023376403</t>
  </si>
  <si>
    <t>0127275568</t>
  </si>
  <si>
    <t>0128251135</t>
  </si>
  <si>
    <t>01200498113</t>
  </si>
  <si>
    <t>0111974337</t>
  </si>
  <si>
    <t>01275233795</t>
  </si>
  <si>
    <t>01277256045</t>
  </si>
  <si>
    <t>01148419686</t>
  </si>
  <si>
    <t>01154784903</t>
  </si>
  <si>
    <t>01143934168</t>
  </si>
  <si>
    <t>تامين صحى</t>
  </si>
  <si>
    <t>عمرو الجارحى</t>
  </si>
  <si>
    <t>مسعده على طه احمد</t>
  </si>
  <si>
    <t>تهانى جمعه ابو طالب</t>
  </si>
  <si>
    <t xml:space="preserve">احمد لطفى صلاح </t>
  </si>
  <si>
    <t xml:space="preserve">رجب عاشور عبد الله </t>
  </si>
  <si>
    <t xml:space="preserve">سماسم فرج محمد </t>
  </si>
  <si>
    <t xml:space="preserve">يحيى عبد الجواد مسعود </t>
  </si>
  <si>
    <t xml:space="preserve">ربيع  امبابى عبدالله </t>
  </si>
  <si>
    <t xml:space="preserve">عاشور شعبان معتوق </t>
  </si>
  <si>
    <t xml:space="preserve">عيد ثابت ابراهيم </t>
  </si>
  <si>
    <t>نحمده محمد عبدالرحمن</t>
  </si>
  <si>
    <t xml:space="preserve">احمد احمد طه حسن </t>
  </si>
  <si>
    <t xml:space="preserve">اسلام خميس محمد </t>
  </si>
  <si>
    <t xml:space="preserve">بدريه سيد صديق </t>
  </si>
  <si>
    <t xml:space="preserve">على عبد العظيم محمد </t>
  </si>
  <si>
    <t xml:space="preserve">ليلى سيد محمد حسين </t>
  </si>
  <si>
    <t xml:space="preserve">شعبان سالم عبد الفتاح </t>
  </si>
  <si>
    <t xml:space="preserve">محمد يوسف عبد الوهاب </t>
  </si>
  <si>
    <t xml:space="preserve">لوسيه جرجس صالح </t>
  </si>
  <si>
    <t xml:space="preserve">ابو الكرمات عتريس سيف </t>
  </si>
  <si>
    <t>حمياه محمد احمد</t>
  </si>
  <si>
    <t>سعديه سعيد عبد الحميد</t>
  </si>
  <si>
    <t xml:space="preserve">جيهان غالب محمد </t>
  </si>
  <si>
    <t xml:space="preserve">صابر كمال صابر </t>
  </si>
  <si>
    <t>رمضان عبد الوهاب محمد</t>
  </si>
  <si>
    <t xml:space="preserve">كوثر عبد الحميد حسين </t>
  </si>
  <si>
    <t xml:space="preserve">ناريمان حنا بطرس </t>
  </si>
  <si>
    <t>وصيفه محمد محمد</t>
  </si>
  <si>
    <t xml:space="preserve">جمال مبروك عبد العاطى </t>
  </si>
  <si>
    <t xml:space="preserve">حسين على عبد الله محمد </t>
  </si>
  <si>
    <t xml:space="preserve">محمد قذافى سعد </t>
  </si>
  <si>
    <t xml:space="preserve">حمدان ابراهيم محمد </t>
  </si>
  <si>
    <t xml:space="preserve">عدلى عبد العزيز دسوقى </t>
  </si>
  <si>
    <t xml:space="preserve">ساميه ماهر حبيب </t>
  </si>
  <si>
    <t xml:space="preserve">محروس عبد العظيم مجاهد </t>
  </si>
  <si>
    <t xml:space="preserve">سعد حسن محمد </t>
  </si>
  <si>
    <t xml:space="preserve">عمرو نظير على </t>
  </si>
  <si>
    <t>وفاء حجازى احمد</t>
  </si>
  <si>
    <t>محمود حجازى احمد</t>
  </si>
  <si>
    <t xml:space="preserve">ايمان مصطفى الريدى </t>
  </si>
  <si>
    <t xml:space="preserve">يمن بيومى محمد </t>
  </si>
  <si>
    <t xml:space="preserve">محمد عزت عبد الحميد </t>
  </si>
  <si>
    <t xml:space="preserve">صلاح عبدالصمد محمد </t>
  </si>
  <si>
    <t xml:space="preserve">ايه سليم جابر </t>
  </si>
  <si>
    <t>هانى عبد الوهاب احمد</t>
  </si>
  <si>
    <t xml:space="preserve">صديق محمود حامد </t>
  </si>
  <si>
    <t xml:space="preserve">محمد شحاته احمد </t>
  </si>
  <si>
    <t>عبداللطيف شحاته عبداللطيف</t>
  </si>
  <si>
    <t xml:space="preserve">صباح صديق محمد </t>
  </si>
  <si>
    <t xml:space="preserve">منى محمد علوانى </t>
  </si>
  <si>
    <t>زينب عيد عثمان</t>
  </si>
  <si>
    <t>هنيه نبيه فايز</t>
  </si>
  <si>
    <t xml:space="preserve">جمعه جمال عبد الغنى </t>
  </si>
  <si>
    <t xml:space="preserve">سعد ابراهيم بباوى </t>
  </si>
  <si>
    <t xml:space="preserve">رباب محمد عبد الستار </t>
  </si>
  <si>
    <t xml:space="preserve">رحاب عبدالحفيظ زيدان </t>
  </si>
  <si>
    <t xml:space="preserve">شيرين على عبد الشافى </t>
  </si>
  <si>
    <t>محمد طه محمد</t>
  </si>
  <si>
    <t xml:space="preserve">فاطمه عبدالعليم عبدالقوى </t>
  </si>
  <si>
    <t>عفاف عبدالحميد محمد</t>
  </si>
  <si>
    <t xml:space="preserve">فالح احمد مشاضى </t>
  </si>
  <si>
    <t>روجينا سيد ناجح</t>
  </si>
  <si>
    <t>راعوث سامى سليمان</t>
  </si>
  <si>
    <t xml:space="preserve">صديقه سمير ابراهيم </t>
  </si>
  <si>
    <t xml:space="preserve">هاله محمد احمد </t>
  </si>
  <si>
    <t xml:space="preserve">ليلى فرج الله نصر </t>
  </si>
  <si>
    <t xml:space="preserve">عاليه محمد عبد السيد </t>
  </si>
  <si>
    <t xml:space="preserve">هدى عبدالسلام  جوده </t>
  </si>
  <si>
    <t>رمضان ابراهيم على</t>
  </si>
  <si>
    <t xml:space="preserve">نوال كامل حسين </t>
  </si>
  <si>
    <t xml:space="preserve">ايمان وفدى فهيم </t>
  </si>
  <si>
    <t xml:space="preserve">رحمه محمود عيد </t>
  </si>
  <si>
    <t>محمد امبابى محمد</t>
  </si>
  <si>
    <t xml:space="preserve">سعاد سعودى عبد الجواد </t>
  </si>
  <si>
    <t xml:space="preserve">الشطيبى محمد ابراهيم </t>
  </si>
  <si>
    <t xml:space="preserve">محمد شعبان محمد </t>
  </si>
  <si>
    <t>دعاء محمد عبد الجواد</t>
  </si>
  <si>
    <t>اسلام فتحى محمود</t>
  </si>
  <si>
    <t>سالم حويلى محمد</t>
  </si>
  <si>
    <t xml:space="preserve">سهام عبد الله صالح </t>
  </si>
  <si>
    <t xml:space="preserve">نوال جمعه رسلان </t>
  </si>
  <si>
    <t xml:space="preserve">احمد محمد سيد </t>
  </si>
  <si>
    <t xml:space="preserve">ياسمين خيرى عبد الوهاب </t>
  </si>
  <si>
    <t xml:space="preserve">عزيزه ابراهيم صادق </t>
  </si>
  <si>
    <t xml:space="preserve">صابره عويس محمود </t>
  </si>
  <si>
    <t xml:space="preserve">عبد العزيز على عبد الغنى </t>
  </si>
  <si>
    <t>احمد محمود محمد الحسيني</t>
  </si>
  <si>
    <t>احسان محمد امين</t>
  </si>
  <si>
    <t xml:space="preserve">ممدوح فتحى محمد </t>
  </si>
  <si>
    <t xml:space="preserve">شليل عبدالله عبدالجليل  </t>
  </si>
  <si>
    <t xml:space="preserve">فايزه اسماعيل عبدالوهاب </t>
  </si>
  <si>
    <t xml:space="preserve">عبدالمنعم محمد عبدالجواد </t>
  </si>
  <si>
    <t xml:space="preserve">ناديه محمود اسماعيل </t>
  </si>
  <si>
    <t>ماجد صفوت كامل</t>
  </si>
  <si>
    <t>شعبان عشرى سعداوى محمود</t>
  </si>
  <si>
    <t xml:space="preserve">عبدالرحمن صدقى احمد مصطفى </t>
  </si>
  <si>
    <t xml:space="preserve">احمد سمير صادق </t>
  </si>
  <si>
    <t xml:space="preserve">خيريه محمد ابراهيم </t>
  </si>
  <si>
    <t xml:space="preserve">محمد محمود اسماعيل </t>
  </si>
  <si>
    <t xml:space="preserve">ناديه نعيم شاكر  </t>
  </si>
  <si>
    <t xml:space="preserve">نور جرجس حنا </t>
  </si>
  <si>
    <t xml:space="preserve">التامه عبدالحميد مصباح </t>
  </si>
  <si>
    <t xml:space="preserve">محمود عبدالعظيم محمود </t>
  </si>
  <si>
    <t xml:space="preserve">جمال على السيد </t>
  </si>
  <si>
    <t xml:space="preserve">محمد ادهم محمد </t>
  </si>
  <si>
    <t xml:space="preserve">هدى ابراهيم جاب الله  </t>
  </si>
  <si>
    <t xml:space="preserve">عبدلله عربى عبيد </t>
  </si>
  <si>
    <t xml:space="preserve">محمد رزق محمد </t>
  </si>
  <si>
    <t>كامله سليم سلامه</t>
  </si>
  <si>
    <t>فوزيه شلقامى محمد</t>
  </si>
  <si>
    <t xml:space="preserve">هند حامد معوض </t>
  </si>
  <si>
    <t xml:space="preserve">عبد الرحمن محمد محمود </t>
  </si>
  <si>
    <t xml:space="preserve">محمود جمال كمال </t>
  </si>
  <si>
    <t xml:space="preserve">سناء شلقامى عبد الوهاب </t>
  </si>
  <si>
    <t xml:space="preserve">محمود خلف كامل </t>
  </si>
  <si>
    <t>كامل شحاته كامل</t>
  </si>
  <si>
    <t xml:space="preserve">بحيرى عبد السميع  طه </t>
  </si>
  <si>
    <t>قانوش امين محمد عتمان</t>
  </si>
  <si>
    <t>محمد جمال محمد محمود</t>
  </si>
  <si>
    <t>على عادل احمد</t>
  </si>
  <si>
    <t>سعاد عبدالعظيم محمد</t>
  </si>
  <si>
    <t>حسن مصطفى حسين هليل</t>
  </si>
  <si>
    <t xml:space="preserve">هيام حجاج محمد ابراهيم </t>
  </si>
  <si>
    <t>فاطمه ابو غنيمة شعبان</t>
  </si>
  <si>
    <t>على عبدالعظيم محمد</t>
  </si>
  <si>
    <t xml:space="preserve">اشرف فتحى عبدالهادى </t>
  </si>
  <si>
    <t>سهام فايق ابراهيم قلينى</t>
  </si>
  <si>
    <t xml:space="preserve">نجاح محمد حسين على </t>
  </si>
  <si>
    <t>عبدالله محمد محمد سليمان</t>
  </si>
  <si>
    <t xml:space="preserve">عيد سعد عبداللطيف </t>
  </si>
  <si>
    <t>محروس جرجس عبدالملاك</t>
  </si>
  <si>
    <t>مرثا حنا ابراهيم</t>
  </si>
  <si>
    <t>عاطف السيد عبدالعال</t>
  </si>
  <si>
    <t xml:space="preserve">رضا قلدس ارمانيوس </t>
  </si>
  <si>
    <t xml:space="preserve">فاطمة احمد ابراهيم </t>
  </si>
  <si>
    <t>ساميه محمد محمد عبدالرازق</t>
  </si>
  <si>
    <t xml:space="preserve">محمد عبدالعزيز ابراهيم </t>
  </si>
  <si>
    <t>روميساء السيد راضى</t>
  </si>
  <si>
    <t xml:space="preserve">صبرى ممدوح حسين </t>
  </si>
  <si>
    <t xml:space="preserve">يوسف عزيز فيلبس </t>
  </si>
  <si>
    <t xml:space="preserve">محمود مفتاح مهنى </t>
  </si>
  <si>
    <t>شاديه حنا ميخائيل</t>
  </si>
  <si>
    <t xml:space="preserve">نسمة على نظير </t>
  </si>
  <si>
    <t>عادل محمد شحاته احمد</t>
  </si>
  <si>
    <t>اسمهان سعيد عبدالسلام</t>
  </si>
  <si>
    <t>شيماء جلال امام</t>
  </si>
  <si>
    <t>عزت فارس يوسف فرج</t>
  </si>
  <si>
    <t>رجب جادالرب حسن</t>
  </si>
  <si>
    <t>محمود جابر شريف</t>
  </si>
  <si>
    <t xml:space="preserve">احمد رجب فتح الباب احمد </t>
  </si>
  <si>
    <t xml:space="preserve">فايز شاكر بباوى </t>
  </si>
  <si>
    <t>مديحه محمد رمضان</t>
  </si>
  <si>
    <t xml:space="preserve">حبيبه رجب دسوقى </t>
  </si>
  <si>
    <t>نعمات رزق محمد</t>
  </si>
  <si>
    <t>عمادالدين محمد محمد</t>
  </si>
  <si>
    <t xml:space="preserve">عبدلله محمد عبدلله محور </t>
  </si>
  <si>
    <t xml:space="preserve">نادى فؤاد نصر </t>
  </si>
  <si>
    <t xml:space="preserve">ليلى صادق بدر </t>
  </si>
  <si>
    <t>هيام محمود محمد</t>
  </si>
  <si>
    <t>ناديه كامل حسين</t>
  </si>
  <si>
    <t>فاطمه فهمى عبدالفتاح</t>
  </si>
  <si>
    <t>عبدالحليم حمدي عبدالحليم</t>
  </si>
  <si>
    <t>شاديه محمد السيد عبدالجواد</t>
  </si>
  <si>
    <t>جمال حسن صالح</t>
  </si>
  <si>
    <t>01158086491</t>
  </si>
  <si>
    <t>01114716321</t>
  </si>
  <si>
    <t>01107475382</t>
  </si>
  <si>
    <t>01126828502</t>
  </si>
  <si>
    <t>01114727147</t>
  </si>
  <si>
    <t>01146972813</t>
  </si>
  <si>
    <t>01096568421</t>
  </si>
  <si>
    <t>01155626951</t>
  </si>
  <si>
    <t>01123411801</t>
  </si>
  <si>
    <t>001140758322</t>
  </si>
  <si>
    <t>01278650768</t>
  </si>
  <si>
    <t>01009787109</t>
  </si>
  <si>
    <t>01107062017</t>
  </si>
  <si>
    <t>01148182008</t>
  </si>
  <si>
    <t>01287341402</t>
  </si>
  <si>
    <t>001288820435</t>
  </si>
  <si>
    <t>01152117289</t>
  </si>
  <si>
    <t>001220717743</t>
  </si>
  <si>
    <t>01146582631</t>
  </si>
  <si>
    <t>01104.392125</t>
  </si>
  <si>
    <t>01118534863</t>
  </si>
  <si>
    <t>01150618551</t>
  </si>
  <si>
    <t>01143608352</t>
  </si>
  <si>
    <t>01125097448</t>
  </si>
  <si>
    <t>01028574853</t>
  </si>
  <si>
    <t>012058865391</t>
  </si>
  <si>
    <t>01117125110</t>
  </si>
  <si>
    <t>01011615927</t>
  </si>
  <si>
    <t>01144573588</t>
  </si>
  <si>
    <t>01149906191</t>
  </si>
  <si>
    <t>01205598916</t>
  </si>
  <si>
    <t>01116280678</t>
  </si>
  <si>
    <t>01149335578</t>
  </si>
  <si>
    <t>01114943983</t>
  </si>
  <si>
    <t>01282294905</t>
  </si>
  <si>
    <t>01121643117</t>
  </si>
  <si>
    <t>01158842516</t>
  </si>
  <si>
    <t>01067660368</t>
  </si>
  <si>
    <t>01140437393</t>
  </si>
  <si>
    <t>01104358305</t>
  </si>
  <si>
    <t>01282004807</t>
  </si>
  <si>
    <t>01207621040</t>
  </si>
  <si>
    <t>01155219858</t>
  </si>
  <si>
    <t>01004731172</t>
  </si>
  <si>
    <t>01233371156</t>
  </si>
  <si>
    <t>01063458524</t>
  </si>
  <si>
    <t>01151964044</t>
  </si>
  <si>
    <t>01111934282</t>
  </si>
  <si>
    <t>عبدالرازق صابر سيد</t>
  </si>
  <si>
    <t>رجاء محمود الجارحى</t>
  </si>
  <si>
    <t>محمد عبدالعظيم احمد</t>
  </si>
  <si>
    <t>احمد على احمد عمار</t>
  </si>
  <si>
    <t>محمد احمد شحاته شعبان</t>
  </si>
  <si>
    <t xml:space="preserve">نصر زكى ابراهيم </t>
  </si>
  <si>
    <t>جمعه حموده السيد</t>
  </si>
  <si>
    <t>محمد محمد السيد</t>
  </si>
  <si>
    <t>احمد متولى محمد</t>
  </si>
  <si>
    <t>عزه احمد انور</t>
  </si>
  <si>
    <t>محمد محروس محمد</t>
  </si>
  <si>
    <t>فوزيه جمال صادق</t>
  </si>
  <si>
    <t>مى احمد محروس</t>
  </si>
  <si>
    <t>عزمي محمد محمد فخري</t>
  </si>
  <si>
    <t xml:space="preserve">عيد سعد عبد اللطيف </t>
  </si>
  <si>
    <t xml:space="preserve">اروى عمر عبد العزيز </t>
  </si>
  <si>
    <t>ابراهيم اسحاق مجلى</t>
  </si>
  <si>
    <t>علي محمد محمد</t>
  </si>
  <si>
    <t>اسماء جمال محمد ادم</t>
  </si>
  <si>
    <t xml:space="preserve">شربات خيرى على </t>
  </si>
  <si>
    <t>جمال حسن محمود</t>
  </si>
  <si>
    <t>شربات شعبان عبدالحميد</t>
  </si>
  <si>
    <t xml:space="preserve">ايمان محمد على </t>
  </si>
  <si>
    <t xml:space="preserve">عادل محمد عباس </t>
  </si>
  <si>
    <t>محمد امبارك على</t>
  </si>
  <si>
    <t>ابراهيم محمد احمد</t>
  </si>
  <si>
    <t>ثابت صالح احمد</t>
  </si>
  <si>
    <t xml:space="preserve">رضا موسى مصطفى محمد </t>
  </si>
  <si>
    <t>جرجس حلمى سعدلله</t>
  </si>
  <si>
    <t>سعد عبدالمنعم عبدالرازق</t>
  </si>
  <si>
    <t>سمير زغلول محمد</t>
  </si>
  <si>
    <t>محمد عبدالعظيم رشدى</t>
  </si>
  <si>
    <t>صباح حسن ابوبكر</t>
  </si>
  <si>
    <t>خليفة حسن احمد</t>
  </si>
  <si>
    <t>محفوظ نجيب كامل</t>
  </si>
  <si>
    <t xml:space="preserve">عبدالحليم فولى عبدالحليم </t>
  </si>
  <si>
    <t>محمد ناصر محمد عاشور</t>
  </si>
  <si>
    <t>ناديه محمد السيد</t>
  </si>
  <si>
    <t>منى محمد محمود</t>
  </si>
  <si>
    <t>حماده علي الجمام</t>
  </si>
  <si>
    <t>ابراهيم احمد عبدالجواد</t>
  </si>
  <si>
    <t>احمد محمد شحاته</t>
  </si>
  <si>
    <t>01552994447</t>
  </si>
  <si>
    <t>01127618219</t>
  </si>
  <si>
    <t>01141537519</t>
  </si>
  <si>
    <t>01130243013</t>
  </si>
  <si>
    <t>01154457763</t>
  </si>
  <si>
    <t>01127420412</t>
  </si>
  <si>
    <t>01017201183</t>
  </si>
  <si>
    <t>01113096712</t>
  </si>
  <si>
    <t>01003137662</t>
  </si>
  <si>
    <t>01007625299</t>
  </si>
  <si>
    <t>001147380299</t>
  </si>
  <si>
    <t>01154827845</t>
  </si>
  <si>
    <t>01248739394</t>
  </si>
  <si>
    <t>01112574745</t>
  </si>
  <si>
    <t>01281315855</t>
  </si>
  <si>
    <t>01156875364</t>
  </si>
  <si>
    <t>0102558984</t>
  </si>
  <si>
    <t>01126353526</t>
  </si>
  <si>
    <t>01141526057</t>
  </si>
  <si>
    <t>01159479468</t>
  </si>
  <si>
    <t>01145292020</t>
  </si>
  <si>
    <t>01149116592</t>
  </si>
  <si>
    <t>01102037766</t>
  </si>
  <si>
    <t>01090464225</t>
  </si>
  <si>
    <t>01061721583</t>
  </si>
  <si>
    <t>01227674106</t>
  </si>
  <si>
    <t>01019286087</t>
  </si>
  <si>
    <t>01147774058</t>
  </si>
  <si>
    <t>01007022863</t>
  </si>
  <si>
    <t>01203949194</t>
  </si>
  <si>
    <t>01127521115</t>
  </si>
  <si>
    <t>01273370414</t>
  </si>
  <si>
    <t>01140199509</t>
  </si>
  <si>
    <t>01148000756</t>
  </si>
  <si>
    <t>01086464670</t>
  </si>
  <si>
    <t>01065046021</t>
  </si>
  <si>
    <t>01146071743</t>
  </si>
  <si>
    <t>01009026993</t>
  </si>
  <si>
    <t>01118541566</t>
  </si>
  <si>
    <t>نورهان فراج سيد</t>
  </si>
  <si>
    <t>حمدى احمد عبدالوهاب</t>
  </si>
  <si>
    <t>باهيه عطيه عبداللطيف</t>
  </si>
  <si>
    <t>ملك خالد محمد</t>
  </si>
  <si>
    <t>سمير عامرعبدالعظيم</t>
  </si>
  <si>
    <t>فاطمه الزهراء حسين</t>
  </si>
  <si>
    <t>عيد صادق حنا يوسف</t>
  </si>
  <si>
    <t>كريم حسين عبدالعظيم</t>
  </si>
  <si>
    <t>تفيده ابراهيم محمد</t>
  </si>
  <si>
    <t>ايمان عمر السيد</t>
  </si>
  <si>
    <t xml:space="preserve">حنان على صابر </t>
  </si>
  <si>
    <t>مبروك عبدالحميد زكى</t>
  </si>
  <si>
    <t>هاجر ابراهيم عيد</t>
  </si>
  <si>
    <t>ياسمين حسن انور</t>
  </si>
  <si>
    <t>احلام عبدالناصر عبدالفضيل</t>
  </si>
  <si>
    <t>سندسه فالح كويس</t>
  </si>
  <si>
    <t xml:space="preserve">بطه ربيع عبدالعظيم </t>
  </si>
  <si>
    <t>جلال بولس عبدالرحمن</t>
  </si>
  <si>
    <t>منه رمضان راضى</t>
  </si>
  <si>
    <t>محمد احمد محمد عبدالمجيد</t>
  </si>
  <si>
    <t>رشا مختار عدلي</t>
  </si>
  <si>
    <t xml:space="preserve">محمد خميس احمد </t>
  </si>
  <si>
    <t>رضوى عبدالناصر محمد</t>
  </si>
  <si>
    <t>رحمه عاطف عبدالعزيز</t>
  </si>
  <si>
    <t>صابرين شعبان محمد</t>
  </si>
  <si>
    <t xml:space="preserve">نورهان وجدى راضى </t>
  </si>
  <si>
    <t>مريم عبدالله ابوبكر</t>
  </si>
  <si>
    <t>منى احمد عبدالعال</t>
  </si>
  <si>
    <t>خالد محمد خلف</t>
  </si>
  <si>
    <t>يوسف ياسر جوده</t>
  </si>
  <si>
    <t>شلقامى حسام شلقامى</t>
  </si>
  <si>
    <t>انتصار مساعد عبدالحليم</t>
  </si>
  <si>
    <t>عبدلله رجب محمد</t>
  </si>
  <si>
    <t>حسين شحاته احمد</t>
  </si>
  <si>
    <t>حافظ عبدالجواد على</t>
  </si>
  <si>
    <t>جنات مصطفى عبدالرحمن</t>
  </si>
  <si>
    <t>فاطمه مصطفى عبدالرحمن</t>
  </si>
  <si>
    <t>رحمه محمد عمر</t>
  </si>
  <si>
    <t xml:space="preserve">فاطمه عيد مندارى </t>
  </si>
  <si>
    <t>نعيمه محمد محمد محمد</t>
  </si>
  <si>
    <t>ريناد وليد شحاته</t>
  </si>
  <si>
    <t>محمد شعراوى احمد</t>
  </si>
  <si>
    <t>بثينه شمردل عبدالرازق</t>
  </si>
  <si>
    <t>سهام عيد حسن</t>
  </si>
  <si>
    <t>مديحه محمد حسين</t>
  </si>
  <si>
    <t xml:space="preserve">رانيا خلف فهيم </t>
  </si>
  <si>
    <t xml:space="preserve">الهام بهاء محمود </t>
  </si>
  <si>
    <t xml:space="preserve">صباح محمد بهى </t>
  </si>
  <si>
    <t>احمد محمد شعبان شريف</t>
  </si>
  <si>
    <t>حماده حسنى فرغلى</t>
  </si>
  <si>
    <t xml:space="preserve">ليلى يحى رمضان </t>
  </si>
  <si>
    <t xml:space="preserve">نقاوه ربيع احمد محمد </t>
  </si>
  <si>
    <t>مختار احمد محمد نجاتي</t>
  </si>
  <si>
    <t>وسام ياسر فراج</t>
  </si>
  <si>
    <t>رضا رجب احمد</t>
  </si>
  <si>
    <t>عبدالرحمن محمد عبدالحميد</t>
  </si>
  <si>
    <t xml:space="preserve">محمد اشرف شعبان </t>
  </si>
  <si>
    <t>شرين فتحى ابراهيم</t>
  </si>
  <si>
    <t>فحص القرنيه</t>
  </si>
  <si>
    <t xml:space="preserve">جيهان خالد فيصل </t>
  </si>
  <si>
    <t>اميره احمد غالب</t>
  </si>
  <si>
    <t xml:space="preserve">خالد عوده عبداللطيف </t>
  </si>
  <si>
    <t>مريم فرنسيس صدقي</t>
  </si>
  <si>
    <t>محمد احمد ربيع</t>
  </si>
  <si>
    <t>اعتماد محمد البطل</t>
  </si>
  <si>
    <t>ايمان صالح مسعود</t>
  </si>
  <si>
    <t>شيماء احمد راضي</t>
  </si>
  <si>
    <t xml:space="preserve">رجب شعبان شحات </t>
  </si>
  <si>
    <t xml:space="preserve">نورهان اسامه مصطفى </t>
  </si>
  <si>
    <t xml:space="preserve">ايه خلف ابراهيم </t>
  </si>
  <si>
    <t>حبيبه احمد عوض</t>
  </si>
  <si>
    <t xml:space="preserve">سهيله محمد وردانى </t>
  </si>
  <si>
    <t xml:space="preserve">صالح ملاك صالح </t>
  </si>
  <si>
    <t xml:space="preserve">محمد فتحى حسانين احمد </t>
  </si>
  <si>
    <t>ايه مصطفي جابر</t>
  </si>
  <si>
    <t>رحاب خميس محمد</t>
  </si>
  <si>
    <t>محمد حماده محمد</t>
  </si>
  <si>
    <t>ياسين نورالدين ابوالعلا</t>
  </si>
  <si>
    <t>ساره هاشم صلاح</t>
  </si>
  <si>
    <t xml:space="preserve"> بسمله رضا احمد حسن </t>
  </si>
  <si>
    <t>نارمين حسن معوض</t>
  </si>
  <si>
    <t>بسمله رضا عبدالوهاب</t>
  </si>
  <si>
    <t>احمد نصر محمد عبدالعزيز</t>
  </si>
  <si>
    <t>منه محمد فؤاد محمد</t>
  </si>
  <si>
    <t>سجود رضا شلقامي</t>
  </si>
  <si>
    <t>اسماء صلاح عبدالحميد</t>
  </si>
  <si>
    <t>كريم احمد عبدالحميد</t>
  </si>
  <si>
    <t>اسراء محمد عاشور</t>
  </si>
  <si>
    <t>شيرين علي محمد</t>
  </si>
  <si>
    <t>سحر مبروك شلقامي</t>
  </si>
  <si>
    <t>محمد احمد محمود راضي</t>
  </si>
  <si>
    <t xml:space="preserve">مروة شعبان عبدالعاطى </t>
  </si>
  <si>
    <t xml:space="preserve">حسام حسن عبدالهادى </t>
  </si>
  <si>
    <t>حبيبه عبدالناصر على</t>
  </si>
  <si>
    <t xml:space="preserve">طه ربيع عبدالستار </t>
  </si>
  <si>
    <t>احمد طه معوض</t>
  </si>
  <si>
    <t>امنيه محمد زكى</t>
  </si>
  <si>
    <t>ايه محمد عبدالحميد</t>
  </si>
  <si>
    <t>اسلام رمضان عبدالوهاب</t>
  </si>
  <si>
    <t>مهرائيل جرجس عادل</t>
  </si>
  <si>
    <t>دنيا احمد محمد احمد</t>
  </si>
  <si>
    <t xml:space="preserve">ولاء سعودى ذكى </t>
  </si>
  <si>
    <t xml:space="preserve">ساميه سالم محمد </t>
  </si>
  <si>
    <t>سمعان حبيب فهمى</t>
  </si>
  <si>
    <t xml:space="preserve">ورده معتمد سلامه </t>
  </si>
  <si>
    <t xml:space="preserve">شيماء شعبان عثمان </t>
  </si>
  <si>
    <t xml:space="preserve">ثريا قياتى زكى </t>
  </si>
  <si>
    <t xml:space="preserve">بسمه شعبان محمد </t>
  </si>
  <si>
    <t xml:space="preserve">محمد احمد ابراهيم </t>
  </si>
  <si>
    <t xml:space="preserve">
رشا فاروق محمد
</t>
  </si>
  <si>
    <t>شيماء رمضان عاشور سيد</t>
  </si>
  <si>
    <t xml:space="preserve">محمود احمد محمد </t>
  </si>
  <si>
    <t>فاطمه محمد السيد محمد</t>
  </si>
  <si>
    <t xml:space="preserve">عائشه محمد صالح </t>
  </si>
  <si>
    <t xml:space="preserve">زينب عبدالحفيظ سيد </t>
  </si>
  <si>
    <t>نورهان عاطف ناجح</t>
  </si>
  <si>
    <t>حنان سيد محمد</t>
  </si>
  <si>
    <t>مي محمد عادل</t>
  </si>
  <si>
    <t xml:space="preserve">
احمد محمد نادي
</t>
  </si>
  <si>
    <t>ورده سامي عدلي</t>
  </si>
  <si>
    <t>ساره سالم عيسى</t>
  </si>
  <si>
    <t>اشواق عبدالوهاب عبدالعليم</t>
  </si>
  <si>
    <t>محمد عبدالعظيم سنوسى</t>
  </si>
  <si>
    <t>محمد رجب سعد</t>
  </si>
  <si>
    <t>ازهار عبدالجواد عبدالرازق</t>
  </si>
  <si>
    <t>شهد سعد جمعه</t>
  </si>
  <si>
    <t>مصطفي محروس مصطفي</t>
  </si>
  <si>
    <t>اسامه مبروك محمد</t>
  </si>
  <si>
    <t>سالمه عبدالله رجب عبدالرحمن</t>
  </si>
  <si>
    <t>ايمان عادل محمد محمد</t>
  </si>
  <si>
    <t>عصمت عادل صالح</t>
  </si>
  <si>
    <t>سوزان مختار ذكي</t>
  </si>
  <si>
    <t>دعاء عيد موسي عيد</t>
  </si>
  <si>
    <t>حنان خميس حماد</t>
  </si>
  <si>
    <t>راويه خلف بشتى</t>
  </si>
  <si>
    <t>نرمين راضى محمد</t>
  </si>
  <si>
    <t>الزهراء محمد الدسوقى</t>
  </si>
  <si>
    <t>استير اليشع فؤاد</t>
  </si>
  <si>
    <t>فاطمه علي سيد علي</t>
  </si>
  <si>
    <t>محمود سيد محمود معوض</t>
  </si>
  <si>
    <t>محمد ماهرفوزى</t>
  </si>
  <si>
    <t>رحمه هاني عبدالحميد محمد</t>
  </si>
  <si>
    <t>عهد خالد كساب</t>
  </si>
  <si>
    <t>عبدالوهاب ماهر احمد</t>
  </si>
  <si>
    <t>رانيا عزت نعيم</t>
  </si>
  <si>
    <t>شهد عيد سيد</t>
  </si>
  <si>
    <t>محمد رضا شحاته</t>
  </si>
  <si>
    <t xml:space="preserve">رضا حجازى عبدالحفيظ </t>
  </si>
  <si>
    <t>اميره حميده صالح</t>
  </si>
  <si>
    <t>شرين حسن خميس فتح الباب</t>
  </si>
  <si>
    <t xml:space="preserve">ديانا عماد بدر حنا </t>
  </si>
  <si>
    <t>يمنى محمد رمضان محمد</t>
  </si>
  <si>
    <t>ولاء احمد عبدالواحد حسن</t>
  </si>
  <si>
    <t>الزهراء رضا احمد</t>
  </si>
  <si>
    <t>شرين حجاج عبدالعظيم</t>
  </si>
  <si>
    <t>رانيا محمد عبدالحميد</t>
  </si>
  <si>
    <t>هاجر ابراهيم الدسوقى محمود</t>
  </si>
  <si>
    <t xml:space="preserve">اسماء محمد على شلقامى </t>
  </si>
  <si>
    <t>اروي رمضان محمد</t>
  </si>
  <si>
    <t>اميمه هانى محمد محمودفرغنى</t>
  </si>
  <si>
    <t xml:space="preserve">نجلاء جمال ابراهيم </t>
  </si>
  <si>
    <t>رحاب صلاح حامد محمد</t>
  </si>
  <si>
    <t>عاصم خالد عثمان احمد</t>
  </si>
  <si>
    <t>بسمه خالد مصطفى</t>
  </si>
  <si>
    <t>ايمان محمود عبدالله</t>
  </si>
  <si>
    <t>محمد ابراهيم كمال</t>
  </si>
  <si>
    <t>عزة حسن عبد المطلب</t>
  </si>
  <si>
    <t>محمد عبدلله احمد يوسف</t>
  </si>
  <si>
    <t xml:space="preserve">محمد جمال على </t>
  </si>
  <si>
    <t xml:space="preserve"> شيماء جمال حلمى </t>
  </si>
  <si>
    <t>سامح سامي ماهر</t>
  </si>
  <si>
    <t xml:space="preserve"> بسمه فتحي عبد الحميد</t>
  </si>
  <si>
    <t>مريم يوسف تادرس</t>
  </si>
  <si>
    <t>نوره صلاح سيف</t>
  </si>
  <si>
    <t>ادهم ابراهيم السيد ابراهيم</t>
  </si>
  <si>
    <t xml:space="preserve">بسمه فتحى عبدالحميد حافظ </t>
  </si>
  <si>
    <t>زينب جمعة سعد</t>
  </si>
  <si>
    <t>جني ايمن زكريا</t>
  </si>
  <si>
    <t>ملك قياتي عامر</t>
  </si>
  <si>
    <t>نورا عويس على</t>
  </si>
  <si>
    <t>صفاء ربيع محمد</t>
  </si>
  <si>
    <t>علا ماهر فاروق</t>
  </si>
  <si>
    <t>كرلس صبحى نجيب</t>
  </si>
  <si>
    <t xml:space="preserve">منى احمد عامر </t>
  </si>
  <si>
    <t xml:space="preserve">رغده عبدالصمد نجيب </t>
  </si>
  <si>
    <t>قدريه زكريا احمد</t>
  </si>
  <si>
    <t>ميار محمد عبدلله</t>
  </si>
  <si>
    <t>حازم رجب عبداللطيف محمد</t>
  </si>
  <si>
    <t>سعديه شعبان عبدالحليم</t>
  </si>
  <si>
    <t>الهام رضا فضل</t>
  </si>
  <si>
    <t>محمد محمود حنفى</t>
  </si>
  <si>
    <t>فاطمه عبدالحفيظ محمد</t>
  </si>
  <si>
    <t>احمد رجب عباس</t>
  </si>
  <si>
    <t>دنيا شعبان عباس على</t>
  </si>
  <si>
    <t>عبدالرحمن رجب شحاتة</t>
  </si>
  <si>
    <t>منه محمد عبدالعظيم</t>
  </si>
  <si>
    <t>اسراء احمد محمد</t>
  </si>
  <si>
    <t>ثريا محمد عبدالسلام</t>
  </si>
  <si>
    <t xml:space="preserve">غادة خلف حسن </t>
  </si>
  <si>
    <t>رانيا عابد شحاتة</t>
  </si>
  <si>
    <t>رحمة رشدى موسى</t>
  </si>
  <si>
    <t>مني محمد محمد</t>
  </si>
  <si>
    <t>هدي احمد محمد</t>
  </si>
  <si>
    <t>صفاء مرزوق رياض</t>
  </si>
  <si>
    <t>يحيى محمد خطيب</t>
  </si>
  <si>
    <t>احمد على ذكى</t>
  </si>
  <si>
    <t>محمد جمعة عيد</t>
  </si>
  <si>
    <t>شيماء شعبان حسن</t>
  </si>
  <si>
    <t>يوسف محمد جمال</t>
  </si>
  <si>
    <t>عبدالرحمن احمد محمد السيد</t>
  </si>
  <si>
    <t>مصطفي نور السيد</t>
  </si>
  <si>
    <t>جاسر ياسر جمال</t>
  </si>
  <si>
    <t>ايمان مختار عبدالحكيم</t>
  </si>
  <si>
    <t>شاديه شعبان محمد</t>
  </si>
  <si>
    <t>زينب محمد عبدالحكيم</t>
  </si>
  <si>
    <t>هاجر محمد محمد</t>
  </si>
  <si>
    <t>ايمان عادل طه</t>
  </si>
  <si>
    <t>ملك رؤوف انور</t>
  </si>
  <si>
    <t>عبدالتواب شعبان عبدالتواب</t>
  </si>
  <si>
    <t>اسلام رمضان عيد</t>
  </si>
  <si>
    <t>محمد سيد جمعه</t>
  </si>
  <si>
    <t>محمد فولي عبدالحميد</t>
  </si>
  <si>
    <t>فارس طه جمعه</t>
  </si>
  <si>
    <t>محمد حاتم فاضل</t>
  </si>
  <si>
    <t>عبدالرحمن حافظ محمد</t>
  </si>
  <si>
    <t>مرفت اسماعيل نعمان</t>
  </si>
  <si>
    <t xml:space="preserve">زياد عيد صابر </t>
  </si>
  <si>
    <t>ملك احمد جمال</t>
  </si>
  <si>
    <t>عبدالله محمد فؤاد</t>
  </si>
  <si>
    <t>محمود خلف كامل</t>
  </si>
  <si>
    <t>عبدالرحمن محمد محمود</t>
  </si>
  <si>
    <t>هند حامد معوض</t>
  </si>
  <si>
    <t>رباب عبد العال عبد السلام</t>
  </si>
  <si>
    <t>يارا جمال جابر</t>
  </si>
  <si>
    <t>زينب احمد مسعود</t>
  </si>
  <si>
    <t>داليا محمد مصطفي</t>
  </si>
  <si>
    <t>عاطف مخلوف زكي</t>
  </si>
  <si>
    <t>ميار صبرى راضى</t>
  </si>
  <si>
    <t>كشوفات</t>
  </si>
  <si>
    <t>صافيه محمد عبدالله</t>
  </si>
  <si>
    <t xml:space="preserve">مروة محمد السيد </t>
  </si>
  <si>
    <t>عامر عوض اسكندر</t>
  </si>
  <si>
    <t>سهام فايق ابراهيم</t>
  </si>
  <si>
    <t>عواطف عبد الجيد محمد</t>
  </si>
  <si>
    <t>ماجده هارون محروس</t>
  </si>
  <si>
    <t>احمد عبدالباقى محمد</t>
  </si>
  <si>
    <t>احمد طلعت توفيق</t>
  </si>
  <si>
    <t>احمد سيد قرنى</t>
  </si>
  <si>
    <t xml:space="preserve">فتحى رجب حسن ابراهيم </t>
  </si>
  <si>
    <t>شيماء جمال عبدالرحيم</t>
  </si>
  <si>
    <t>عليه منازع على ابراهيم</t>
  </si>
  <si>
    <t>احمد قاسم احمد اسماعيل</t>
  </si>
  <si>
    <t>ناديه محمود اسماعيل</t>
  </si>
  <si>
    <t>سناء شلقامي عبدالوهاب</t>
  </si>
  <si>
    <t>محمد ناجي عبدالرحمن</t>
  </si>
  <si>
    <t>عايده على حزين</t>
  </si>
  <si>
    <t>علي حمدي عبدالحفيظ</t>
  </si>
  <si>
    <t>هناء اسحق صادق</t>
  </si>
  <si>
    <t>محمد عبدالتواب محمد ابراهيم</t>
  </si>
  <si>
    <t>01151337232</t>
  </si>
  <si>
    <t>01273200564</t>
  </si>
  <si>
    <t>01270242329</t>
  </si>
  <si>
    <t>هاله احمد خلف</t>
  </si>
  <si>
    <t>نشات محمد عبدالسلام</t>
  </si>
  <si>
    <t>غريانى مصطفي فريد</t>
  </si>
  <si>
    <t>يوسف حيدر على</t>
  </si>
  <si>
    <t>على حسانين محمد</t>
  </si>
  <si>
    <t>صبرى ابوالعزايم حسن</t>
  </si>
  <si>
    <t>عمر راضي محمد</t>
  </si>
  <si>
    <t xml:space="preserve">بهاء فراج حسني </t>
  </si>
  <si>
    <t>محمود مسري احمد</t>
  </si>
  <si>
    <t>راندا محمد ابراهيم</t>
  </si>
  <si>
    <t>رجب عبدالله على</t>
  </si>
  <si>
    <t>01154289717</t>
  </si>
  <si>
    <t>01118077566</t>
  </si>
  <si>
    <t>01141020332</t>
  </si>
  <si>
    <t>01121817815</t>
  </si>
  <si>
    <t>01006993097</t>
  </si>
  <si>
    <t>01201777711</t>
  </si>
  <si>
    <t>01116251177</t>
  </si>
  <si>
    <t>01110916119</t>
  </si>
  <si>
    <t>01119888581</t>
  </si>
  <si>
    <t>01111841181</t>
  </si>
  <si>
    <t>0106826206</t>
  </si>
  <si>
    <t>01022390566</t>
  </si>
  <si>
    <t>نوع العميله</t>
  </si>
  <si>
    <t>السن</t>
  </si>
  <si>
    <t>تعاقد</t>
  </si>
  <si>
    <t>محمد حسن عبدالعزيز</t>
  </si>
  <si>
    <t>بنى مزار</t>
  </si>
  <si>
    <t>01151159333</t>
  </si>
  <si>
    <t>26601102402679</t>
  </si>
  <si>
    <t>عيد محمود خلف</t>
  </si>
  <si>
    <t>المنيا</t>
  </si>
  <si>
    <t>01150253743</t>
  </si>
  <si>
    <t>25010252400851</t>
  </si>
  <si>
    <t>ابوقرقاص</t>
  </si>
  <si>
    <t>01144691607</t>
  </si>
  <si>
    <t>26103142400237</t>
  </si>
  <si>
    <t>رجب محمد سليمان</t>
  </si>
  <si>
    <t>01141291613</t>
  </si>
  <si>
    <t>2540507240059</t>
  </si>
  <si>
    <t>فتح الباب احمد عبدالعزيز</t>
  </si>
  <si>
    <t>01121643017</t>
  </si>
  <si>
    <t>24710302400871</t>
  </si>
  <si>
    <t>عبدالمنعم محمد عبدالجواد</t>
  </si>
  <si>
    <t>الفشن</t>
  </si>
  <si>
    <t>01000620654</t>
  </si>
  <si>
    <t>26908092201015</t>
  </si>
  <si>
    <t>صباح عبدالنعيم محمد</t>
  </si>
  <si>
    <t>01008779457</t>
  </si>
  <si>
    <t>26112140103609</t>
  </si>
  <si>
    <t>هريدى احمد عبداللطيف</t>
  </si>
  <si>
    <t>01225107009</t>
  </si>
  <si>
    <t>25501032401493</t>
  </si>
  <si>
    <t>ناديه ابوزيد احمد على</t>
  </si>
  <si>
    <t>خالد عبدالعظيم</t>
  </si>
  <si>
    <t>01159528881</t>
  </si>
  <si>
    <t>25804152409876</t>
  </si>
  <si>
    <t>مسعده محمد احمد</t>
  </si>
  <si>
    <t>01111897979</t>
  </si>
  <si>
    <t>25101242405867</t>
  </si>
  <si>
    <t>محسن محمد عبدالوهاب</t>
  </si>
  <si>
    <t>01118117807</t>
  </si>
  <si>
    <t>27801132402111</t>
  </si>
  <si>
    <t>ريم عيد عبدالمطلب</t>
  </si>
  <si>
    <t>011041148201</t>
  </si>
  <si>
    <t>31502132409586</t>
  </si>
  <si>
    <t>جمال حلمى محمد</t>
  </si>
  <si>
    <t>مطاى</t>
  </si>
  <si>
    <t>01006715549</t>
  </si>
  <si>
    <t>26310202402558</t>
  </si>
  <si>
    <t>على مسلم احمد على</t>
  </si>
  <si>
    <t>01200689673</t>
  </si>
  <si>
    <t>25702152201132</t>
  </si>
  <si>
    <t>محمد ابراهيم عبدالسلام</t>
  </si>
  <si>
    <t>01140884320</t>
  </si>
  <si>
    <t>26112102402171</t>
  </si>
  <si>
    <t>محمد محمود مهنى</t>
  </si>
  <si>
    <t>01064457837</t>
  </si>
  <si>
    <t>26901082400074</t>
  </si>
  <si>
    <t>شعبان بزيد حسين</t>
  </si>
  <si>
    <t>01144174059</t>
  </si>
  <si>
    <t>25612232401928</t>
  </si>
  <si>
    <t>ابراهيم عبدالجابر ابراهيم</t>
  </si>
  <si>
    <t>01227511702</t>
  </si>
  <si>
    <t>26411182401119</t>
  </si>
  <si>
    <t>شاديه محمد على احمد</t>
  </si>
  <si>
    <t>01128348470</t>
  </si>
  <si>
    <t>26505292401143</t>
  </si>
  <si>
    <t>علا جابر محمد عبدالكريم</t>
  </si>
  <si>
    <t>01144957972</t>
  </si>
  <si>
    <t>26512162403922</t>
  </si>
  <si>
    <t>محمد مصطفى احمد</t>
  </si>
  <si>
    <t>01142491446</t>
  </si>
  <si>
    <t>32205062402639</t>
  </si>
  <si>
    <t>هنيه محمد على محمد</t>
  </si>
  <si>
    <t>01120382332</t>
  </si>
  <si>
    <t>26609182407648</t>
  </si>
  <si>
    <t>رضا محمد سعيد خليفه</t>
  </si>
  <si>
    <t>01117354165</t>
  </si>
  <si>
    <t>26304042407518</t>
  </si>
  <si>
    <t>مرزقه على عبدالعظيم</t>
  </si>
  <si>
    <t>01157872744</t>
  </si>
  <si>
    <t>25011112401268</t>
  </si>
  <si>
    <t>صباح فخرى وهبه</t>
  </si>
  <si>
    <t>01125921140</t>
  </si>
  <si>
    <t>25703192407648</t>
  </si>
  <si>
    <t>راضوان موسى على</t>
  </si>
  <si>
    <t>01121968863</t>
  </si>
  <si>
    <t>25605082401192</t>
  </si>
  <si>
    <t>احمد طلعت احمد</t>
  </si>
  <si>
    <t>01142364481</t>
  </si>
  <si>
    <t>27001162401112</t>
  </si>
  <si>
    <t>احمد على على البنا</t>
  </si>
  <si>
    <t>01115537163</t>
  </si>
  <si>
    <t>25812272401593</t>
  </si>
  <si>
    <t>مرضيه محمد احمد</t>
  </si>
  <si>
    <t>الوادى الجديد</t>
  </si>
  <si>
    <t>01271025418</t>
  </si>
  <si>
    <t>26311263200105</t>
  </si>
  <si>
    <t>نجاح على امين</t>
  </si>
  <si>
    <t>01094831370</t>
  </si>
  <si>
    <t>26506112401376</t>
  </si>
  <si>
    <t>وطنيه عبدالعظيم محمود</t>
  </si>
  <si>
    <t>01142942844</t>
  </si>
  <si>
    <t>25303162200604</t>
  </si>
  <si>
    <t>رمضان حسين عثمان</t>
  </si>
  <si>
    <t>01152781897</t>
  </si>
  <si>
    <t>26202052400732</t>
  </si>
  <si>
    <t>سيد ابراهيم جنيدى</t>
  </si>
  <si>
    <t>01022111614</t>
  </si>
  <si>
    <t>24903052200793</t>
  </si>
  <si>
    <t>ناهد بهاء الدين محمد</t>
  </si>
  <si>
    <t>01229731205</t>
  </si>
  <si>
    <t>24804282400769</t>
  </si>
  <si>
    <t>هنادى احمد محمد</t>
  </si>
  <si>
    <t>01025290684</t>
  </si>
  <si>
    <t>26904152401923</t>
  </si>
  <si>
    <t>زينب محمد احمد طه</t>
  </si>
  <si>
    <t>01140732684</t>
  </si>
  <si>
    <t>26512082402607</t>
  </si>
  <si>
    <t>بدر عبدالواحد هلال</t>
  </si>
  <si>
    <t>ملوى</t>
  </si>
  <si>
    <t>01553648546</t>
  </si>
  <si>
    <t>25102272400298</t>
  </si>
  <si>
    <t>زينب عبدالعزيز محمود</t>
  </si>
  <si>
    <t>ديرمواس</t>
  </si>
  <si>
    <t>01120730246</t>
  </si>
  <si>
    <t>26412312401121</t>
  </si>
  <si>
    <t>احمد محمد ابوزيد</t>
  </si>
  <si>
    <t>01034120625</t>
  </si>
  <si>
    <t>24606152402275</t>
  </si>
  <si>
    <t>كوثر عبدالحى عبدالرحيم</t>
  </si>
  <si>
    <t>01066066944</t>
  </si>
  <si>
    <t>25209252402609</t>
  </si>
  <si>
    <t>ريا عثمان على عثمان</t>
  </si>
  <si>
    <t>01157663949</t>
  </si>
  <si>
    <t>25609122401668</t>
  </si>
  <si>
    <t>على عبدالمطلب داخلى</t>
  </si>
  <si>
    <t>01275126890</t>
  </si>
  <si>
    <t>26412182402332</t>
  </si>
  <si>
    <t>رافت فؤاد محمد</t>
  </si>
  <si>
    <t>01115193514</t>
  </si>
  <si>
    <t>25612052401275</t>
  </si>
  <si>
    <t xml:space="preserve">زهنى على عبداللطيف </t>
  </si>
  <si>
    <t>01028742470</t>
  </si>
  <si>
    <t>عمر فهمى عبدالهادى</t>
  </si>
  <si>
    <t>01119209432</t>
  </si>
  <si>
    <t>هشام عباس كامل</t>
  </si>
  <si>
    <t>01006340619</t>
  </si>
  <si>
    <t>راضى عبدالسلام عبدالحليم</t>
  </si>
  <si>
    <t>01145874222</t>
  </si>
  <si>
    <t>عزيزه احمد محمد</t>
  </si>
  <si>
    <t>01100944792</t>
  </si>
  <si>
    <t>منى محمد سيد محمد</t>
  </si>
  <si>
    <t>01113973083</t>
  </si>
  <si>
    <t>عطيه احمد محمود</t>
  </si>
  <si>
    <t>01090737571</t>
  </si>
  <si>
    <t>محمد عبدالمنعم عبدالله</t>
  </si>
  <si>
    <t>01118644789</t>
  </si>
  <si>
    <t>محاسن محمد احمد</t>
  </si>
  <si>
    <t>01017843837</t>
  </si>
  <si>
    <t>حبيب صدقى حبيب</t>
  </si>
  <si>
    <t>01222874330</t>
  </si>
  <si>
    <t>شريهان رجب محمد</t>
  </si>
  <si>
    <t>01202562613</t>
  </si>
  <si>
    <t>صباح احمد عبدالباقى</t>
  </si>
  <si>
    <t>01117008718</t>
  </si>
  <si>
    <t>صالح سلام مسلم</t>
  </si>
  <si>
    <t>01221683778</t>
  </si>
  <si>
    <t>نفقة دوله</t>
  </si>
  <si>
    <t>نعمه محمد محمد احمد</t>
  </si>
  <si>
    <t>01149037720</t>
  </si>
  <si>
    <t>رجب شعبان زيدان</t>
  </si>
  <si>
    <t>01127118601</t>
  </si>
  <si>
    <t>امال رمزى زاخر</t>
  </si>
  <si>
    <t>01551535005</t>
  </si>
  <si>
    <t>محمد صلاح شحاته</t>
  </si>
  <si>
    <t>01119327282</t>
  </si>
  <si>
    <t>حسن على حسن على</t>
  </si>
  <si>
    <t>سمالوط</t>
  </si>
  <si>
    <t>01025570991</t>
  </si>
  <si>
    <t xml:space="preserve">محسن على ابراهيم </t>
  </si>
  <si>
    <t>01019985088</t>
  </si>
  <si>
    <t>اسماء حجاج عبدالمحسن</t>
  </si>
  <si>
    <t>01104150932</t>
  </si>
  <si>
    <t>منصور عبدالله عبدربه</t>
  </si>
  <si>
    <t>01100830273</t>
  </si>
  <si>
    <t>محجوب شحاته محجوب</t>
  </si>
  <si>
    <t>01002276127</t>
  </si>
  <si>
    <t>محمد سيد عبدالمنعم</t>
  </si>
  <si>
    <t>01009118158</t>
  </si>
  <si>
    <t>عادل راضى محمد</t>
  </si>
  <si>
    <t>01114896892</t>
  </si>
  <si>
    <t>ماجده عوض عبدالحميد</t>
  </si>
  <si>
    <t>01098418161</t>
  </si>
  <si>
    <t>لطفى اسماعيل حسن</t>
  </si>
  <si>
    <t>01068376095</t>
  </si>
  <si>
    <t>بهاء احمد صلاح الدين</t>
  </si>
  <si>
    <t>01155637330</t>
  </si>
  <si>
    <t>محمد عبدالسلام زكى</t>
  </si>
  <si>
    <t>01050112099</t>
  </si>
  <si>
    <t>عزه محمد ذوالفقار</t>
  </si>
  <si>
    <t>01002972461</t>
  </si>
  <si>
    <t>نجاه عبدالبصير عبد المحسن</t>
  </si>
  <si>
    <t>01091016709</t>
  </si>
  <si>
    <t>بدريه سيد ابراهيم</t>
  </si>
  <si>
    <t>امال محمد محمد شلقامى</t>
  </si>
  <si>
    <t>01023001808</t>
  </si>
  <si>
    <t>جمعه ابراهيم عبدالعزيز</t>
  </si>
  <si>
    <t>01002443766</t>
  </si>
  <si>
    <t>نبويه عبدالحميد ابراهيم</t>
  </si>
  <si>
    <t>عمروالجارحى</t>
  </si>
  <si>
    <t>01143772379</t>
  </si>
  <si>
    <t>كريمه فرغل اسماعيل</t>
  </si>
  <si>
    <t>01004431845</t>
  </si>
  <si>
    <t>عايده شحاته عبدالله</t>
  </si>
  <si>
    <t>01200363088</t>
  </si>
  <si>
    <t>حسانين سيد حسانين</t>
  </si>
  <si>
    <t>0112367199</t>
  </si>
  <si>
    <t>محمد زكى محمد حسن</t>
  </si>
  <si>
    <t>01151850130</t>
  </si>
  <si>
    <t xml:space="preserve">كترينه سركيس ايوب </t>
  </si>
  <si>
    <t>01278236089</t>
  </si>
  <si>
    <t>طارق رضا ابراهيم</t>
  </si>
  <si>
    <t>01037551548</t>
  </si>
  <si>
    <t>فتحيه عبدالتواب عبدالمجيد</t>
  </si>
  <si>
    <t>01125150067</t>
  </si>
  <si>
    <t>26111052409568</t>
  </si>
  <si>
    <t>منى صابر جمعه</t>
  </si>
  <si>
    <t>01102846804</t>
  </si>
  <si>
    <t>27305182407946</t>
  </si>
  <si>
    <t>زمزم صالح الروبى</t>
  </si>
  <si>
    <t>01163951906</t>
  </si>
  <si>
    <t>28012012401970</t>
  </si>
  <si>
    <t>محمد احمد عبدالوهاب على</t>
  </si>
  <si>
    <t>0120808093</t>
  </si>
  <si>
    <t>امل ميخائيل امين</t>
  </si>
  <si>
    <t>01553903199</t>
  </si>
  <si>
    <t>رضا محمد محمود ابراهيم</t>
  </si>
  <si>
    <t>0121094805</t>
  </si>
  <si>
    <t>نعميه شحاته حسن</t>
  </si>
  <si>
    <t>01102606083</t>
  </si>
  <si>
    <t>احمد بكير احمد</t>
  </si>
  <si>
    <t>01123016731</t>
  </si>
  <si>
    <t>صباح حسب الله حنا</t>
  </si>
  <si>
    <t>01276948216</t>
  </si>
  <si>
    <t>ناديه حنا صادق</t>
  </si>
  <si>
    <t>01202988403</t>
  </si>
  <si>
    <t>ندى محمد حسن</t>
  </si>
  <si>
    <t>01117151430</t>
  </si>
  <si>
    <t>جمال ماضى على</t>
  </si>
  <si>
    <t>01063539379</t>
  </si>
  <si>
    <t>علاء صلاح محمد</t>
  </si>
  <si>
    <t>01288401297</t>
  </si>
  <si>
    <t>صبيحه ابراهيم سليم</t>
  </si>
  <si>
    <t>01142983183</t>
  </si>
  <si>
    <t>حسام ربيع احمد</t>
  </si>
  <si>
    <t>01152477358</t>
  </si>
  <si>
    <t>عليه منازع على</t>
  </si>
  <si>
    <t>01144244818</t>
  </si>
  <si>
    <t>عثمان حلمى حسن</t>
  </si>
  <si>
    <t>01288489295</t>
  </si>
  <si>
    <t>فوزى نادى سليمان</t>
  </si>
  <si>
    <t>01287257195</t>
  </si>
  <si>
    <t>فتحيه عبدالوهاب ابوبكر</t>
  </si>
  <si>
    <t>01147975839</t>
  </si>
  <si>
    <t>01127906035</t>
  </si>
  <si>
    <t>عليه شحاته حسين</t>
  </si>
  <si>
    <t>01143557072</t>
  </si>
  <si>
    <t>سمير خف الله سيد</t>
  </si>
  <si>
    <t>01120294596</t>
  </si>
  <si>
    <t>نجاه ضاحى عباس</t>
  </si>
  <si>
    <t>01110307209</t>
  </si>
  <si>
    <t>احمد عليش احمد</t>
  </si>
  <si>
    <t>01115634552</t>
  </si>
  <si>
    <t>بدريه رمضان عبدالقادر</t>
  </si>
  <si>
    <t>01210394195</t>
  </si>
  <si>
    <t>منى عبدالنعيم حسن</t>
  </si>
  <si>
    <t>01095013313</t>
  </si>
  <si>
    <t>محمد سيد محمد عبدالغنى</t>
  </si>
  <si>
    <t>01093725909</t>
  </si>
  <si>
    <t>رودينا خلف سيد</t>
  </si>
  <si>
    <t>01092534240</t>
  </si>
  <si>
    <t>ثابت مسعد اسحق</t>
  </si>
  <si>
    <t>01281546085</t>
  </si>
  <si>
    <t>زينب محمد عبدالشافى</t>
  </si>
  <si>
    <t>01104267085</t>
  </si>
  <si>
    <t>التامه عبدالحميد مصباح</t>
  </si>
  <si>
    <t>01115354216</t>
  </si>
  <si>
    <t xml:space="preserve">حشمت طه فرحات </t>
  </si>
  <si>
    <t>01020068155</t>
  </si>
  <si>
    <t>صفوت صادق جوهر</t>
  </si>
  <si>
    <t>01229778412</t>
  </si>
  <si>
    <t>محمد عبداللطيف سيد</t>
  </si>
  <si>
    <t>01019629791</t>
  </si>
  <si>
    <t>1ونص</t>
  </si>
  <si>
    <t>محمد احمد مقرب</t>
  </si>
  <si>
    <t>01003049310</t>
  </si>
  <si>
    <t>احمد حنفى محمود</t>
  </si>
  <si>
    <t>01016534207</t>
  </si>
  <si>
    <t>مرفت حكيم ميخائيل</t>
  </si>
  <si>
    <t>01200921985</t>
  </si>
  <si>
    <t>حسين عبدالحميد ابراهيم</t>
  </si>
  <si>
    <t>01143934986</t>
  </si>
  <si>
    <t>نجاح عبدالحكيم على</t>
  </si>
  <si>
    <t>01159630999</t>
  </si>
  <si>
    <t>نوال فيلبس سامى</t>
  </si>
  <si>
    <t>01202010058</t>
  </si>
  <si>
    <t>زينب عبدالفتاح احمد</t>
  </si>
  <si>
    <t>01122213183</t>
  </si>
  <si>
    <t>01153381031</t>
  </si>
  <si>
    <t>هويدا الحبيبي عبداللطيف</t>
  </si>
  <si>
    <t>01126003351</t>
  </si>
  <si>
    <t>عاطف نجيب موسى</t>
  </si>
  <si>
    <t>01003884768</t>
  </si>
  <si>
    <t>احمد ناجح عيد</t>
  </si>
  <si>
    <t>01100791809</t>
  </si>
  <si>
    <t>منى محمد شلقامى</t>
  </si>
  <si>
    <t>01061621679</t>
  </si>
  <si>
    <t>امنه سعيد مرسى</t>
  </si>
  <si>
    <t>01100225096</t>
  </si>
  <si>
    <t>سعديه احمد محمد محمد</t>
  </si>
  <si>
    <t>01147411738</t>
  </si>
  <si>
    <t>عبدالسلام على الزهراء</t>
  </si>
  <si>
    <t>01114983497</t>
  </si>
  <si>
    <t>ناجى عبدالمجيد غيضان</t>
  </si>
  <si>
    <t>01032627972</t>
  </si>
  <si>
    <t>محمد عبدالمنجى محمد</t>
  </si>
  <si>
    <t>01120748814</t>
  </si>
  <si>
    <t>وفاء فؤاد حسان</t>
  </si>
  <si>
    <t>01116228656</t>
  </si>
  <si>
    <t>صباح فتح الباب احمد</t>
  </si>
  <si>
    <t>01116277287</t>
  </si>
  <si>
    <t>مها حمدى على</t>
  </si>
  <si>
    <t>01025259963</t>
  </si>
  <si>
    <t>محمد عبدالمنعم رشدان</t>
  </si>
  <si>
    <t>01149355035</t>
  </si>
  <si>
    <t>سعاد عباس محمد</t>
  </si>
  <si>
    <t>01140253460</t>
  </si>
  <si>
    <t>01009392300</t>
  </si>
  <si>
    <t>فضل عزيزيوسف</t>
  </si>
  <si>
    <t>0128615056</t>
  </si>
  <si>
    <t>هنيه عبدالعظيم محمد</t>
  </si>
  <si>
    <t>01007563819</t>
  </si>
  <si>
    <t>منى رشدى حسان</t>
  </si>
  <si>
    <t>01002066075</t>
  </si>
  <si>
    <t>صبيح هندى صبيح</t>
  </si>
  <si>
    <t>01119899042</t>
  </si>
  <si>
    <t>نمر محمد نمر ابراهيم</t>
  </si>
  <si>
    <t>01021248254</t>
  </si>
  <si>
    <t>سهام مشرف عبدالرحمن</t>
  </si>
  <si>
    <t>01116557990</t>
  </si>
  <si>
    <t>رمضان عبدالجواد حسن</t>
  </si>
  <si>
    <t>01288172771</t>
  </si>
  <si>
    <t>اشرف حسن احمد</t>
  </si>
  <si>
    <t>01006243935</t>
  </si>
  <si>
    <t>صباح رزق ظايط</t>
  </si>
  <si>
    <t>01210258264</t>
  </si>
  <si>
    <t>سعاد مسعد رزق</t>
  </si>
  <si>
    <t>01102125050</t>
  </si>
  <si>
    <t>صباح عبدالسلام احمد</t>
  </si>
  <si>
    <t>ببا</t>
  </si>
  <si>
    <t>01143582244</t>
  </si>
  <si>
    <t>شادى حليم مرقس</t>
  </si>
  <si>
    <t>01011389285</t>
  </si>
  <si>
    <t>محروس احمد جادالله</t>
  </si>
  <si>
    <t>01204805265</t>
  </si>
  <si>
    <t>فتحيه عبدالفتاح موسى</t>
  </si>
  <si>
    <t>01119504585</t>
  </si>
  <si>
    <t>زهيره عبدالجواد محمد</t>
  </si>
  <si>
    <t>01229185796</t>
  </si>
  <si>
    <t xml:space="preserve">عادل سيد عبدالغنى </t>
  </si>
  <si>
    <t>01112310701</t>
  </si>
  <si>
    <t>عفاف صادق عوض</t>
  </si>
  <si>
    <t>01286295400</t>
  </si>
  <si>
    <t>جمال احمد على</t>
  </si>
  <si>
    <t>01006491386</t>
  </si>
  <si>
    <t>مجدى فوزى ناشد</t>
  </si>
  <si>
    <t>01203450095</t>
  </si>
  <si>
    <t>نجيه محمد حيدر</t>
  </si>
  <si>
    <t>01271570522</t>
  </si>
  <si>
    <t>عادل عاشور صبحى</t>
  </si>
  <si>
    <t>01553744559</t>
  </si>
  <si>
    <t>رجب ربيع محمد</t>
  </si>
  <si>
    <t>01034324595</t>
  </si>
  <si>
    <t>رشاد حامد عبدالغنى</t>
  </si>
  <si>
    <t>01014339234</t>
  </si>
  <si>
    <t>علاء جابرعبدالراضى</t>
  </si>
  <si>
    <t>01022596365</t>
  </si>
  <si>
    <t>على بشندى على</t>
  </si>
  <si>
    <t>01212184590</t>
  </si>
  <si>
    <t>محمد عبدالله عبدالعظيم</t>
  </si>
  <si>
    <t>01143239373</t>
  </si>
  <si>
    <t>زكريا نصيف حبيب</t>
  </si>
  <si>
    <t>01282309031</t>
  </si>
  <si>
    <t>مكاسب مصلوح عبداللطيف</t>
  </si>
  <si>
    <t>01123787201</t>
  </si>
  <si>
    <t>اكرام جمعه محمد</t>
  </si>
  <si>
    <t>01150651540</t>
  </si>
  <si>
    <t>محمود ياسين محمد</t>
  </si>
  <si>
    <t>01101543033</t>
  </si>
  <si>
    <t>راعوث ادوار سعد</t>
  </si>
  <si>
    <t>01226455093</t>
  </si>
  <si>
    <t>اسماء رمضان على</t>
  </si>
  <si>
    <t>01020555704</t>
  </si>
  <si>
    <t>محمد فتحى حسانين</t>
  </si>
  <si>
    <t>01288342039</t>
  </si>
  <si>
    <t>احمد محمد احمد حسين</t>
  </si>
  <si>
    <t>01282953766</t>
  </si>
  <si>
    <t>زكريا احمد عبدالمعبود</t>
  </si>
  <si>
    <t>01050001940</t>
  </si>
  <si>
    <t>نفسيه محمد فهمى</t>
  </si>
  <si>
    <t>01111898307</t>
  </si>
  <si>
    <t>محمد محمود عبدالله</t>
  </si>
  <si>
    <t>01157839104</t>
  </si>
  <si>
    <t>فايز حنا عطيه</t>
  </si>
  <si>
    <t>01204198584</t>
  </si>
  <si>
    <t xml:space="preserve">حسن شاهر مفتاح </t>
  </si>
  <si>
    <t>01125113676</t>
  </si>
  <si>
    <t>فله محمود رضوان</t>
  </si>
  <si>
    <t>01008060834</t>
  </si>
  <si>
    <t>طارق يحيى سعد</t>
  </si>
  <si>
    <t>01009566328</t>
  </si>
  <si>
    <t>رفعت احمد ابراهيم</t>
  </si>
  <si>
    <t>0114742315</t>
  </si>
  <si>
    <t>خالد محمد خالد</t>
  </si>
  <si>
    <t>01156667758</t>
  </si>
  <si>
    <t>سعاد طه مصطفى</t>
  </si>
  <si>
    <t>0114283522</t>
  </si>
  <si>
    <t>رجاء حنا دوس</t>
  </si>
  <si>
    <t>01278266082</t>
  </si>
  <si>
    <t>هويده محمد محمد</t>
  </si>
  <si>
    <t>01111898489</t>
  </si>
  <si>
    <t>محمد زكى محمد على</t>
  </si>
  <si>
    <t>01117833925</t>
  </si>
  <si>
    <t>شاديه امام محمد</t>
  </si>
  <si>
    <t>01060258776</t>
  </si>
  <si>
    <t>البلد</t>
  </si>
  <si>
    <t>على احمد عبدالرحيم محمود</t>
  </si>
  <si>
    <t xml:space="preserve">العنوان </t>
  </si>
  <si>
    <t>مقطعيه عصب بصرى</t>
  </si>
  <si>
    <t xml:space="preserve">احمد محمد حسين فتح الباب </t>
  </si>
  <si>
    <t>علاء فتحي كمال</t>
  </si>
  <si>
    <t>طه صلاح ربيع</t>
  </si>
  <si>
    <t>ايمن فليم شوقي</t>
  </si>
  <si>
    <t>احمد نصر عبدالوهاب</t>
  </si>
  <si>
    <t>رفاعى عبدالسلام محمد</t>
  </si>
  <si>
    <t>محمد محمد ابوعلى</t>
  </si>
  <si>
    <t>عبدالناصر صلاح ابراهيم</t>
  </si>
  <si>
    <t xml:space="preserve">طه عيد على </t>
  </si>
  <si>
    <t>ياسين محمود حسن محمد</t>
  </si>
  <si>
    <t>صموئيل شاكر حنا</t>
  </si>
  <si>
    <t>01159336172</t>
  </si>
  <si>
    <t>0001066800725</t>
  </si>
  <si>
    <t>01116353397</t>
  </si>
  <si>
    <t>01276089863</t>
  </si>
  <si>
    <t>01147055468</t>
  </si>
  <si>
    <t>01021001545</t>
  </si>
  <si>
    <t>01069253084</t>
  </si>
  <si>
    <t>01063151932</t>
  </si>
  <si>
    <t>01507533555</t>
  </si>
  <si>
    <t>01017871444</t>
  </si>
  <si>
    <t>01121416500</t>
  </si>
  <si>
    <t>01203596891</t>
  </si>
  <si>
    <t>سحر محمد نشأت</t>
  </si>
  <si>
    <t>رضوى سامى مالك</t>
  </si>
  <si>
    <t>عمر محمد حسن</t>
  </si>
  <si>
    <t xml:space="preserve">مغاغه </t>
  </si>
  <si>
    <t xml:space="preserve">الدكتور </t>
  </si>
  <si>
    <t>رضوي سامي مالك</t>
  </si>
  <si>
    <t xml:space="preserve">حسناء حسين </t>
  </si>
  <si>
    <t xml:space="preserve"> فاديه حنا ميخائيل </t>
  </si>
  <si>
    <t xml:space="preserve">59
</t>
  </si>
  <si>
    <t xml:space="preserve">زينب احمد صديق </t>
  </si>
  <si>
    <t>بثينه عبدلله جابر</t>
  </si>
  <si>
    <t xml:space="preserve">طلعت محمد عبد الغني </t>
  </si>
  <si>
    <t xml:space="preserve">ساميه رمضان محمد </t>
  </si>
  <si>
    <t>ميليسيا شريف سامح</t>
  </si>
  <si>
    <t xml:space="preserve">عمر محمد عيد </t>
  </si>
  <si>
    <t>اكرام محمد محمد ابراهيم</t>
  </si>
  <si>
    <t>عطيات احمد السيد</t>
  </si>
  <si>
    <t>ليلى احمد محمود</t>
  </si>
  <si>
    <t xml:space="preserve">حاتم عبدالمنعم كامل </t>
  </si>
  <si>
    <t>كريم زغلول حسانين</t>
  </si>
  <si>
    <t>عصام يحي عبدالعزيز</t>
  </si>
  <si>
    <t xml:space="preserve">حجازيه عبد العظيم على </t>
  </si>
  <si>
    <t>فاطمه محمد عمار</t>
  </si>
  <si>
    <t>ام هاشم محمد مرزوق</t>
  </si>
  <si>
    <t>العدوة</t>
  </si>
  <si>
    <t xml:space="preserve">زينب احمد عبده </t>
  </si>
  <si>
    <t>رجب محمد رجب عبدالغنى</t>
  </si>
  <si>
    <t>احلام محفوظ سيد مبروك</t>
  </si>
  <si>
    <t xml:space="preserve">سيده احمد سليم حسن </t>
  </si>
  <si>
    <t>العين اليمنى</t>
  </si>
  <si>
    <t>العين اليسرى</t>
  </si>
  <si>
    <t>العينان</t>
  </si>
  <si>
    <t/>
  </si>
  <si>
    <t>مياه بيضاء</t>
  </si>
  <si>
    <t>زرع عدسه</t>
  </si>
  <si>
    <t>مياه بيضاء وازالة جسم زجاجى</t>
  </si>
  <si>
    <t>ازالة سيلكون</t>
  </si>
  <si>
    <t>ازالة جسم زجاجى وزرع عدسه</t>
  </si>
  <si>
    <t>شبكيه</t>
  </si>
  <si>
    <t>مياه بيضاء وازالة سيلكون</t>
  </si>
  <si>
    <t>زرع عدسه ارتيزان</t>
  </si>
  <si>
    <t>ازالة مياه بيضاء وحقن سيليكون</t>
  </si>
  <si>
    <t>جسم زجاجى وحقن زيت سيلكون</t>
  </si>
  <si>
    <t>انسداد قناة دمعية</t>
  </si>
  <si>
    <t>زرع عدسه icl</t>
  </si>
  <si>
    <t>ازاله ورم ملتحمه</t>
  </si>
  <si>
    <t>مياه بيضاء وحقن</t>
  </si>
  <si>
    <t>تصوير ملون</t>
  </si>
  <si>
    <t>سونار + مقاس</t>
  </si>
  <si>
    <t>مقطعيه +سونار</t>
  </si>
  <si>
    <t>مقطعيه +تصوير ملون</t>
  </si>
  <si>
    <t>مقاس + سونار</t>
  </si>
  <si>
    <t>مقطعية +سونار</t>
  </si>
  <si>
    <t>مقطعيه + مقاس عدسه</t>
  </si>
  <si>
    <t>تصوير ملون + سونار</t>
  </si>
  <si>
    <t>صبغه + مقطعيه</t>
  </si>
  <si>
    <t>مقطعيه عصب + مركز</t>
  </si>
  <si>
    <t>صبغه +مقطعيه</t>
  </si>
  <si>
    <t>سونار+مقاس عدسه</t>
  </si>
  <si>
    <t>مقطعيه+ صبغه + سونار</t>
  </si>
  <si>
    <t>مقطعيه + صبغه</t>
  </si>
  <si>
    <t>مقطعية</t>
  </si>
  <si>
    <t>مقطعيه + سونار</t>
  </si>
  <si>
    <t>مقطعية عصب + مركز</t>
  </si>
  <si>
    <t>مقطعيه مركز + عصب</t>
  </si>
  <si>
    <t>مقطعيه جزء امامى</t>
  </si>
  <si>
    <t>مقطعية + سونار</t>
  </si>
  <si>
    <t>سونار+ مقاس</t>
  </si>
  <si>
    <t>مقطعية + صبغة</t>
  </si>
  <si>
    <t>تصوير قاع عين ملون</t>
  </si>
  <si>
    <t>مقطعيه مركز</t>
  </si>
  <si>
    <t>مقطعية مركز +عصب</t>
  </si>
  <si>
    <t>مقطعيه + صبغة</t>
  </si>
  <si>
    <t>مقطعيه +مقطعيه عصب</t>
  </si>
  <si>
    <t>مقطعيه مركز+عصب</t>
  </si>
  <si>
    <t>مقطعيه عصب ومركز</t>
  </si>
  <si>
    <t xml:space="preserve">العينان </t>
  </si>
  <si>
    <t>المبلغ المدفوع</t>
  </si>
  <si>
    <t>ايراد المركز</t>
  </si>
  <si>
    <t>حساب الطبيب</t>
  </si>
  <si>
    <t>نسبه الطبيب</t>
  </si>
  <si>
    <t>حسناء حسين</t>
  </si>
  <si>
    <t>عين واحده</t>
  </si>
  <si>
    <t>مقطعيه+سونار</t>
  </si>
  <si>
    <t>مقاس</t>
  </si>
  <si>
    <t>فحص نظر</t>
  </si>
  <si>
    <t>نوع العمليه</t>
  </si>
  <si>
    <t>التعاقد</t>
  </si>
  <si>
    <t>اجمالى المبلغ</t>
  </si>
  <si>
    <t>برايفيت</t>
  </si>
  <si>
    <t>الحساب البنكى</t>
  </si>
  <si>
    <t>التعاقد المعياري</t>
  </si>
  <si>
    <t xml:space="preserve">قافلة ضى الخير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</si>
</sst>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00000"/>
    <numFmt numFmtId="166" formatCode="d\-m\-yyyy;@"/>
    <numFmt numFmtId="167" formatCode="dd/mm/yyyy"/>
  </numFmts>
  <fonts count="66" x14ac:knownFonts="1">
    <font>
      <sz val="11"/>
      <color theme="1"/>
      <name val="Calibri"/>
      <family val="2"/>
      <charset val="178"/>
      <scheme val="minor"/>
    </font>
    <font>
      <sz val="24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sz val="20"/>
      <color theme="1"/>
      <name val="Calibri"/>
      <family val="2"/>
      <charset val="178"/>
      <scheme val="minor"/>
    </font>
    <font>
      <sz val="20"/>
      <color theme="1"/>
      <name val="Arial"/>
      <family val="2"/>
      <charset val="178"/>
    </font>
    <font>
      <sz val="22"/>
      <color theme="1"/>
      <name val="Calibri"/>
      <family val="2"/>
      <charset val="178"/>
      <scheme val="minor"/>
    </font>
    <font>
      <sz val="18"/>
      <color theme="1"/>
      <name val="Calibri"/>
      <family val="2"/>
      <scheme val="minor"/>
    </font>
    <font>
      <sz val="22"/>
      <color theme="1"/>
      <name val="Arial"/>
      <family val="2"/>
      <charset val="178"/>
    </font>
    <font>
      <u/>
      <sz val="11"/>
      <color theme="10"/>
      <name val="Calibri"/>
      <family val="2"/>
      <charset val="178"/>
      <scheme val="minor"/>
    </font>
    <font>
      <sz val="18"/>
      <color theme="1"/>
      <name val="Calibri"/>
      <family val="2"/>
      <charset val="178"/>
      <scheme val="minor"/>
    </font>
    <font>
      <sz val="36"/>
      <color theme="1"/>
      <name val="Calibri"/>
      <family val="2"/>
      <charset val="178"/>
      <scheme val="minor"/>
    </font>
    <font>
      <sz val="28"/>
      <color theme="1"/>
      <name val="Calibri"/>
      <family val="2"/>
      <charset val="178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charset val="178"/>
      <scheme val="minor"/>
    </font>
    <font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Arial"/>
      <family val="2"/>
      <charset val="178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78"/>
      <scheme val="minor"/>
    </font>
    <font>
      <b/>
      <sz val="20"/>
      <color theme="1"/>
      <name val="Calibri"/>
      <family val="2"/>
      <charset val="178"/>
      <scheme val="minor"/>
    </font>
    <font>
      <b/>
      <u/>
      <sz val="20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8"/>
      <color theme="1"/>
      <name val="Arial Rounded MT Bold"/>
      <family val="2"/>
    </font>
    <font>
      <b/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  <charset val="178"/>
      <scheme val="minor"/>
    </font>
    <font>
      <b/>
      <sz val="2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1F1F1F"/>
      <name val="Arial"/>
    </font>
    <font>
      <b/>
      <sz val="12"/>
      <color theme="1"/>
      <name val="Arial"/>
    </font>
    <font>
      <b/>
      <sz val="13"/>
      <color rgb="FFFFFFFF"/>
      <name val="Arial"/>
    </font>
    <font>
      <sz val="12"/>
      <color rgb="FF1F1F1F"/>
      <name val="Arial"/>
    </font>
    <font>
      <b/>
      <sz val="24"/>
      <color theme="1"/>
      <name val="Calibri"/>
      <scheme val="minor"/>
    </font>
    <font>
      <b/>
      <sz val="20"/>
      <color theme="1"/>
      <name val="Calibri"/>
      <scheme val="minor"/>
    </font>
    <font>
      <b/>
      <sz val="16"/>
      <color theme="1"/>
      <name val="Calibri"/>
      <scheme val="minor"/>
    </font>
    <font>
      <b/>
      <sz val="11"/>
      <color rgb="FFFFFFFF"/>
      <name val="Calibri"/>
      <family val="2"/>
      <charset val="178"/>
      <scheme val="minor"/>
    </font>
    <font>
      <sz val="11"/>
      <color rgb="FF0000FF"/>
      <name val="Calibri"/>
      <family val="2"/>
      <charset val="17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4F81BD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8FAADC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8FAADC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 style="thin">
        <color rgb="FF8FAADC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8FAAD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5" fillId="0" borderId="1" xfId="0" applyFont="1" applyBorder="1"/>
    <xf numFmtId="0" fontId="5" fillId="0" borderId="0" xfId="0" applyFont="1"/>
    <xf numFmtId="0" fontId="1" fillId="0" borderId="1" xfId="0" applyFont="1" applyBorder="1"/>
    <xf numFmtId="0" fontId="3" fillId="0" borderId="2" xfId="0" applyFont="1" applyBorder="1"/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5" fillId="0" borderId="1" xfId="0" applyFont="1" applyBorder="1" applyAlignment="1">
      <alignment horizontal="center"/>
    </xf>
    <xf numFmtId="0" fontId="12" fillId="0" borderId="1" xfId="0" applyFont="1" applyBorder="1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4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/>
    <xf numFmtId="0" fontId="9" fillId="0" borderId="0" xfId="0" applyFont="1"/>
    <xf numFmtId="0" fontId="0" fillId="0" borderId="3" xfId="0" applyBorder="1"/>
    <xf numFmtId="17" fontId="0" fillId="0" borderId="1" xfId="0" applyNumberFormat="1" applyBorder="1"/>
    <xf numFmtId="0" fontId="16" fillId="0" borderId="1" xfId="0" applyFont="1" applyBorder="1" applyAlignment="1">
      <alignment horizontal="center"/>
    </xf>
    <xf numFmtId="0" fontId="16" fillId="0" borderId="3" xfId="0" applyFont="1" applyBorder="1"/>
    <xf numFmtId="0" fontId="18" fillId="0" borderId="0" xfId="0" applyFont="1"/>
    <xf numFmtId="0" fontId="20" fillId="2" borderId="1" xfId="0" applyFont="1" applyFill="1" applyBorder="1" applyAlignment="1">
      <alignment horizontal="center" vertical="center"/>
    </xf>
    <xf numFmtId="0" fontId="22" fillId="0" borderId="0" xfId="0" applyFont="1"/>
    <xf numFmtId="0" fontId="23" fillId="2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9" fillId="4" borderId="1" xfId="0" applyFont="1" applyFill="1" applyBorder="1"/>
    <xf numFmtId="0" fontId="24" fillId="2" borderId="1" xfId="0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0" fontId="4" fillId="3" borderId="1" xfId="0" applyFont="1" applyFill="1" applyBorder="1"/>
    <xf numFmtId="0" fontId="24" fillId="2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6" fillId="0" borderId="0" xfId="0" applyFont="1"/>
    <xf numFmtId="0" fontId="0" fillId="0" borderId="5" xfId="0" applyBorder="1"/>
    <xf numFmtId="0" fontId="0" fillId="0" borderId="6" xfId="0" applyBorder="1"/>
    <xf numFmtId="0" fontId="27" fillId="0" borderId="5" xfId="0" applyFont="1" applyBorder="1"/>
    <xf numFmtId="0" fontId="17" fillId="2" borderId="1" xfId="0" applyFont="1" applyFill="1" applyBorder="1" applyAlignment="1">
      <alignment horizontal="center" vertical="center"/>
    </xf>
    <xf numFmtId="0" fontId="28" fillId="0" borderId="1" xfId="0" applyFont="1" applyBorder="1"/>
    <xf numFmtId="0" fontId="28" fillId="0" borderId="5" xfId="0" applyFont="1" applyBorder="1"/>
    <xf numFmtId="0" fontId="30" fillId="0" borderId="1" xfId="0" applyFont="1" applyBorder="1" applyAlignment="1">
      <alignment horizontal="center"/>
    </xf>
    <xf numFmtId="0" fontId="0" fillId="0" borderId="7" xfId="0" applyBorder="1"/>
    <xf numFmtId="0" fontId="31" fillId="0" borderId="1" xfId="0" applyFont="1" applyBorder="1"/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2" fillId="0" borderId="1" xfId="0" applyFont="1" applyBorder="1"/>
    <xf numFmtId="0" fontId="33" fillId="0" borderId="1" xfId="0" applyFont="1" applyBorder="1"/>
    <xf numFmtId="0" fontId="35" fillId="0" borderId="5" xfId="0" applyFont="1" applyBorder="1"/>
    <xf numFmtId="0" fontId="36" fillId="0" borderId="1" xfId="0" applyFont="1" applyBorder="1"/>
    <xf numFmtId="0" fontId="14" fillId="0" borderId="2" xfId="0" applyFont="1" applyBorder="1"/>
    <xf numFmtId="3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5" fillId="5" borderId="1" xfId="0" applyFont="1" applyFill="1" applyBorder="1" applyAlignment="1">
      <alignment horizontal="center" vertical="center"/>
    </xf>
    <xf numFmtId="0" fontId="27" fillId="0" borderId="1" xfId="0" applyFont="1" applyBorder="1"/>
    <xf numFmtId="0" fontId="9" fillId="2" borderId="1" xfId="0" applyFont="1" applyFill="1" applyBorder="1" applyAlignment="1">
      <alignment horizontal="center" vertical="center"/>
    </xf>
    <xf numFmtId="0" fontId="38" fillId="0" borderId="1" xfId="0" applyFont="1" applyBorder="1"/>
    <xf numFmtId="0" fontId="39" fillId="0" borderId="1" xfId="0" applyFont="1" applyBorder="1"/>
    <xf numFmtId="0" fontId="4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43" fillId="0" borderId="1" xfId="0" applyFont="1" applyBorder="1"/>
    <xf numFmtId="0" fontId="44" fillId="0" borderId="1" xfId="0" applyFont="1" applyBorder="1"/>
    <xf numFmtId="0" fontId="1" fillId="0" borderId="0" xfId="0" applyFont="1" applyAlignment="1">
      <alignment horizontal="center"/>
    </xf>
    <xf numFmtId="0" fontId="46" fillId="0" borderId="1" xfId="0" applyFont="1" applyBorder="1"/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48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49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50" fillId="7" borderId="1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/>
    </xf>
    <xf numFmtId="0" fontId="48" fillId="7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top"/>
    </xf>
    <xf numFmtId="0" fontId="52" fillId="0" borderId="0" xfId="0" applyFont="1" applyAlignment="1">
      <alignment horizontal="center"/>
    </xf>
    <xf numFmtId="0" fontId="23" fillId="0" borderId="4" xfId="0" applyFont="1" applyBorder="1" applyAlignment="1">
      <alignment horizontal="center" vertical="top"/>
    </xf>
    <xf numFmtId="0" fontId="23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53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5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right" vertical="center"/>
    </xf>
    <xf numFmtId="0" fontId="48" fillId="0" borderId="1" xfId="0" applyFont="1" applyBorder="1" applyAlignment="1">
      <alignment horizontal="center" vertical="center"/>
    </xf>
    <xf numFmtId="165" fontId="48" fillId="5" borderId="1" xfId="0" applyNumberFormat="1" applyFont="1" applyFill="1" applyBorder="1" applyAlignment="1">
      <alignment horizontal="center" vertical="center"/>
    </xf>
    <xf numFmtId="0" fontId="48" fillId="0" borderId="3" xfId="0" applyFont="1" applyBorder="1" applyAlignment="1">
      <alignment horizontal="right" vertical="center"/>
    </xf>
    <xf numFmtId="0" fontId="48" fillId="0" borderId="9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/>
    </xf>
    <xf numFmtId="0" fontId="56" fillId="0" borderId="1" xfId="0" applyFont="1" applyBorder="1" applyAlignment="1">
      <alignment horizontal="right" vertical="center" wrapText="1"/>
    </xf>
    <xf numFmtId="0" fontId="56" fillId="0" borderId="1" xfId="0" applyFont="1" applyBorder="1" applyAlignment="1">
      <alignment horizontal="center" vertical="center"/>
    </xf>
    <xf numFmtId="0" fontId="57" fillId="8" borderId="10" xfId="0" applyFont="1" applyFill="1" applyBorder="1" applyAlignment="1">
      <alignment horizontal="right" vertical="center" wrapText="1"/>
    </xf>
    <xf numFmtId="49" fontId="57" fillId="8" borderId="10" xfId="0" applyNumberFormat="1" applyFont="1" applyFill="1" applyBorder="1" applyAlignment="1">
      <alignment horizontal="center" vertical="center" wrapText="1"/>
    </xf>
    <xf numFmtId="0" fontId="60" fillId="8" borderId="10" xfId="0" applyFont="1" applyFill="1" applyBorder="1" applyAlignment="1">
      <alignment horizontal="right" vertical="center" wrapText="1"/>
    </xf>
    <xf numFmtId="49" fontId="60" fillId="8" borderId="10" xfId="0" applyNumberFormat="1" applyFont="1" applyFill="1" applyBorder="1" applyAlignment="1">
      <alignment horizontal="center" vertical="center" wrapText="1"/>
    </xf>
    <xf numFmtId="1" fontId="57" fillId="8" borderId="10" xfId="0" applyNumberFormat="1" applyFont="1" applyFill="1" applyBorder="1" applyAlignment="1">
      <alignment horizontal="center" vertical="center" wrapText="1"/>
    </xf>
    <xf numFmtId="1" fontId="60" fillId="8" borderId="10" xfId="0" applyNumberFormat="1" applyFont="1" applyFill="1" applyBorder="1" applyAlignment="1">
      <alignment horizontal="center" vertical="center" wrapText="1"/>
    </xf>
    <xf numFmtId="0" fontId="57" fillId="8" borderId="10" xfId="0" applyFont="1" applyFill="1" applyBorder="1" applyAlignment="1">
      <alignment horizontal="center" vertical="center" wrapText="1"/>
    </xf>
    <xf numFmtId="0" fontId="60" fillId="8" borderId="10" xfId="0" applyFont="1" applyFill="1" applyBorder="1" applyAlignment="1">
      <alignment horizontal="center" vertical="center" wrapText="1"/>
    </xf>
    <xf numFmtId="0" fontId="59" fillId="9" borderId="11" xfId="0" applyFont="1" applyFill="1" applyBorder="1" applyAlignment="1">
      <alignment horizontal="center" vertical="center" wrapText="1"/>
    </xf>
    <xf numFmtId="1" fontId="60" fillId="8" borderId="12" xfId="0" applyNumberFormat="1" applyFont="1" applyFill="1" applyBorder="1" applyAlignment="1">
      <alignment horizontal="center" vertical="center" wrapText="1"/>
    </xf>
    <xf numFmtId="0" fontId="57" fillId="8" borderId="12" xfId="0" applyFont="1" applyFill="1" applyBorder="1" applyAlignment="1">
      <alignment horizontal="right" vertical="center" wrapText="1"/>
    </xf>
    <xf numFmtId="0" fontId="60" fillId="8" borderId="12" xfId="0" applyFont="1" applyFill="1" applyBorder="1" applyAlignment="1">
      <alignment horizontal="right" vertical="center" wrapText="1"/>
    </xf>
    <xf numFmtId="49" fontId="60" fillId="8" borderId="12" xfId="0" applyNumberFormat="1" applyFont="1" applyFill="1" applyBorder="1" applyAlignment="1">
      <alignment horizontal="center" vertical="center" wrapText="1"/>
    </xf>
    <xf numFmtId="0" fontId="60" fillId="8" borderId="12" xfId="0" applyFont="1" applyFill="1" applyBorder="1" applyAlignment="1">
      <alignment horizontal="center" vertical="center" wrapText="1"/>
    </xf>
    <xf numFmtId="1" fontId="57" fillId="10" borderId="10" xfId="0" applyNumberFormat="1" applyFont="1" applyFill="1" applyBorder="1" applyAlignment="1">
      <alignment horizontal="center" vertical="center" wrapText="1"/>
    </xf>
    <xf numFmtId="0" fontId="57" fillId="10" borderId="10" xfId="0" applyFont="1" applyFill="1" applyBorder="1" applyAlignment="1">
      <alignment horizontal="right" vertical="center" wrapText="1"/>
    </xf>
    <xf numFmtId="49" fontId="57" fillId="10" borderId="10" xfId="0" applyNumberFormat="1" applyFont="1" applyFill="1" applyBorder="1" applyAlignment="1">
      <alignment horizontal="center" vertical="center" wrapText="1"/>
    </xf>
    <xf numFmtId="0" fontId="57" fillId="10" borderId="10" xfId="0" applyFont="1" applyFill="1" applyBorder="1" applyAlignment="1">
      <alignment horizontal="center" vertical="center" wrapText="1"/>
    </xf>
    <xf numFmtId="1" fontId="60" fillId="10" borderId="10" xfId="0" applyNumberFormat="1" applyFont="1" applyFill="1" applyBorder="1" applyAlignment="1">
      <alignment horizontal="center" vertical="center" wrapText="1"/>
    </xf>
    <xf numFmtId="0" fontId="60" fillId="10" borderId="10" xfId="0" applyFont="1" applyFill="1" applyBorder="1" applyAlignment="1">
      <alignment horizontal="right" vertical="center" wrapText="1"/>
    </xf>
    <xf numFmtId="49" fontId="60" fillId="10" borderId="10" xfId="0" applyNumberFormat="1" applyFont="1" applyFill="1" applyBorder="1" applyAlignment="1">
      <alignment horizontal="center" vertical="center" wrapText="1"/>
    </xf>
    <xf numFmtId="0" fontId="60" fillId="10" borderId="10" xfId="0" applyFont="1" applyFill="1" applyBorder="1" applyAlignment="1">
      <alignment horizontal="center" vertical="center" wrapText="1"/>
    </xf>
    <xf numFmtId="0" fontId="59" fillId="9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0" fontId="59" fillId="9" borderId="0" xfId="0" applyFont="1" applyFill="1" applyAlignment="1">
      <alignment horizontal="center" vertical="center"/>
    </xf>
    <xf numFmtId="167" fontId="20" fillId="2" borderId="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29" fillId="0" borderId="1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67" fontId="48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167" fontId="31" fillId="0" borderId="1" xfId="0" applyNumberFormat="1" applyFont="1" applyBorder="1" applyAlignment="1">
      <alignment horizontal="center" vertical="center"/>
    </xf>
    <xf numFmtId="167" fontId="30" fillId="0" borderId="1" xfId="0" applyNumberFormat="1" applyFont="1" applyBorder="1" applyAlignment="1">
      <alignment horizontal="center" vertical="center"/>
    </xf>
    <xf numFmtId="167" fontId="33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67" fontId="42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167" fontId="22" fillId="0" borderId="1" xfId="0" applyNumberFormat="1" applyFont="1" applyBorder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7" fontId="17" fillId="2" borderId="1" xfId="0" applyNumberFormat="1" applyFont="1" applyFill="1" applyBorder="1" applyAlignment="1">
      <alignment horizontal="center" vertical="center"/>
    </xf>
    <xf numFmtId="167" fontId="23" fillId="0" borderId="4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 vertical="center"/>
    </xf>
    <xf numFmtId="167" fontId="53" fillId="0" borderId="1" xfId="0" applyNumberFormat="1" applyFont="1" applyBorder="1" applyAlignment="1">
      <alignment horizontal="center" vertical="center"/>
    </xf>
    <xf numFmtId="167" fontId="52" fillId="0" borderId="1" xfId="0" applyNumberFormat="1" applyFont="1" applyBorder="1" applyAlignment="1">
      <alignment horizontal="center" vertical="center"/>
    </xf>
    <xf numFmtId="167" fontId="52" fillId="0" borderId="0" xfId="0" applyNumberFormat="1" applyFont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67" fontId="20" fillId="7" borderId="1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7" fillId="7" borderId="1" xfId="0" applyNumberFormat="1" applyFont="1" applyFill="1" applyBorder="1" applyAlignment="1">
      <alignment horizontal="center" vertical="center"/>
    </xf>
    <xf numFmtId="167" fontId="21" fillId="5" borderId="1" xfId="0" applyNumberFormat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167" fontId="26" fillId="0" borderId="5" xfId="0" applyNumberFormat="1" applyFont="1" applyBorder="1" applyAlignment="1">
      <alignment horizontal="center" vertical="center"/>
    </xf>
    <xf numFmtId="167" fontId="45" fillId="0" borderId="1" xfId="0" applyNumberFormat="1" applyFont="1" applyBorder="1" applyAlignment="1">
      <alignment horizontal="center" vertical="center"/>
    </xf>
    <xf numFmtId="167" fontId="34" fillId="0" borderId="5" xfId="0" applyNumberFormat="1" applyFont="1" applyBorder="1" applyAlignment="1">
      <alignment horizontal="center" vertical="center"/>
    </xf>
    <xf numFmtId="167" fontId="59" fillId="9" borderId="1" xfId="0" applyNumberFormat="1" applyFont="1" applyFill="1" applyBorder="1" applyAlignment="1">
      <alignment horizontal="center" vertical="center"/>
    </xf>
    <xf numFmtId="167" fontId="48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37" fillId="6" borderId="9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7" fillId="0" borderId="0" xfId="0" applyFont="1" applyAlignment="1">
      <alignment horizontal="center" vertical="center"/>
    </xf>
    <xf numFmtId="167" fontId="47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/>
    </xf>
    <xf numFmtId="0" fontId="54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3" fontId="62" fillId="0" borderId="1" xfId="0" applyNumberFormat="1" applyFont="1" applyBorder="1" applyAlignment="1">
      <alignment horizontal="center" vertical="center"/>
    </xf>
    <xf numFmtId="166" fontId="48" fillId="5" borderId="3" xfId="0" applyNumberFormat="1" applyFont="1" applyFill="1" applyBorder="1" applyAlignment="1">
      <alignment horizontal="center" vertical="center"/>
    </xf>
    <xf numFmtId="0" fontId="61" fillId="11" borderId="5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3" fontId="62" fillId="0" borderId="1" xfId="0" applyNumberFormat="1" applyFont="1" applyBorder="1" applyAlignment="1">
      <alignment horizontal="center"/>
    </xf>
    <xf numFmtId="165" fontId="48" fillId="5" borderId="3" xfId="0" applyNumberFormat="1" applyFont="1" applyFill="1" applyBorder="1" applyAlignment="1">
      <alignment horizontal="center" vertical="center"/>
    </xf>
    <xf numFmtId="0" fontId="59" fillId="9" borderId="13" xfId="0" applyFont="1" applyFill="1" applyBorder="1" applyAlignment="1">
      <alignment horizontal="center" vertical="center"/>
    </xf>
    <xf numFmtId="0" fontId="48" fillId="5" borderId="3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59" fillId="9" borderId="14" xfId="0" applyFont="1" applyFill="1" applyBorder="1" applyAlignment="1">
      <alignment horizontal="center" vertical="center"/>
    </xf>
    <xf numFmtId="3" fontId="63" fillId="0" borderId="14" xfId="0" applyNumberFormat="1" applyFont="1" applyBorder="1" applyAlignment="1">
      <alignment horizontal="center"/>
    </xf>
    <xf numFmtId="167" fontId="59" fillId="9" borderId="16" xfId="0" applyNumberFormat="1" applyFont="1" applyFill="1" applyBorder="1" applyAlignment="1">
      <alignment horizontal="center" vertical="center" wrapText="1"/>
    </xf>
    <xf numFmtId="167" fontId="57" fillId="10" borderId="17" xfId="0" applyNumberFormat="1" applyFont="1" applyFill="1" applyBorder="1" applyAlignment="1">
      <alignment horizontal="center" vertical="center" wrapText="1" readingOrder="1"/>
    </xf>
    <xf numFmtId="167" fontId="57" fillId="8" borderId="17" xfId="0" applyNumberFormat="1" applyFont="1" applyFill="1" applyBorder="1" applyAlignment="1">
      <alignment horizontal="center" vertical="center" wrapText="1" readingOrder="1"/>
    </xf>
    <xf numFmtId="167" fontId="57" fillId="8" borderId="17" xfId="0" applyNumberFormat="1" applyFont="1" applyFill="1" applyBorder="1" applyAlignment="1">
      <alignment horizontal="center" vertical="center" wrapText="1"/>
    </xf>
    <xf numFmtId="167" fontId="57" fillId="10" borderId="17" xfId="0" applyNumberFormat="1" applyFont="1" applyFill="1" applyBorder="1" applyAlignment="1">
      <alignment horizontal="center" vertical="center" wrapText="1"/>
    </xf>
    <xf numFmtId="167" fontId="60" fillId="8" borderId="17" xfId="0" applyNumberFormat="1" applyFont="1" applyFill="1" applyBorder="1" applyAlignment="1">
      <alignment horizontal="center" vertical="center" wrapText="1"/>
    </xf>
    <xf numFmtId="167" fontId="60" fillId="10" borderId="17" xfId="0" applyNumberFormat="1" applyFont="1" applyFill="1" applyBorder="1" applyAlignment="1">
      <alignment horizontal="center" vertical="center" wrapText="1"/>
    </xf>
    <xf numFmtId="167" fontId="60" fillId="8" borderId="18" xfId="0" applyNumberFormat="1" applyFont="1" applyFill="1" applyBorder="1" applyAlignment="1">
      <alignment horizontal="center" vertical="center" wrapText="1"/>
    </xf>
    <xf numFmtId="0" fontId="59" fillId="9" borderId="10" xfId="0" applyFont="1" applyFill="1" applyBorder="1" applyAlignment="1">
      <alignment horizontal="center"/>
    </xf>
    <xf numFmtId="3" fontId="58" fillId="0" borderId="10" xfId="0" applyNumberFormat="1" applyFont="1" applyBorder="1" applyAlignment="1">
      <alignment horizontal="center"/>
    </xf>
    <xf numFmtId="0" fontId="64" fillId="9" borderId="14" xfId="0" applyFont="1" applyFill="1" applyBorder="1"/>
    <xf numFmtId="0" fontId="0" fillId="0" borderId="14" xfId="0" applyBorder="1"/>
    <xf numFmtId="9" fontId="65" fillId="0" borderId="14" xfId="0" applyNumberFormat="1" applyFont="1" applyBorder="1"/>
    <xf numFmtId="0" fontId="64" fillId="9" borderId="14" xfId="0" applyFont="1" applyFill="1" applyBorder="1" applyAlignment="1">
      <alignment horizontal="center"/>
    </xf>
    <xf numFmtId="3" fontId="65" fillId="0" borderId="14" xfId="0" applyNumberFormat="1" applyFont="1" applyBorder="1"/>
    <xf numFmtId="0" fontId="0" fillId="0" borderId="14" xfId="0" applyNumberFormat="1" applyBorder="1"/>
    <xf numFmtId="0" fontId="59" fillId="9" borderId="17" xfId="0" applyFont="1" applyFill="1" applyBorder="1" applyAlignment="1">
      <alignment horizontal="center"/>
    </xf>
    <xf numFmtId="3" fontId="58" fillId="0" borderId="17" xfId="0" applyNumberFormat="1" applyFont="1" applyBorder="1" applyAlignment="1">
      <alignment horizontal="center"/>
    </xf>
    <xf numFmtId="0" fontId="59" fillId="9" borderId="15" xfId="0" applyFont="1" applyFill="1" applyBorder="1" applyAlignment="1">
      <alignment horizontal="center"/>
    </xf>
  </cellXfs>
  <cellStyles count="2">
    <cellStyle name="ارتباط تشعبي" xfId="1" builtinId="8"/>
    <cellStyle name="عادي" xfId="0" builtinId="0"/>
  </cellStyles>
  <dxfs count="11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7" formatCode="dd/mm/yyyy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scheme val="minor"/>
      </font>
      <numFmt numFmtId="0" formatCode="General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scheme val="minor"/>
      </font>
      <numFmt numFmtId="0" formatCode="General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scheme val="minor"/>
      </font>
      <numFmt numFmtId="0" formatCode="General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scheme val="minor"/>
      </font>
      <numFmt numFmtId="167" formatCode="dd/mm/yyyy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minor"/>
      </font>
      <numFmt numFmtId="167" formatCode="dd/mm/yyyy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numFmt numFmtId="0" formatCode="General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scheme val="minor"/>
      </font>
      <numFmt numFmtId="0" formatCode="General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1708150</xdr:colOff>
          <xdr:row>181</xdr:row>
          <xdr:rowOff>0</xdr:rowOff>
        </xdr:from>
        <xdr:to>
          <xdr:col>2</xdr:col>
          <xdr:colOff>1898650</xdr:colOff>
          <xdr:row>181</xdr:row>
          <xdr:rowOff>152400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M416" totalsRowShown="0">
  <autoFilter ref="A5:M416" xr:uid="{00000000-0009-0000-0100-000002000000}"/>
  <tableColumns count="13">
    <tableColumn id="1" xr3:uid="{00000000-0010-0000-0000-000001000000}" name="م" dataDxfId="111"/>
    <tableColumn id="2" xr3:uid="{00000000-0010-0000-0000-000002000000}" name="الرقم الطبي" dataDxfId="110"/>
    <tableColumn id="3" xr3:uid="{00000000-0010-0000-0000-000003000000}" name="الاسم" dataDxfId="109"/>
    <tableColumn id="4" xr3:uid="{00000000-0010-0000-0000-000004000000}" name="العين" dataDxfId="108"/>
    <tableColumn id="5" xr3:uid="{00000000-0010-0000-0000-000005000000}" name="نوع الاشاعه"/>
    <tableColumn id="6" xr3:uid="{00000000-0010-0000-0000-000006000000}" name="الطبيب المعالج " dataDxfId="107"/>
    <tableColumn id="7" xr3:uid="{00000000-0010-0000-0000-000007000000}" name="التليفون" dataDxfId="106"/>
    <tableColumn id="8" xr3:uid="{00000000-0010-0000-0000-000008000000}" name="التاريخ " dataDxfId="105"/>
    <tableColumn id="9" xr3:uid="{00000000-0010-0000-0000-000009000000}" name="عمود1" dataDxfId="104"/>
    <tableColumn id="10" xr3:uid="{00000000-0010-0000-0000-00000A000000}" name="Column1" dataDxfId="103"/>
    <tableColumn id="11" xr3:uid="{00000000-0010-0000-0000-00000B000000}" name="Column2" dataDxfId="102"/>
    <tableColumn id="12" xr3:uid="{00000000-0010-0000-0000-00000C000000}" name="Column3" dataDxfId="101"/>
    <tableColumn id="13" xr3:uid="{00000000-0010-0000-0000-00000D000000}" name="Column4" dataDxfId="10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CQ105" totalsRowShown="0" headerRowDxfId="99" headerRowBorderDxfId="98" tableBorderDxfId="97">
  <autoFilter ref="A1:CQ105" xr:uid="{00000000-0009-0000-0100-000001000000}"/>
  <tableColumns count="95">
    <tableColumn id="1" xr3:uid="{00000000-0010-0000-0100-000001000000}" name="التاريخ " dataDxfId="96"/>
    <tableColumn id="2" xr3:uid="{00000000-0010-0000-0100-000002000000}" name="الطبيب" dataDxfId="95"/>
    <tableColumn id="3" xr3:uid="{00000000-0010-0000-0100-000003000000}" name="مباه بيضاء " dataDxfId="94"/>
    <tableColumn id="4" xr3:uid="{00000000-0010-0000-0100-000004000000}" name="ظفره" dataDxfId="93"/>
    <tableColumn id="5" xr3:uid="{00000000-0010-0000-0100-000005000000}" name="كيس دهني " dataDxfId="92"/>
    <tableColumn id="6" xr3:uid="{00000000-0010-0000-0100-000006000000}" name="اعاده انفصال شبكي" dataDxfId="91"/>
    <tableColumn id="7" xr3:uid="{00000000-0010-0000-0100-000007000000}" name="افاستن" dataDxfId="90"/>
    <tableColumn id="8" xr3:uid="{00000000-0010-0000-0100-000008000000}" name="زرع icl" dataDxfId="89"/>
    <tableColumn id="9" xr3:uid="{00000000-0010-0000-0100-000009000000}" name="ازاله غرز" dataDxfId="88"/>
    <tableColumn id="10" xr3:uid="{00000000-0010-0000-0100-00000A000000}" name="شعره" dataDxfId="87"/>
    <tableColumn id="11" xr3:uid="{00000000-0010-0000-0100-00000B000000}" name="عدسه تورك" dataDxfId="86"/>
    <tableColumn id="12" xr3:uid="{00000000-0010-0000-0100-00000C000000}" name="ازاله انبوبه دمعيه" dataDxfId="85"/>
    <tableColumn id="13" xr3:uid="{00000000-0010-0000-0100-00000D000000}" name="قناه دمعيه" dataDxfId="84"/>
    <tableColumn id="14" xr3:uid="{00000000-0010-0000-0100-00000E000000}" name="ليزك" dataDxfId="83"/>
    <tableColumn id="15" xr3:uid="{00000000-0010-0000-0100-00000F000000}" name="انفصال شبكى" dataDxfId="82"/>
    <tableColumn id="16" xr3:uid="{00000000-0010-0000-0100-000010000000}" name="م بيضاء وانفصال شبكى" dataDxfId="81"/>
    <tableColumn id="17" xr3:uid="{00000000-0010-0000-0100-000011000000}" name="مياه بيضاء وافاستن" dataDxfId="80"/>
    <tableColumn id="18" xr3:uid="{00000000-0010-0000-0100-000012000000}" name="ازاله سليكون" dataDxfId="79"/>
    <tableColumn id="19" xr3:uid="{00000000-0010-0000-0100-000013000000}" name="مياه زرقاء" dataDxfId="78"/>
    <tableColumn id="21" xr3:uid="{00000000-0010-0000-0100-000015000000}" name="ازاله جسم زجاجى وزرع عدسه" dataDxfId="77"/>
    <tableColumn id="22" xr3:uid="{00000000-0010-0000-0100-000016000000}" name="ازاله جسم زجاجى" dataDxfId="76"/>
    <tableColumn id="23" xr3:uid="{00000000-0010-0000-0100-000017000000}" name="م بيضاء وازاله سليكون " dataDxfId="75"/>
    <tableColumn id="24" xr3:uid="{00000000-0010-0000-0100-000018000000}" name="مسح قرنيه " dataDxfId="74"/>
    <tableColumn id="25" xr3:uid="{00000000-0010-0000-0100-000019000000}" name="م بيضاء وازاله جسم زجاجى" dataDxfId="73"/>
    <tableColumn id="26" xr3:uid="{00000000-0010-0000-0100-00001A000000}" name="ازاله كيس بالملتحمه" dataDxfId="72"/>
    <tableColumn id="27" xr3:uid="{00000000-0010-0000-0100-00001B000000}" name="زرع قرنيه" dataDxfId="71"/>
    <tableColumn id="28" xr3:uid="{00000000-0010-0000-0100-00001C000000}" name="غسل فلابه " dataDxfId="70"/>
    <tableColumn id="29" xr3:uid="{00000000-0010-0000-0100-00001D000000}" name="نزيف بالجسم الزجاجى" dataDxfId="69"/>
    <tableColumn id="30" xr3:uid="{00000000-0010-0000-0100-00001E000000}" name="ازاله كيس مائى بالملتحمه" dataDxfId="68"/>
    <tableColumn id="31" xr3:uid="{00000000-0010-0000-0100-00001F000000}" name="انفجار بمقله العغين" dataDxfId="67"/>
    <tableColumn id="32" xr3:uid="{00000000-0010-0000-0100-000020000000}" name="غسيل خزانه" dataDxfId="66"/>
    <tableColumn id="33" xr3:uid="{00000000-0010-0000-0100-000021000000}" name="ورم بالجفن " dataDxfId="65"/>
    <tableColumn id="34" xr3:uid="{00000000-0010-0000-0100-000022000000}" name="تعديل عدسه" dataDxfId="64"/>
    <tableColumn id="35" xr3:uid="{00000000-0010-0000-0100-000023000000}" name="ازاله رايش " dataDxfId="63"/>
    <tableColumn id="36" xr3:uid="{00000000-0010-0000-0100-000024000000}" name="غرزه بالعين " dataDxfId="62"/>
    <tableColumn id="38" xr3:uid="{00000000-0010-0000-0100-000026000000}" name="فحص تحت مخدر كلى" dataDxfId="61"/>
    <tableColumn id="39" xr3:uid="{00000000-0010-0000-0100-000027000000}" name="ارتخاء جفن" dataDxfId="60"/>
    <tableColumn id="42" xr3:uid="{00000000-0010-0000-0100-00002A000000}" name="حقن هواء بالخزانه الاماميه" dataDxfId="59"/>
    <tableColumn id="43" xr3:uid="{00000000-0010-0000-0100-00002B000000}" name="استعدال جفن " dataDxfId="58"/>
    <tableColumn id="44" xr3:uid="{00000000-0010-0000-0100-00002C000000}" name="كيس شمعى" dataDxfId="57"/>
    <tableColumn id="45" xr3:uid="{00000000-0010-0000-0100-00002D000000}" name="اعاده ليزك" dataDxfId="56"/>
    <tableColumn id="46" xr3:uid="{00000000-0010-0000-0100-00002E000000}" name="م بيضاء وقرنيه" dataDxfId="55"/>
    <tableColumn id="47" xr3:uid="{00000000-0010-0000-0100-00002F000000}" name="ازاله زايده جلديه" dataDxfId="54"/>
    <tableColumn id="50" xr3:uid="{00000000-0010-0000-0100-000032000000}" name="تفريغ" dataDxfId="53"/>
    <tableColumn id="52" xr3:uid="{00000000-0010-0000-0100-000034000000}" name="كى رموش" dataDxfId="52"/>
    <tableColumn id="53" xr3:uid="{00000000-0010-0000-0100-000035000000}" name="م بيضاء وزرقاء" dataDxfId="51"/>
    <tableColumn id="55" xr3:uid="{00000000-0010-0000-0100-000037000000}" name="جرح قطعى بالجفن" dataDxfId="50"/>
    <tableColumn id="56" xr3:uid="{00000000-0010-0000-0100-000038000000}" name="م بيضاء وحقن" dataDxfId="49"/>
    <tableColumn id="60" xr3:uid="{00000000-0010-0000-0100-00003C000000}" name="حول" dataDxfId="48"/>
    <tableColumn id="20" xr3:uid="{00000000-0010-0000-0100-000014000000}" name="اصلاح ارتخاء جفن" dataDxfId="47"/>
    <tableColumn id="37" xr3:uid="{00000000-0010-0000-0100-000025000000}" name="زرع عدسه ثانويه" dataDxfId="46"/>
    <tableColumn id="54" xr3:uid="{00000000-0010-0000-0100-000036000000}" name="استبدال عدسه " dataDxfId="45"/>
    <tableColumn id="57" xr3:uid="{00000000-0010-0000-0100-000039000000}" name="اصلاح قناه دمعيه" dataDxfId="44"/>
    <tableColumn id="58" xr3:uid="{00000000-0010-0000-0100-00003A000000}" name="م بيضاء وازاله غرز" dataDxfId="43"/>
    <tableColumn id="61" xr3:uid="{00000000-0010-0000-0100-00003D000000}" name="استبدال عدسه" dataDxfId="42"/>
    <tableColumn id="64" xr3:uid="{00000000-0010-0000-0100-000040000000}" name="ازاله حسنه" dataDxfId="41"/>
    <tableColumn id="65" xr3:uid="{00000000-0010-0000-0100-000041000000}" name="زرع عدسه ارتيزان " dataDxfId="40"/>
    <tableColumn id="66" xr3:uid="{00000000-0010-0000-0100-000042000000}" name="ازاله زايده باللحميه" dataDxfId="39"/>
    <tableColumn id="67" xr3:uid="{00000000-0010-0000-0100-000043000000}" name="ازاله ورم بالملتحمه" dataDxfId="38"/>
    <tableColumn id="59" xr3:uid="{00000000-0010-0000-0100-00003B000000}" name="خياطه جرح بالجفن السفلي" dataDxfId="37"/>
    <tableColumn id="68" xr3:uid="{00000000-0010-0000-0100-000044000000}" name="اعاده زرع عدسه " dataDxfId="36"/>
    <tableColumn id="70" xr3:uid="{00000000-0010-0000-0100-000046000000}" name="حقن ابرايفوان " dataDxfId="35"/>
    <tableColumn id="72" xr3:uid="{00000000-0010-0000-0100-000048000000}" name="ورم حميد " dataDxfId="34"/>
    <tableColumn id="73" xr3:uid="{00000000-0010-0000-0100-000049000000}" name="كيس مائي " dataDxfId="33"/>
    <tableColumn id="75" xr3:uid="{00000000-0010-0000-0100-00004B000000}" name="اختبار قناه دمعيه" dataDxfId="32"/>
    <tableColumn id="78" xr3:uid="{00000000-0010-0000-0100-00004E000000}" name="حقن هوا بالخزانه الاماميه " dataDxfId="31"/>
    <tableColumn id="79" xr3:uid="{00000000-0010-0000-0100-00004F000000}" name="ازاله وحمه" dataDxfId="30"/>
    <tableColumn id="80" xr3:uid="{00000000-0010-0000-0100-000050000000}" name="اعاده حول" dataDxfId="29"/>
    <tableColumn id="81" xr3:uid="{00000000-0010-0000-0100-000051000000}" name="تعديل عدسه ارتيزان" dataDxfId="28"/>
    <tableColumn id="82" xr3:uid="{00000000-0010-0000-0100-000052000000}" name="كيس دمعي وتركيب دعامه" dataDxfId="27"/>
    <tableColumn id="83" xr3:uid="{00000000-0010-0000-0100-000053000000}" name="تركيب دعامه" dataDxfId="26"/>
    <tableColumn id="84" xr3:uid="{00000000-0010-0000-0100-000054000000}" name="انسداد قناه دمعيه" dataDxfId="25"/>
    <tableColumn id="85" xr3:uid="{00000000-0010-0000-0100-000055000000}" name="غسيل قرنيه" dataDxfId="24"/>
    <tableColumn id="86" xr3:uid="{00000000-0010-0000-0100-000056000000}" name="مياه بيضاء وظفره" dataDxfId="23"/>
    <tableColumn id="40" xr3:uid="{00000000-0010-0000-0100-000028000000}" name="ازاله عدسه icl" dataDxfId="22"/>
    <tableColumn id="41" xr3:uid="{00000000-0010-0000-0100-000029000000}" name="ازاله جسم زجاجي وحقن سيلكون" dataDxfId="21"/>
    <tableColumn id="48" xr3:uid="{00000000-0010-0000-0100-000030000000}" name="نزيف بالجسم الزجاجي وانفصال شبكيه" dataDxfId="20"/>
    <tableColumn id="49" xr3:uid="{00000000-0010-0000-0100-000031000000}" name="غسيل بالجسم الزجاجي" dataDxfId="19"/>
    <tableColumn id="51" xr3:uid="{00000000-0010-0000-0100-000033000000}" name="زرع عدسه خاصه" dataDxfId="18"/>
    <tableColumn id="62" xr3:uid="{00000000-0010-0000-0100-00003E000000}" name="انفصال شبكي وتليفات علي مركز الابصار" dataDxfId="17"/>
    <tableColumn id="63" xr3:uid="{00000000-0010-0000-0100-00003F000000}" name="مياه بيضاء وازاله جسم زجاجي امامي " dataDxfId="16"/>
    <tableColumn id="69" xr3:uid="{00000000-0010-0000-0100-000045000000}" name="ازاله كيس مياه" dataDxfId="15"/>
    <tableColumn id="71" xr3:uid="{00000000-0010-0000-0100-000047000000}" name="انفصال شبكي وازاله تليفات " dataDxfId="14"/>
    <tableColumn id="74" xr3:uid="{00000000-0010-0000-0100-00004A000000}" name="زياده سيلكون" dataDxfId="13"/>
    <tableColumn id="76" xr3:uid="{00000000-0010-0000-0100-00004C000000}" name="انفصال شبكي وازاله جسم زجاجي" dataDxfId="12"/>
    <tableColumn id="77" xr3:uid="{00000000-0010-0000-0100-00004D000000}" name="انفصال شبكي وترقيع بالجسم الزجاجي" dataDxfId="11"/>
    <tableColumn id="87" xr3:uid="{00000000-0010-0000-0100-000057000000}" name="اصلاح انفصال شبكي مرتجع" dataDxfId="10"/>
    <tableColumn id="88" xr3:uid="{00000000-0010-0000-0100-000058000000}" name="مياه بيضاء وازاله تليفات " dataDxfId="9"/>
    <tableColumn id="89" xr3:uid="{00000000-0010-0000-0100-000059000000}" name="ازاله عدسه iclوميااه بيضاء" dataDxfId="8"/>
    <tableColumn id="90" xr3:uid="{00000000-0010-0000-0100-00005A000000}" name="ازالة غرز" dataDxfId="7"/>
    <tableColumn id="91" xr3:uid="{00000000-0010-0000-0100-00005B000000}" name="ازاله النسيج الطلائي للقرنيه" dataDxfId="6"/>
    <tableColumn id="92" xr3:uid="{00000000-0010-0000-0100-00005C000000}" name="غرز" dataDxfId="5"/>
    <tableColumn id="93" xr3:uid="{00000000-0010-0000-0100-00005D000000}" name="غسيل بعد مياه بيضاء" dataDxfId="4"/>
    <tableColumn id="94" xr3:uid="{00000000-0010-0000-0100-00005E000000}" name="مياه بيضاء بدون زرع عدسه" dataDxfId="3"/>
    <tableColumn id="95" xr3:uid="{00000000-0010-0000-0100-00005F000000}" name="شعره جراحيه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414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62C6C86-271A-43FE-B390-83ADB0EA56AC}">
  <we:reference id="wa200010725" version="1.0.0.1" store="en-US" storeType="OMEX"/>
  <we:alternateReferences>
    <we:reference id="WA200010725" version="1.0.0.1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37207E8-0271-4325-B1AD-31A15FC1ECAF}">
  <we:reference id="wa200009404" version="1.0.0.8" store="ar-SA" storeType="OMEX"/>
  <we:alternateReferences>
    <we:reference id="WA200009404" version="1.0.0.8" store="" storeType="OMEX"/>
  </we:alternateReferences>
  <we:properties>
    <we:property name="claude.fileId" value="&quot;3e8c6a42-7cda-4e52-8b05-d3476b7849b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H1565"/>
  <sheetViews>
    <sheetView rightToLeft="1" topLeftCell="C1" zoomScale="75" zoomScaleNormal="75" workbookViewId="0">
      <selection activeCell="C6" sqref="C6"/>
    </sheetView>
  </sheetViews>
  <sheetFormatPr defaultRowHeight="26" x14ac:dyDescent="0.6"/>
  <cols>
    <col min="1" max="1" width="8.54296875" bestFit="1" customWidth="1"/>
    <col min="2" max="2" width="9" style="35" customWidth="1"/>
    <col min="3" max="3" width="32" style="5" customWidth="1"/>
    <col min="4" max="4" width="12.6328125" style="5" customWidth="1"/>
    <col min="5" max="5" width="18.6328125" customWidth="1"/>
    <col min="6" max="6" width="20.453125" style="19" customWidth="1"/>
    <col min="7" max="7" width="18.36328125" style="19" bestFit="1" customWidth="1"/>
    <col min="8" max="8" width="12.7265625" style="5" customWidth="1"/>
    <col min="9" max="9" width="12.7265625" customWidth="1"/>
    <col min="10" max="11" width="14.7265625" bestFit="1" customWidth="1"/>
    <col min="13" max="13" width="14.7265625" bestFit="1" customWidth="1"/>
    <col min="34" max="34" width="16.26953125" bestFit="1" customWidth="1"/>
  </cols>
  <sheetData>
    <row r="3" spans="1:13" ht="46" x14ac:dyDescent="1">
      <c r="A3" s="216"/>
      <c r="C3" s="254" t="s">
        <v>69</v>
      </c>
      <c r="D3" s="254"/>
      <c r="E3" s="254"/>
      <c r="G3" s="224"/>
      <c r="H3" s="175"/>
      <c r="I3" s="163"/>
      <c r="J3" s="216"/>
      <c r="K3" s="216"/>
      <c r="M3" s="216"/>
    </row>
    <row r="4" spans="1:13" x14ac:dyDescent="0.6">
      <c r="A4" s="216"/>
      <c r="G4" s="224"/>
      <c r="H4" s="175"/>
      <c r="I4" s="163"/>
      <c r="J4" s="216"/>
      <c r="K4" s="216"/>
      <c r="M4" s="216"/>
    </row>
    <row r="5" spans="1:13" s="26" customFormat="1" ht="51.75" customHeight="1" x14ac:dyDescent="0.6">
      <c r="A5" s="25" t="s">
        <v>0</v>
      </c>
      <c r="B5" s="33" t="s">
        <v>5</v>
      </c>
      <c r="C5" s="31" t="s">
        <v>7</v>
      </c>
      <c r="D5" s="30" t="s">
        <v>1</v>
      </c>
      <c r="E5" s="25" t="s">
        <v>70</v>
      </c>
      <c r="F5" s="27" t="s">
        <v>2</v>
      </c>
      <c r="G5" s="225" t="s">
        <v>3</v>
      </c>
      <c r="H5" s="162" t="s">
        <v>26</v>
      </c>
      <c r="I5" s="183" t="s">
        <v>90</v>
      </c>
      <c r="J5" s="231" t="s">
        <v>39</v>
      </c>
      <c r="K5" s="231" t="s">
        <v>99</v>
      </c>
      <c r="L5" s="26" t="s">
        <v>100</v>
      </c>
      <c r="M5" s="231" t="s">
        <v>101</v>
      </c>
    </row>
    <row r="6" spans="1:13" s="7" customFormat="1" ht="25.5" customHeight="1" x14ac:dyDescent="0.65">
      <c r="A6" s="217"/>
      <c r="B6" s="34">
        <v>1</v>
      </c>
      <c r="C6" s="74"/>
      <c r="D6" s="74"/>
      <c r="E6" s="74"/>
      <c r="F6" s="74"/>
      <c r="G6" s="226"/>
      <c r="H6" s="172"/>
      <c r="I6" s="165"/>
      <c r="J6" s="220"/>
      <c r="K6" s="220"/>
      <c r="M6" s="220"/>
    </row>
    <row r="7" spans="1:13" ht="27" customHeight="1" x14ac:dyDescent="0.6">
      <c r="A7" s="217"/>
      <c r="B7" s="36">
        <v>2</v>
      </c>
      <c r="C7" s="74"/>
      <c r="D7" s="74"/>
      <c r="E7" s="74"/>
      <c r="F7" s="74"/>
      <c r="G7" s="226"/>
      <c r="H7" s="172"/>
      <c r="I7" s="184"/>
      <c r="J7" s="216"/>
      <c r="K7" s="216"/>
      <c r="M7" s="216"/>
    </row>
    <row r="8" spans="1:13" ht="30" customHeight="1" x14ac:dyDescent="0.6">
      <c r="A8" s="217"/>
      <c r="B8" s="36">
        <v>3</v>
      </c>
      <c r="C8" s="74"/>
      <c r="D8" s="74"/>
      <c r="E8" s="74"/>
      <c r="F8" s="74"/>
      <c r="G8" s="226"/>
      <c r="H8" s="172"/>
      <c r="I8" s="184"/>
      <c r="J8" s="216"/>
      <c r="K8" s="216"/>
      <c r="M8" s="216"/>
    </row>
    <row r="9" spans="1:13" ht="27" customHeight="1" x14ac:dyDescent="0.6">
      <c r="A9" s="217"/>
      <c r="B9" s="36">
        <v>4</v>
      </c>
      <c r="C9" s="74"/>
      <c r="D9" s="74"/>
      <c r="E9" s="74"/>
      <c r="F9" s="74"/>
      <c r="G9" s="226"/>
      <c r="H9" s="172"/>
      <c r="I9" s="184"/>
      <c r="J9" s="224"/>
      <c r="K9" s="224"/>
      <c r="L9" s="19"/>
      <c r="M9" s="224"/>
    </row>
    <row r="10" spans="1:13" ht="27" customHeight="1" x14ac:dyDescent="0.6">
      <c r="A10" s="217"/>
      <c r="B10" s="36">
        <v>5</v>
      </c>
      <c r="C10" s="74"/>
      <c r="D10" s="74"/>
      <c r="E10" s="74"/>
      <c r="F10" s="74"/>
      <c r="G10" s="226"/>
      <c r="H10" s="172"/>
      <c r="I10" s="171"/>
      <c r="J10" s="224"/>
      <c r="K10" s="216"/>
      <c r="M10" s="216"/>
    </row>
    <row r="11" spans="1:13" s="7" customFormat="1" ht="27" customHeight="1" x14ac:dyDescent="0.65">
      <c r="A11" s="217"/>
      <c r="B11" s="82">
        <v>6</v>
      </c>
      <c r="C11" s="74"/>
      <c r="D11" s="74"/>
      <c r="E11" s="74"/>
      <c r="F11" s="74"/>
      <c r="G11" s="226"/>
      <c r="H11" s="172"/>
      <c r="I11" s="164"/>
      <c r="J11" s="220"/>
      <c r="K11" s="220"/>
      <c r="M11" s="220"/>
    </row>
    <row r="12" spans="1:13" ht="27" customHeight="1" x14ac:dyDescent="0.6">
      <c r="A12" s="217"/>
      <c r="B12" s="36">
        <v>7</v>
      </c>
      <c r="C12" s="74"/>
      <c r="D12" s="74"/>
      <c r="E12" s="74"/>
      <c r="F12" s="74"/>
      <c r="G12" s="226"/>
      <c r="H12" s="172"/>
      <c r="I12" s="163"/>
      <c r="J12" s="232"/>
      <c r="K12" s="216"/>
      <c r="M12" s="216"/>
    </row>
    <row r="13" spans="1:13" ht="30" customHeight="1" x14ac:dyDescent="0.6">
      <c r="A13" s="217"/>
      <c r="B13" s="36">
        <v>8</v>
      </c>
      <c r="C13" s="74"/>
      <c r="D13" s="74"/>
      <c r="E13" s="74"/>
      <c r="F13" s="74"/>
      <c r="G13" s="226"/>
      <c r="H13" s="172"/>
      <c r="I13" s="171"/>
      <c r="J13" s="232"/>
      <c r="K13" s="216"/>
      <c r="M13" s="216"/>
    </row>
    <row r="14" spans="1:13" ht="30" customHeight="1" x14ac:dyDescent="0.6">
      <c r="A14" s="217"/>
      <c r="B14" s="36">
        <v>9</v>
      </c>
      <c r="C14" s="74"/>
      <c r="D14" s="74"/>
      <c r="E14" s="74"/>
      <c r="F14" s="74"/>
      <c r="G14" s="226"/>
      <c r="H14" s="172"/>
      <c r="I14" s="163"/>
      <c r="J14" s="224"/>
      <c r="K14" s="216"/>
      <c r="M14" s="216"/>
    </row>
    <row r="15" spans="1:13" ht="30" customHeight="1" x14ac:dyDescent="0.6">
      <c r="A15" s="217"/>
      <c r="B15" s="36">
        <v>10</v>
      </c>
      <c r="C15" s="74"/>
      <c r="D15" s="74"/>
      <c r="E15" s="74"/>
      <c r="F15" s="74"/>
      <c r="G15" s="226"/>
      <c r="H15" s="172"/>
      <c r="I15" s="163"/>
      <c r="J15" s="216"/>
      <c r="K15" s="216"/>
      <c r="M15" s="216"/>
    </row>
    <row r="16" spans="1:13" ht="27" customHeight="1" x14ac:dyDescent="0.6">
      <c r="A16" s="217"/>
      <c r="B16" s="36">
        <v>11</v>
      </c>
      <c r="C16" s="74"/>
      <c r="D16" s="74"/>
      <c r="E16" s="74"/>
      <c r="F16" s="74"/>
      <c r="G16" s="226"/>
      <c r="H16" s="172"/>
      <c r="I16" s="174"/>
      <c r="J16" s="216"/>
      <c r="K16" s="216"/>
      <c r="M16" s="216"/>
    </row>
    <row r="17" spans="1:13" ht="27" customHeight="1" x14ac:dyDescent="0.6">
      <c r="A17" s="217"/>
      <c r="B17" s="36">
        <v>12</v>
      </c>
      <c r="C17" s="86"/>
      <c r="D17" s="86"/>
      <c r="E17" s="86"/>
      <c r="F17" s="86"/>
      <c r="G17" s="121"/>
      <c r="H17" s="173"/>
      <c r="I17" s="163"/>
      <c r="J17" s="216"/>
      <c r="K17" s="216"/>
      <c r="M17" s="216"/>
    </row>
    <row r="18" spans="1:13" ht="30" customHeight="1" x14ac:dyDescent="0.6">
      <c r="A18" s="217"/>
      <c r="B18" s="36">
        <v>13</v>
      </c>
      <c r="C18" s="86"/>
      <c r="D18" s="86"/>
      <c r="E18" s="86"/>
      <c r="F18" s="86"/>
      <c r="G18" s="121"/>
      <c r="H18" s="173"/>
      <c r="I18" s="163"/>
      <c r="J18" s="216"/>
      <c r="K18" s="216"/>
      <c r="M18" s="216"/>
    </row>
    <row r="19" spans="1:13" ht="30" customHeight="1" x14ac:dyDescent="0.6">
      <c r="A19" s="217"/>
      <c r="B19" s="36">
        <v>14</v>
      </c>
      <c r="C19" s="69"/>
      <c r="D19" s="69"/>
      <c r="E19" s="69"/>
      <c r="F19" s="69"/>
      <c r="G19" s="227"/>
      <c r="H19" s="165"/>
      <c r="I19" s="185"/>
      <c r="J19" s="216"/>
      <c r="K19" s="216"/>
      <c r="M19" s="216"/>
    </row>
    <row r="20" spans="1:13" ht="30" customHeight="1" x14ac:dyDescent="0.6">
      <c r="A20" s="217"/>
      <c r="B20" s="36">
        <v>15</v>
      </c>
      <c r="C20" s="69"/>
      <c r="D20" s="69"/>
      <c r="E20" s="69"/>
      <c r="F20" s="69"/>
      <c r="G20" s="227"/>
      <c r="H20" s="165"/>
      <c r="I20" s="171"/>
      <c r="J20" s="216"/>
      <c r="K20" s="216"/>
      <c r="M20" s="216"/>
    </row>
    <row r="21" spans="1:13" ht="30" customHeight="1" x14ac:dyDescent="0.6">
      <c r="A21" s="217"/>
      <c r="B21" s="36">
        <v>16</v>
      </c>
      <c r="C21" s="69"/>
      <c r="D21" s="69"/>
      <c r="E21" s="69"/>
      <c r="F21" s="69"/>
      <c r="G21" s="227"/>
      <c r="H21" s="165"/>
      <c r="I21" s="186"/>
      <c r="J21" s="216"/>
      <c r="K21" s="216"/>
      <c r="M21" s="216"/>
    </row>
    <row r="22" spans="1:13" ht="30" customHeight="1" x14ac:dyDescent="0.6">
      <c r="A22" s="217"/>
      <c r="B22" s="36">
        <v>17</v>
      </c>
      <c r="C22" s="69"/>
      <c r="D22" s="69"/>
      <c r="E22" s="69"/>
      <c r="F22" s="69"/>
      <c r="G22" s="227"/>
      <c r="H22" s="165"/>
      <c r="I22" s="174"/>
      <c r="J22" s="216"/>
      <c r="K22" s="216"/>
      <c r="M22" s="216"/>
    </row>
    <row r="23" spans="1:13" ht="30" customHeight="1" x14ac:dyDescent="0.6">
      <c r="A23" s="217"/>
      <c r="B23" s="36">
        <v>18</v>
      </c>
      <c r="C23" s="69"/>
      <c r="D23" s="69"/>
      <c r="E23" s="69"/>
      <c r="F23" s="69"/>
      <c r="G23" s="227"/>
      <c r="H23" s="165"/>
      <c r="I23" s="163"/>
      <c r="J23" s="216" t="s">
        <v>9</v>
      </c>
      <c r="K23" s="216"/>
      <c r="M23" s="216"/>
    </row>
    <row r="24" spans="1:13" ht="27" customHeight="1" x14ac:dyDescent="0.6">
      <c r="A24" s="217"/>
      <c r="B24" s="36">
        <v>19</v>
      </c>
      <c r="C24" s="69"/>
      <c r="D24" s="69"/>
      <c r="E24" s="69"/>
      <c r="F24" s="69"/>
      <c r="G24" s="227"/>
      <c r="H24" s="165"/>
      <c r="I24" s="165"/>
      <c r="J24" s="216"/>
      <c r="K24" s="216"/>
      <c r="M24" s="216"/>
    </row>
    <row r="25" spans="1:13" ht="27" customHeight="1" x14ac:dyDescent="0.6">
      <c r="A25" s="217"/>
      <c r="B25" s="36">
        <v>20</v>
      </c>
      <c r="C25" s="69"/>
      <c r="D25" s="69"/>
      <c r="E25" s="69"/>
      <c r="F25" s="69"/>
      <c r="G25" s="227"/>
      <c r="H25" s="165"/>
      <c r="I25" s="163"/>
      <c r="J25" s="216"/>
      <c r="K25" s="216"/>
      <c r="M25" s="216"/>
    </row>
    <row r="26" spans="1:13" ht="27" customHeight="1" x14ac:dyDescent="0.6">
      <c r="A26" s="217"/>
      <c r="B26" s="36">
        <v>21</v>
      </c>
      <c r="C26" s="69"/>
      <c r="D26" s="69"/>
      <c r="E26" s="69"/>
      <c r="F26" s="69"/>
      <c r="G26" s="227"/>
      <c r="H26" s="165"/>
      <c r="I26" s="165"/>
      <c r="J26" s="216"/>
      <c r="K26" s="216"/>
      <c r="M26" s="216"/>
    </row>
    <row r="27" spans="1:13" ht="27" customHeight="1" x14ac:dyDescent="0.6">
      <c r="A27" s="217"/>
      <c r="B27" s="36">
        <v>22</v>
      </c>
      <c r="C27" s="69"/>
      <c r="D27" s="69"/>
      <c r="E27" s="69"/>
      <c r="F27" s="69"/>
      <c r="G27" s="227"/>
      <c r="H27" s="165"/>
      <c r="I27" s="171"/>
      <c r="J27" s="216"/>
      <c r="K27" s="216"/>
      <c r="M27" s="216"/>
    </row>
    <row r="28" spans="1:13" ht="30" customHeight="1" x14ac:dyDescent="0.6">
      <c r="A28" s="217"/>
      <c r="B28" s="36">
        <v>23</v>
      </c>
      <c r="C28" s="69"/>
      <c r="D28" s="69"/>
      <c r="E28" s="69"/>
      <c r="F28" s="69"/>
      <c r="G28" s="227"/>
      <c r="H28" s="165"/>
      <c r="I28" s="185"/>
      <c r="J28" s="216"/>
      <c r="K28" s="216"/>
      <c r="M28" s="216"/>
    </row>
    <row r="29" spans="1:13" ht="27" customHeight="1" x14ac:dyDescent="0.6">
      <c r="A29" s="217"/>
      <c r="B29" s="36">
        <v>24</v>
      </c>
      <c r="C29" s="69"/>
      <c r="D29" s="69"/>
      <c r="E29" s="69"/>
      <c r="F29" s="69"/>
      <c r="G29" s="227"/>
      <c r="H29" s="165"/>
      <c r="I29" s="163"/>
      <c r="J29" s="216"/>
      <c r="K29" s="216"/>
      <c r="M29" s="216"/>
    </row>
    <row r="30" spans="1:13" ht="27" customHeight="1" x14ac:dyDescent="0.6">
      <c r="A30" s="217"/>
      <c r="B30" s="36">
        <v>25</v>
      </c>
      <c r="C30" s="69"/>
      <c r="D30" s="69"/>
      <c r="E30" s="69"/>
      <c r="F30" s="69"/>
      <c r="G30" s="227"/>
      <c r="H30" s="165"/>
      <c r="I30" s="165"/>
      <c r="J30" s="216"/>
      <c r="K30" s="216"/>
      <c r="M30" s="216"/>
    </row>
    <row r="31" spans="1:13" ht="30" customHeight="1" x14ac:dyDescent="0.6">
      <c r="A31" s="217"/>
      <c r="B31" s="36">
        <v>26</v>
      </c>
      <c r="C31" s="69"/>
      <c r="D31" s="69"/>
      <c r="E31" s="69"/>
      <c r="F31" s="69"/>
      <c r="G31" s="227"/>
      <c r="H31" s="165"/>
      <c r="I31" s="163"/>
      <c r="J31" s="216"/>
      <c r="K31" s="216"/>
      <c r="M31" s="216"/>
    </row>
    <row r="32" spans="1:13" ht="30" customHeight="1" x14ac:dyDescent="0.6">
      <c r="A32" s="217"/>
      <c r="B32" s="36">
        <v>27</v>
      </c>
      <c r="C32" s="69"/>
      <c r="D32" s="69"/>
      <c r="E32" s="69"/>
      <c r="F32" s="69"/>
      <c r="G32" s="227"/>
      <c r="H32" s="165"/>
      <c r="I32" s="185"/>
      <c r="J32" s="216"/>
      <c r="K32" s="216"/>
      <c r="M32" s="216"/>
    </row>
    <row r="33" spans="1:13" ht="27" customHeight="1" x14ac:dyDescent="0.6">
      <c r="A33" s="217"/>
      <c r="B33" s="36">
        <v>28</v>
      </c>
      <c r="C33" s="69"/>
      <c r="D33" s="69"/>
      <c r="E33" s="69"/>
      <c r="F33" s="69"/>
      <c r="G33" s="227"/>
      <c r="H33" s="165"/>
      <c r="I33" s="163"/>
      <c r="J33" s="216"/>
      <c r="K33" s="216"/>
      <c r="M33" s="216"/>
    </row>
    <row r="34" spans="1:13" ht="27" customHeight="1" x14ac:dyDescent="0.6">
      <c r="A34" s="217"/>
      <c r="B34" s="36">
        <v>29</v>
      </c>
      <c r="C34" s="69"/>
      <c r="D34" s="69"/>
      <c r="E34" s="69"/>
      <c r="F34" s="69"/>
      <c r="G34" s="227"/>
      <c r="H34" s="165"/>
      <c r="I34" s="165"/>
      <c r="J34" s="216"/>
      <c r="K34" s="216"/>
      <c r="M34" s="216"/>
    </row>
    <row r="35" spans="1:13" s="7" customFormat="1" ht="27" customHeight="1" x14ac:dyDescent="0.65">
      <c r="A35" s="217">
        <v>1</v>
      </c>
      <c r="B35" s="36">
        <v>30</v>
      </c>
      <c r="C35" s="69"/>
      <c r="D35" s="69"/>
      <c r="E35" s="69"/>
      <c r="F35" s="69"/>
      <c r="G35" s="227"/>
      <c r="H35" s="174"/>
      <c r="I35" s="164"/>
      <c r="J35" s="220"/>
      <c r="K35" s="220"/>
      <c r="M35" s="220"/>
    </row>
    <row r="36" spans="1:13" ht="30" customHeight="1" x14ac:dyDescent="0.6">
      <c r="A36" s="217">
        <v>2</v>
      </c>
      <c r="B36" s="36">
        <v>31</v>
      </c>
      <c r="C36" s="69"/>
      <c r="D36" s="69"/>
      <c r="E36" s="69"/>
      <c r="F36" s="69"/>
      <c r="G36" s="227"/>
      <c r="H36" s="174"/>
      <c r="I36" s="185"/>
      <c r="J36" s="216"/>
      <c r="K36" s="216"/>
      <c r="M36" s="216"/>
    </row>
    <row r="37" spans="1:13" ht="30" customHeight="1" x14ac:dyDescent="0.6">
      <c r="A37" s="217">
        <v>3</v>
      </c>
      <c r="B37" s="36">
        <v>32</v>
      </c>
      <c r="C37" s="69"/>
      <c r="D37" s="69"/>
      <c r="E37" s="69"/>
      <c r="F37" s="69"/>
      <c r="G37" s="227"/>
      <c r="H37" s="174"/>
      <c r="I37" s="171"/>
      <c r="J37" s="224"/>
      <c r="K37" s="216"/>
      <c r="M37" s="216"/>
    </row>
    <row r="38" spans="1:13" ht="27" customHeight="1" x14ac:dyDescent="0.6">
      <c r="A38" s="217">
        <v>4</v>
      </c>
      <c r="B38" s="36">
        <v>33</v>
      </c>
      <c r="C38" s="69"/>
      <c r="D38" s="69"/>
      <c r="E38" s="69"/>
      <c r="F38" s="69"/>
      <c r="G38" s="227"/>
      <c r="H38" s="174"/>
      <c r="I38" s="165" t="s">
        <v>125</v>
      </c>
      <c r="J38" s="216"/>
      <c r="K38" s="216"/>
      <c r="M38" s="216"/>
    </row>
    <row r="39" spans="1:13" ht="27" customHeight="1" x14ac:dyDescent="0.6">
      <c r="A39" s="217">
        <v>5</v>
      </c>
      <c r="B39" s="36">
        <v>34</v>
      </c>
      <c r="C39" s="69"/>
      <c r="D39" s="69"/>
      <c r="E39" s="69"/>
      <c r="F39" s="69"/>
      <c r="G39" s="227"/>
      <c r="H39" s="174"/>
      <c r="I39" s="169"/>
      <c r="J39" s="220"/>
      <c r="K39" s="216"/>
      <c r="M39" s="216"/>
    </row>
    <row r="40" spans="1:13" ht="27" customHeight="1" x14ac:dyDescent="0.6">
      <c r="A40" s="217">
        <v>6</v>
      </c>
      <c r="B40" s="36">
        <v>35</v>
      </c>
      <c r="C40" s="69"/>
      <c r="D40" s="69"/>
      <c r="E40" s="69"/>
      <c r="F40" s="69"/>
      <c r="G40" s="227"/>
      <c r="H40" s="174"/>
      <c r="I40" s="169" t="s">
        <v>9</v>
      </c>
      <c r="J40" s="216"/>
      <c r="K40" s="216"/>
      <c r="M40" s="216"/>
    </row>
    <row r="41" spans="1:13" ht="27" customHeight="1" x14ac:dyDescent="0.6">
      <c r="A41" s="217">
        <v>7</v>
      </c>
      <c r="B41" s="36">
        <v>36</v>
      </c>
      <c r="C41" s="69"/>
      <c r="D41" s="69"/>
      <c r="E41" s="69"/>
      <c r="F41" s="69"/>
      <c r="G41" s="227"/>
      <c r="H41" s="174"/>
      <c r="I41" s="165"/>
      <c r="J41" s="216"/>
      <c r="K41" s="216"/>
      <c r="M41" s="216"/>
    </row>
    <row r="42" spans="1:13" ht="27" customHeight="1" x14ac:dyDescent="0.6">
      <c r="A42" s="217">
        <v>8</v>
      </c>
      <c r="B42" s="36">
        <v>37</v>
      </c>
      <c r="C42" s="69"/>
      <c r="D42" s="69"/>
      <c r="E42" s="69"/>
      <c r="F42" s="69"/>
      <c r="G42" s="227"/>
      <c r="H42" s="174"/>
      <c r="I42" s="165"/>
      <c r="J42" s="216"/>
      <c r="K42" s="216"/>
      <c r="M42" s="216"/>
    </row>
    <row r="43" spans="1:13" ht="27" customHeight="1" x14ac:dyDescent="0.6">
      <c r="A43" s="217">
        <v>9</v>
      </c>
      <c r="B43" s="36">
        <v>38</v>
      </c>
      <c r="C43" s="69"/>
      <c r="D43" s="69"/>
      <c r="E43" s="69"/>
      <c r="F43" s="69"/>
      <c r="G43" s="227"/>
      <c r="H43" s="174"/>
      <c r="I43" s="165"/>
      <c r="J43" s="216"/>
      <c r="K43" s="216"/>
      <c r="M43" s="216"/>
    </row>
    <row r="44" spans="1:13" ht="27" customHeight="1" x14ac:dyDescent="0.6">
      <c r="A44" s="217">
        <v>10</v>
      </c>
      <c r="B44" s="36">
        <v>39</v>
      </c>
      <c r="C44" s="69"/>
      <c r="D44" s="69"/>
      <c r="E44" s="69"/>
      <c r="F44" s="69"/>
      <c r="G44" s="227"/>
      <c r="H44" s="174"/>
      <c r="I44" s="165"/>
      <c r="J44" s="216"/>
      <c r="K44" s="216"/>
      <c r="M44" s="216"/>
    </row>
    <row r="45" spans="1:13" ht="27" customHeight="1" x14ac:dyDescent="0.6">
      <c r="A45" s="217">
        <v>11</v>
      </c>
      <c r="B45" s="36">
        <v>40</v>
      </c>
      <c r="C45" s="68"/>
      <c r="D45" s="68"/>
      <c r="E45" s="68"/>
      <c r="F45" s="68"/>
      <c r="G45" s="218"/>
      <c r="H45" s="165"/>
      <c r="I45" s="165"/>
      <c r="J45" s="216"/>
      <c r="K45" s="216"/>
      <c r="M45" s="216"/>
    </row>
    <row r="46" spans="1:13" ht="30" customHeight="1" x14ac:dyDescent="0.6">
      <c r="A46" s="217">
        <v>12</v>
      </c>
      <c r="B46" s="37"/>
      <c r="C46" s="19"/>
      <c r="D46" s="19"/>
      <c r="E46" s="19"/>
      <c r="G46" s="224"/>
      <c r="H46" s="171"/>
      <c r="I46" s="163"/>
      <c r="J46" s="216"/>
      <c r="K46" s="216"/>
      <c r="M46" s="216"/>
    </row>
    <row r="47" spans="1:13" ht="24.75" customHeight="1" x14ac:dyDescent="0.6">
      <c r="A47" s="217">
        <v>13</v>
      </c>
      <c r="B47" s="36"/>
      <c r="C47" s="19"/>
      <c r="D47" s="19"/>
      <c r="E47" s="19"/>
      <c r="G47" s="224"/>
      <c r="H47" s="171"/>
      <c r="I47" s="163"/>
      <c r="J47" s="216"/>
      <c r="K47" s="216"/>
      <c r="M47" s="216"/>
    </row>
    <row r="48" spans="1:13" ht="27" customHeight="1" x14ac:dyDescent="0.6">
      <c r="A48" s="217">
        <v>14</v>
      </c>
      <c r="B48" s="37"/>
      <c r="C48" s="19"/>
      <c r="D48" s="19"/>
      <c r="E48" s="19"/>
      <c r="G48" s="224"/>
      <c r="H48" s="171"/>
      <c r="I48" s="165"/>
      <c r="J48" s="216"/>
      <c r="K48" s="216"/>
      <c r="M48" s="216"/>
    </row>
    <row r="49" spans="1:13" ht="27" customHeight="1" x14ac:dyDescent="0.6">
      <c r="A49" s="217">
        <v>15</v>
      </c>
      <c r="B49" s="36"/>
      <c r="C49" s="19"/>
      <c r="D49" s="19"/>
      <c r="E49" s="19"/>
      <c r="G49" s="224"/>
      <c r="H49" s="171"/>
      <c r="I49" s="165"/>
      <c r="J49" s="216"/>
      <c r="K49" s="216"/>
      <c r="M49" s="216"/>
    </row>
    <row r="50" spans="1:13" ht="27" customHeight="1" x14ac:dyDescent="0.6">
      <c r="A50" s="217">
        <v>16</v>
      </c>
      <c r="B50" s="37"/>
      <c r="C50" s="19"/>
      <c r="D50" s="19"/>
      <c r="E50" s="19"/>
      <c r="G50" s="224"/>
      <c r="H50" s="171"/>
      <c r="I50" s="165"/>
      <c r="J50" s="216"/>
      <c r="K50" s="216"/>
      <c r="M50" s="216"/>
    </row>
    <row r="51" spans="1:13" ht="27" customHeight="1" x14ac:dyDescent="0.6">
      <c r="A51" s="217">
        <v>17</v>
      </c>
      <c r="B51" s="36"/>
      <c r="C51" s="19"/>
      <c r="D51" s="19"/>
      <c r="E51" s="19"/>
      <c r="G51" s="224"/>
      <c r="H51" s="171"/>
      <c r="I51" s="165"/>
      <c r="J51" s="216"/>
      <c r="K51" s="216"/>
      <c r="M51" s="216"/>
    </row>
    <row r="52" spans="1:13" ht="27" customHeight="1" x14ac:dyDescent="0.6">
      <c r="A52" s="217">
        <v>18</v>
      </c>
      <c r="B52" s="37"/>
      <c r="C52" s="19"/>
      <c r="D52" s="19"/>
      <c r="E52" s="19"/>
      <c r="G52" s="224"/>
      <c r="H52" s="171"/>
      <c r="I52" s="165"/>
      <c r="J52" s="216"/>
      <c r="K52" s="216"/>
      <c r="M52" s="216"/>
    </row>
    <row r="53" spans="1:13" ht="27" customHeight="1" x14ac:dyDescent="0.6">
      <c r="A53" s="217">
        <v>19</v>
      </c>
      <c r="B53" s="36"/>
      <c r="C53" s="19"/>
      <c r="D53" s="19"/>
      <c r="E53" s="19"/>
      <c r="G53" s="224"/>
      <c r="H53" s="171"/>
      <c r="I53" s="165"/>
      <c r="J53" s="216"/>
      <c r="K53" s="216"/>
      <c r="M53" s="216"/>
    </row>
    <row r="54" spans="1:13" ht="27" customHeight="1" x14ac:dyDescent="0.6">
      <c r="A54" s="217">
        <v>20</v>
      </c>
      <c r="B54" s="37"/>
      <c r="C54" s="19"/>
      <c r="D54" s="19"/>
      <c r="E54" s="19"/>
      <c r="G54" s="224"/>
      <c r="H54" s="171"/>
      <c r="I54" s="164"/>
      <c r="J54" s="216"/>
      <c r="K54" s="216"/>
      <c r="M54" s="216"/>
    </row>
    <row r="55" spans="1:13" ht="27" customHeight="1" x14ac:dyDescent="0.6">
      <c r="A55" s="217">
        <v>21</v>
      </c>
      <c r="B55" s="36"/>
      <c r="C55" s="19"/>
      <c r="D55" s="19"/>
      <c r="E55" s="19"/>
      <c r="G55" s="224"/>
      <c r="H55" s="171"/>
      <c r="I55" s="165"/>
      <c r="J55" s="216"/>
      <c r="K55" s="216"/>
      <c r="M55" s="216"/>
    </row>
    <row r="56" spans="1:13" ht="27" customHeight="1" x14ac:dyDescent="0.6">
      <c r="A56" s="217">
        <v>1</v>
      </c>
      <c r="B56" s="37"/>
      <c r="C56" s="19"/>
      <c r="D56" s="19"/>
      <c r="E56" s="19"/>
      <c r="G56" s="224"/>
      <c r="H56" s="171"/>
      <c r="I56" s="165"/>
      <c r="J56" s="216"/>
      <c r="K56" s="216"/>
      <c r="M56" s="216"/>
    </row>
    <row r="57" spans="1:13" ht="27" customHeight="1" x14ac:dyDescent="0.6">
      <c r="A57" s="218">
        <v>2</v>
      </c>
      <c r="B57" s="36"/>
      <c r="C57" s="19"/>
      <c r="D57" s="19"/>
      <c r="E57" s="19"/>
      <c r="G57" s="224"/>
      <c r="H57" s="171"/>
      <c r="I57" s="165"/>
      <c r="J57" s="216"/>
      <c r="K57" s="216"/>
      <c r="M57" s="216"/>
    </row>
    <row r="58" spans="1:13" ht="27" customHeight="1" x14ac:dyDescent="0.6">
      <c r="A58" s="217">
        <v>3</v>
      </c>
      <c r="B58" s="37"/>
      <c r="C58" s="19"/>
      <c r="D58" s="19"/>
      <c r="E58" s="19"/>
      <c r="G58" s="224"/>
      <c r="H58" s="171"/>
      <c r="I58" s="165"/>
      <c r="J58" s="216"/>
      <c r="K58" s="216"/>
      <c r="M58" s="216"/>
    </row>
    <row r="59" spans="1:13" s="5" customFormat="1" ht="27" customHeight="1" x14ac:dyDescent="0.6">
      <c r="A59" s="218">
        <v>4</v>
      </c>
      <c r="B59" s="36"/>
      <c r="C59" s="19"/>
      <c r="D59" s="19"/>
      <c r="E59" s="19"/>
      <c r="F59" s="19"/>
      <c r="G59" s="224"/>
      <c r="H59" s="171"/>
      <c r="I59" s="169"/>
      <c r="J59" s="232" t="s">
        <v>8</v>
      </c>
      <c r="K59" s="232"/>
      <c r="M59" s="232"/>
    </row>
    <row r="60" spans="1:13" ht="27" customHeight="1" x14ac:dyDescent="0.6">
      <c r="A60" s="217">
        <v>5</v>
      </c>
      <c r="B60" s="37"/>
      <c r="C60" s="4"/>
      <c r="D60" s="4"/>
      <c r="E60" s="10"/>
      <c r="F60" s="77"/>
      <c r="G60" s="228"/>
      <c r="H60" s="169"/>
      <c r="I60" s="165"/>
      <c r="J60" s="216"/>
      <c r="K60" s="216"/>
      <c r="M60" s="216"/>
    </row>
    <row r="61" spans="1:13" ht="27" customHeight="1" x14ac:dyDescent="0.6">
      <c r="A61" s="218">
        <v>6</v>
      </c>
      <c r="B61" s="36"/>
      <c r="C61" s="4"/>
      <c r="D61" s="4"/>
      <c r="E61" s="10"/>
      <c r="F61" s="77"/>
      <c r="G61" s="228"/>
      <c r="H61" s="176"/>
      <c r="I61" s="165"/>
      <c r="J61" s="216"/>
      <c r="K61" s="216"/>
      <c r="M61" s="216"/>
    </row>
    <row r="62" spans="1:13" ht="27" customHeight="1" x14ac:dyDescent="0.6">
      <c r="A62" s="217">
        <v>7</v>
      </c>
      <c r="B62" s="37"/>
      <c r="C62" s="4"/>
      <c r="D62" s="4"/>
      <c r="E62" s="10"/>
      <c r="F62" s="77"/>
      <c r="G62" s="228"/>
      <c r="H62" s="169"/>
      <c r="I62" s="165"/>
      <c r="J62" s="216"/>
      <c r="K62" s="216"/>
      <c r="M62" s="216"/>
    </row>
    <row r="63" spans="1:13" ht="27" customHeight="1" x14ac:dyDescent="0.6">
      <c r="A63" s="218">
        <v>8</v>
      </c>
      <c r="B63" s="36"/>
      <c r="C63" s="4"/>
      <c r="D63" s="4"/>
      <c r="E63" s="10"/>
      <c r="F63" s="77"/>
      <c r="G63" s="228"/>
      <c r="H63" s="169"/>
      <c r="I63" s="165"/>
      <c r="J63" s="216"/>
      <c r="K63" s="216"/>
      <c r="M63" s="216"/>
    </row>
    <row r="64" spans="1:13" ht="27" customHeight="1" x14ac:dyDescent="0.6">
      <c r="A64" s="217">
        <v>9</v>
      </c>
      <c r="B64" s="36"/>
      <c r="C64" s="4"/>
      <c r="D64" s="4"/>
      <c r="E64" s="10"/>
      <c r="F64" s="77"/>
      <c r="G64" s="228"/>
      <c r="H64" s="169"/>
      <c r="I64" s="169"/>
      <c r="J64" s="216"/>
      <c r="K64" s="216"/>
      <c r="M64" s="216"/>
    </row>
    <row r="65" spans="1:13" ht="27" customHeight="1" x14ac:dyDescent="0.6">
      <c r="A65" s="218">
        <v>10</v>
      </c>
      <c r="B65" s="36"/>
      <c r="C65" s="4"/>
      <c r="D65" s="4"/>
      <c r="E65" s="10"/>
      <c r="F65" s="77"/>
      <c r="G65" s="228"/>
      <c r="H65" s="169"/>
      <c r="I65" s="169"/>
      <c r="J65" s="216"/>
      <c r="K65" s="216"/>
      <c r="M65" s="216"/>
    </row>
    <row r="66" spans="1:13" ht="27" customHeight="1" x14ac:dyDescent="0.6">
      <c r="A66" s="217">
        <v>11</v>
      </c>
      <c r="B66" s="36"/>
      <c r="C66" s="4"/>
      <c r="D66" s="4"/>
      <c r="E66" s="10"/>
      <c r="F66" s="77"/>
      <c r="G66" s="228"/>
      <c r="H66" s="169"/>
      <c r="I66" s="185"/>
      <c r="J66" s="216"/>
      <c r="K66" s="216"/>
      <c r="M66" s="216"/>
    </row>
    <row r="67" spans="1:13" ht="27" customHeight="1" x14ac:dyDescent="0.6">
      <c r="A67" s="218">
        <v>12</v>
      </c>
      <c r="B67" s="36"/>
      <c r="C67" s="4"/>
      <c r="D67" s="4"/>
      <c r="E67" s="10"/>
      <c r="F67" s="77"/>
      <c r="G67" s="228"/>
      <c r="H67" s="169"/>
      <c r="I67" s="165"/>
      <c r="J67" s="216"/>
      <c r="K67" s="216"/>
      <c r="M67" s="216"/>
    </row>
    <row r="68" spans="1:13" ht="27" customHeight="1" x14ac:dyDescent="0.6">
      <c r="A68" s="217">
        <v>13</v>
      </c>
      <c r="D68" s="4"/>
      <c r="E68" s="10"/>
      <c r="F68" s="77"/>
      <c r="G68" s="228"/>
      <c r="H68" s="175"/>
      <c r="I68" s="167"/>
      <c r="J68" s="216"/>
      <c r="K68" s="216"/>
      <c r="M68" s="216"/>
    </row>
    <row r="69" spans="1:13" ht="27" customHeight="1" x14ac:dyDescent="0.6">
      <c r="A69" s="218">
        <v>14</v>
      </c>
      <c r="B69" s="36"/>
      <c r="C69" s="4"/>
      <c r="D69" s="4"/>
      <c r="E69" s="10"/>
      <c r="F69" s="77"/>
      <c r="G69" s="228"/>
      <c r="H69" s="169"/>
      <c r="I69" s="165"/>
      <c r="J69" s="216"/>
      <c r="K69" s="216"/>
      <c r="M69" s="216"/>
    </row>
    <row r="70" spans="1:13" ht="30" customHeight="1" x14ac:dyDescent="0.6">
      <c r="A70" s="217">
        <v>15</v>
      </c>
      <c r="B70" s="36"/>
      <c r="C70" s="4"/>
      <c r="D70" s="4"/>
      <c r="E70" s="10"/>
      <c r="F70" s="77"/>
      <c r="G70" s="228"/>
      <c r="H70" s="169"/>
      <c r="I70" s="185"/>
      <c r="J70" s="216"/>
      <c r="K70" s="216"/>
      <c r="M70" s="216"/>
    </row>
    <row r="71" spans="1:13" ht="27" customHeight="1" x14ac:dyDescent="0.6">
      <c r="A71" s="218">
        <v>16</v>
      </c>
      <c r="B71" s="36"/>
      <c r="C71" s="4"/>
      <c r="D71" s="4"/>
      <c r="E71" s="10"/>
      <c r="F71" s="77"/>
      <c r="G71" s="228"/>
      <c r="H71" s="169"/>
      <c r="I71" s="165"/>
      <c r="J71" s="216"/>
      <c r="K71" s="216"/>
      <c r="M71" s="216"/>
    </row>
    <row r="72" spans="1:13" ht="27" customHeight="1" x14ac:dyDescent="0.6">
      <c r="A72" s="217">
        <v>17</v>
      </c>
      <c r="B72" s="36"/>
      <c r="C72" s="4"/>
      <c r="D72" s="4"/>
      <c r="E72" s="10"/>
      <c r="F72" s="77"/>
      <c r="G72" s="228"/>
      <c r="H72" s="177"/>
      <c r="I72" s="165"/>
      <c r="J72" s="216"/>
      <c r="K72" s="216"/>
      <c r="M72" s="216"/>
    </row>
    <row r="73" spans="1:13" ht="27" customHeight="1" x14ac:dyDescent="0.6">
      <c r="A73" s="218">
        <v>18</v>
      </c>
      <c r="B73" s="36"/>
      <c r="C73" s="4"/>
      <c r="D73" s="4"/>
      <c r="E73" s="10"/>
      <c r="F73" s="77"/>
      <c r="G73" s="228"/>
      <c r="H73" s="177"/>
      <c r="I73" s="165"/>
      <c r="J73" s="216"/>
      <c r="K73" s="216"/>
      <c r="M73" s="216"/>
    </row>
    <row r="74" spans="1:13" ht="27" customHeight="1" x14ac:dyDescent="0.6">
      <c r="A74" s="217">
        <v>19</v>
      </c>
      <c r="B74" s="36"/>
      <c r="C74" s="4"/>
      <c r="D74" s="4"/>
      <c r="E74" s="11"/>
      <c r="F74" s="11"/>
      <c r="G74" s="228"/>
      <c r="H74" s="177"/>
      <c r="I74" s="165"/>
      <c r="J74" s="216"/>
      <c r="K74" s="216"/>
      <c r="M74" s="216"/>
    </row>
    <row r="75" spans="1:13" ht="27" customHeight="1" x14ac:dyDescent="0.6">
      <c r="A75" s="218">
        <v>20</v>
      </c>
      <c r="B75" s="36"/>
      <c r="C75" s="4"/>
      <c r="D75" s="4"/>
      <c r="E75" s="11"/>
      <c r="F75" s="11"/>
      <c r="G75" s="228"/>
      <c r="H75" s="169"/>
      <c r="I75" s="165"/>
      <c r="J75" s="216"/>
      <c r="K75" s="216"/>
      <c r="M75" s="216"/>
    </row>
    <row r="76" spans="1:13" ht="27" customHeight="1" x14ac:dyDescent="0.6">
      <c r="A76" s="217">
        <v>21</v>
      </c>
      <c r="B76" s="36"/>
      <c r="C76" s="4"/>
      <c r="D76" s="4"/>
      <c r="E76" s="11"/>
      <c r="F76" s="11"/>
      <c r="G76" s="228"/>
      <c r="H76" s="169"/>
      <c r="I76" s="165"/>
      <c r="J76" s="216"/>
      <c r="K76" s="216"/>
      <c r="M76" s="216"/>
    </row>
    <row r="77" spans="1:13" ht="27" customHeight="1" x14ac:dyDescent="0.6">
      <c r="A77" s="218">
        <v>22</v>
      </c>
      <c r="B77" s="36"/>
      <c r="C77" s="4"/>
      <c r="D77" s="4"/>
      <c r="E77" s="11"/>
      <c r="F77" s="11"/>
      <c r="G77" s="229"/>
      <c r="H77" s="169"/>
      <c r="I77" s="165"/>
      <c r="J77" s="216"/>
      <c r="K77" s="216"/>
      <c r="M77" s="216"/>
    </row>
    <row r="78" spans="1:13" ht="27" customHeight="1" x14ac:dyDescent="0.6">
      <c r="A78" s="217">
        <v>23</v>
      </c>
      <c r="B78" s="36"/>
      <c r="C78" s="4"/>
      <c r="D78" s="4"/>
      <c r="E78" s="11"/>
      <c r="F78" s="11"/>
      <c r="G78" s="229"/>
      <c r="H78" s="169"/>
      <c r="I78" s="165"/>
      <c r="J78" s="218"/>
      <c r="K78" s="216"/>
      <c r="M78" s="216"/>
    </row>
    <row r="79" spans="1:13" ht="27" customHeight="1" x14ac:dyDescent="0.6">
      <c r="A79" s="218">
        <v>24</v>
      </c>
      <c r="B79" s="36"/>
      <c r="C79" s="4"/>
      <c r="D79" s="4"/>
      <c r="E79" s="11"/>
      <c r="F79" s="11"/>
      <c r="G79" s="229"/>
      <c r="H79" s="169"/>
      <c r="I79" s="165"/>
      <c r="J79" s="216"/>
      <c r="K79" s="216"/>
      <c r="M79" s="216"/>
    </row>
    <row r="80" spans="1:13" ht="27" customHeight="1" x14ac:dyDescent="0.6">
      <c r="A80" s="217">
        <v>25</v>
      </c>
      <c r="B80" s="36"/>
      <c r="C80" s="4"/>
      <c r="D80" s="4"/>
      <c r="E80" s="10"/>
      <c r="G80" s="229"/>
      <c r="H80" s="169"/>
      <c r="I80" s="165"/>
      <c r="J80" s="216"/>
      <c r="K80" s="216"/>
      <c r="M80" s="216"/>
    </row>
    <row r="81" spans="1:13" ht="27" customHeight="1" x14ac:dyDescent="0.6">
      <c r="A81" s="218">
        <v>26</v>
      </c>
      <c r="B81" s="36"/>
      <c r="C81" s="4"/>
      <c r="D81" s="4"/>
      <c r="E81" s="10"/>
      <c r="G81" s="229"/>
      <c r="H81" s="169"/>
      <c r="I81" s="165"/>
      <c r="J81" s="216"/>
      <c r="K81" s="216"/>
      <c r="M81" s="216"/>
    </row>
    <row r="82" spans="1:13" ht="27" customHeight="1" x14ac:dyDescent="0.6">
      <c r="A82" s="217">
        <v>27</v>
      </c>
      <c r="B82" s="36"/>
      <c r="C82" s="4"/>
      <c r="D82" s="4"/>
      <c r="E82" s="10"/>
      <c r="G82" s="229"/>
      <c r="H82" s="169"/>
      <c r="I82" s="165"/>
      <c r="J82" s="216"/>
      <c r="K82" s="216"/>
      <c r="M82" s="216"/>
    </row>
    <row r="83" spans="1:13" ht="27" customHeight="1" x14ac:dyDescent="0.6">
      <c r="A83" s="218">
        <v>28</v>
      </c>
      <c r="B83" s="37"/>
      <c r="C83" s="9"/>
      <c r="D83" s="9"/>
      <c r="E83" s="10"/>
      <c r="G83" s="229"/>
      <c r="H83" s="178"/>
      <c r="I83" s="165"/>
      <c r="J83" s="216"/>
      <c r="K83" s="216"/>
      <c r="M83" s="216"/>
    </row>
    <row r="84" spans="1:13" ht="27" customHeight="1" x14ac:dyDescent="0.6">
      <c r="A84" s="217">
        <v>29</v>
      </c>
      <c r="B84" s="36"/>
      <c r="C84" s="4"/>
      <c r="D84" s="4"/>
      <c r="E84" s="10"/>
      <c r="G84" s="229"/>
      <c r="H84" s="169"/>
      <c r="I84" s="165"/>
      <c r="J84" s="216"/>
      <c r="K84" s="216"/>
      <c r="M84" s="216"/>
    </row>
    <row r="85" spans="1:13" ht="27" customHeight="1" x14ac:dyDescent="0.6">
      <c r="A85" s="218">
        <v>30</v>
      </c>
      <c r="B85" s="36"/>
      <c r="C85" s="4"/>
      <c r="D85" s="4"/>
      <c r="E85" s="10"/>
      <c r="G85" s="229"/>
      <c r="H85" s="169"/>
      <c r="I85" s="165"/>
      <c r="J85" s="216"/>
      <c r="K85" s="216"/>
      <c r="M85" s="216"/>
    </row>
    <row r="86" spans="1:13" ht="27" customHeight="1" x14ac:dyDescent="0.6">
      <c r="A86" s="217">
        <v>31</v>
      </c>
      <c r="B86" s="36"/>
      <c r="C86" s="4"/>
      <c r="D86" s="4"/>
      <c r="E86" s="10"/>
      <c r="G86" s="229"/>
      <c r="H86" s="169"/>
      <c r="I86" s="165"/>
      <c r="J86" s="216"/>
      <c r="K86" s="216"/>
      <c r="M86" s="216"/>
    </row>
    <row r="87" spans="1:13" ht="27" customHeight="1" x14ac:dyDescent="0.6">
      <c r="A87" s="218">
        <v>32</v>
      </c>
      <c r="B87" s="36"/>
      <c r="C87" s="4"/>
      <c r="D87" s="4"/>
      <c r="E87" s="10"/>
      <c r="F87" s="11"/>
      <c r="G87" s="229"/>
      <c r="H87" s="169"/>
      <c r="I87" s="165"/>
      <c r="J87" s="216"/>
      <c r="K87" s="216"/>
      <c r="M87" s="216"/>
    </row>
    <row r="88" spans="1:13" ht="27" customHeight="1" x14ac:dyDescent="0.6">
      <c r="A88" s="217">
        <v>33</v>
      </c>
      <c r="B88" s="36"/>
      <c r="C88" s="4"/>
      <c r="D88" s="4"/>
      <c r="E88" s="10"/>
      <c r="F88" s="11"/>
      <c r="G88" s="229"/>
      <c r="H88" s="169"/>
      <c r="I88" s="165"/>
      <c r="J88" s="216"/>
      <c r="K88" s="216"/>
      <c r="M88" s="216"/>
    </row>
    <row r="89" spans="1:13" ht="27" customHeight="1" x14ac:dyDescent="0.6">
      <c r="A89" s="218">
        <v>34</v>
      </c>
      <c r="B89" s="36"/>
      <c r="C89" s="4"/>
      <c r="D89" s="4"/>
      <c r="E89" s="10"/>
      <c r="F89" s="11"/>
      <c r="G89" s="229"/>
      <c r="H89" s="169"/>
      <c r="I89" s="165"/>
      <c r="J89" s="216"/>
      <c r="K89" s="216"/>
      <c r="M89" s="216"/>
    </row>
    <row r="90" spans="1:13" ht="27" customHeight="1" x14ac:dyDescent="0.6">
      <c r="A90" s="217">
        <v>1</v>
      </c>
      <c r="B90" s="36"/>
      <c r="C90" s="4"/>
      <c r="D90" s="4"/>
      <c r="E90" s="10"/>
      <c r="F90" s="11"/>
      <c r="G90" s="229"/>
      <c r="H90" s="169"/>
      <c r="I90" s="165"/>
      <c r="J90" s="216"/>
      <c r="K90" s="216"/>
      <c r="M90" s="216"/>
    </row>
    <row r="91" spans="1:13" ht="27" customHeight="1" x14ac:dyDescent="0.6">
      <c r="A91" s="217">
        <v>2</v>
      </c>
      <c r="B91" s="36"/>
      <c r="C91" s="4"/>
      <c r="D91" s="4"/>
      <c r="E91" s="10"/>
      <c r="F91" s="11"/>
      <c r="G91" s="229"/>
      <c r="H91" s="169"/>
      <c r="I91" s="165"/>
      <c r="J91" s="216"/>
      <c r="K91" s="216"/>
      <c r="M91" s="216"/>
    </row>
    <row r="92" spans="1:13" ht="27" customHeight="1" x14ac:dyDescent="0.6">
      <c r="A92" s="217">
        <v>3</v>
      </c>
      <c r="B92" s="36"/>
      <c r="C92" s="4"/>
      <c r="D92" s="4"/>
      <c r="E92" s="10"/>
      <c r="F92" s="11"/>
      <c r="G92" s="229"/>
      <c r="H92" s="169"/>
      <c r="I92" s="165"/>
      <c r="J92" s="216"/>
      <c r="K92" s="216"/>
      <c r="M92" s="216"/>
    </row>
    <row r="93" spans="1:13" ht="27" customHeight="1" x14ac:dyDescent="0.6">
      <c r="A93" s="217">
        <v>4</v>
      </c>
      <c r="B93" s="36"/>
      <c r="C93" s="4"/>
      <c r="D93" s="4"/>
      <c r="E93" s="10"/>
      <c r="F93" s="11"/>
      <c r="G93" s="229"/>
      <c r="H93" s="169"/>
      <c r="I93" s="165"/>
      <c r="J93" s="216"/>
      <c r="K93" s="216"/>
      <c r="M93" s="216"/>
    </row>
    <row r="94" spans="1:13" ht="27" customHeight="1" x14ac:dyDescent="0.6">
      <c r="A94" s="217">
        <v>5</v>
      </c>
      <c r="B94" s="36"/>
      <c r="C94" s="4"/>
      <c r="D94" s="4"/>
      <c r="E94" s="10"/>
      <c r="F94" s="11"/>
      <c r="G94" s="229"/>
      <c r="H94" s="169"/>
      <c r="I94" s="165"/>
      <c r="J94" s="216"/>
      <c r="K94" s="216"/>
      <c r="M94" s="216"/>
    </row>
    <row r="95" spans="1:13" ht="27" customHeight="1" x14ac:dyDescent="0.6">
      <c r="A95" s="217">
        <v>6</v>
      </c>
      <c r="B95" s="36"/>
      <c r="C95" s="4"/>
      <c r="D95" s="4"/>
      <c r="E95" s="10"/>
      <c r="F95" s="11"/>
      <c r="G95" s="229"/>
      <c r="H95" s="169"/>
      <c r="I95" s="165"/>
      <c r="J95" s="216"/>
      <c r="K95" s="216"/>
      <c r="M95" s="216"/>
    </row>
    <row r="96" spans="1:13" ht="27" customHeight="1" x14ac:dyDescent="0.6">
      <c r="A96" s="217">
        <v>7</v>
      </c>
      <c r="B96" s="36"/>
      <c r="C96" s="4"/>
      <c r="D96" s="4"/>
      <c r="E96" s="10"/>
      <c r="F96" s="11"/>
      <c r="G96" s="229"/>
      <c r="H96" s="169"/>
      <c r="I96" s="165"/>
      <c r="J96" s="216"/>
      <c r="K96" s="216"/>
      <c r="M96" s="216"/>
    </row>
    <row r="97" spans="1:13" ht="27" customHeight="1" x14ac:dyDescent="0.6">
      <c r="A97" s="217">
        <v>8</v>
      </c>
      <c r="B97" s="36"/>
      <c r="C97" s="4"/>
      <c r="D97" s="4"/>
      <c r="E97" s="10"/>
      <c r="F97" s="11"/>
      <c r="G97" s="229"/>
      <c r="H97" s="169"/>
      <c r="I97" s="165"/>
      <c r="J97" s="216"/>
      <c r="K97" s="216"/>
      <c r="M97" s="216"/>
    </row>
    <row r="98" spans="1:13" ht="27" customHeight="1" x14ac:dyDescent="0.6">
      <c r="A98" s="217">
        <v>9</v>
      </c>
      <c r="B98" s="36"/>
      <c r="C98" s="4"/>
      <c r="D98" s="4"/>
      <c r="E98" s="10"/>
      <c r="F98" s="11"/>
      <c r="G98" s="229"/>
      <c r="H98" s="169"/>
      <c r="I98" s="165"/>
      <c r="J98" s="216"/>
      <c r="K98" s="216"/>
      <c r="M98" s="216"/>
    </row>
    <row r="99" spans="1:13" ht="27" customHeight="1" x14ac:dyDescent="0.6">
      <c r="A99" s="217">
        <v>10</v>
      </c>
      <c r="B99" s="36"/>
      <c r="C99" s="4"/>
      <c r="D99" s="4"/>
      <c r="E99" s="10"/>
      <c r="F99" s="11"/>
      <c r="G99" s="229"/>
      <c r="H99" s="169"/>
      <c r="I99" s="165"/>
      <c r="J99" s="216"/>
      <c r="K99" s="216"/>
      <c r="M99" s="216"/>
    </row>
    <row r="100" spans="1:13" ht="27" customHeight="1" x14ac:dyDescent="0.6">
      <c r="A100" s="217">
        <v>11</v>
      </c>
      <c r="B100" s="36"/>
      <c r="C100" s="4"/>
      <c r="D100" s="4"/>
      <c r="E100" s="10"/>
      <c r="F100" s="11"/>
      <c r="G100" s="229"/>
      <c r="H100" s="169"/>
      <c r="I100" s="165"/>
      <c r="J100" s="216"/>
      <c r="K100" s="216"/>
      <c r="M100" s="216"/>
    </row>
    <row r="101" spans="1:13" ht="27" customHeight="1" x14ac:dyDescent="0.6">
      <c r="A101" s="217">
        <v>12</v>
      </c>
      <c r="B101" s="36"/>
      <c r="C101" s="4"/>
      <c r="D101" s="4"/>
      <c r="E101" s="10"/>
      <c r="F101" s="11"/>
      <c r="G101" s="229"/>
      <c r="H101" s="169"/>
      <c r="I101" s="165"/>
      <c r="J101" s="216"/>
      <c r="K101" s="216"/>
      <c r="M101" s="216"/>
    </row>
    <row r="102" spans="1:13" ht="27" customHeight="1" x14ac:dyDescent="0.6">
      <c r="A102" s="217">
        <v>13</v>
      </c>
      <c r="B102" s="36"/>
      <c r="C102" s="4"/>
      <c r="D102" s="4"/>
      <c r="E102" s="10"/>
      <c r="F102" s="11"/>
      <c r="G102" s="229"/>
      <c r="H102" s="169"/>
      <c r="I102" s="165"/>
      <c r="J102" s="216"/>
      <c r="K102" s="216"/>
      <c r="M102" s="216"/>
    </row>
    <row r="103" spans="1:13" ht="27" customHeight="1" x14ac:dyDescent="0.6">
      <c r="A103" s="217">
        <v>14</v>
      </c>
      <c r="B103" s="36"/>
      <c r="C103" s="4"/>
      <c r="D103" s="4"/>
      <c r="E103" s="10"/>
      <c r="F103" s="11"/>
      <c r="G103" s="229"/>
      <c r="H103" s="169"/>
      <c r="I103" s="165"/>
      <c r="J103" s="216"/>
      <c r="K103" s="216"/>
      <c r="M103" s="216"/>
    </row>
    <row r="104" spans="1:13" ht="27" customHeight="1" x14ac:dyDescent="0.6">
      <c r="A104" s="217">
        <v>15</v>
      </c>
      <c r="B104" s="36"/>
      <c r="C104" s="4"/>
      <c r="D104" s="4"/>
      <c r="E104" s="10"/>
      <c r="F104" s="11"/>
      <c r="G104" s="229"/>
      <c r="H104" s="169"/>
      <c r="I104" s="165"/>
      <c r="J104" s="216"/>
      <c r="K104" s="216"/>
      <c r="M104" s="216"/>
    </row>
    <row r="105" spans="1:13" ht="27" customHeight="1" x14ac:dyDescent="0.6">
      <c r="A105" s="217">
        <v>16</v>
      </c>
      <c r="B105" s="36"/>
      <c r="C105" s="4"/>
      <c r="D105" s="4"/>
      <c r="E105" s="10"/>
      <c r="F105" s="11"/>
      <c r="G105" s="229"/>
      <c r="H105" s="169"/>
      <c r="I105" s="165"/>
      <c r="J105" s="216"/>
      <c r="K105" s="216"/>
      <c r="M105" s="216"/>
    </row>
    <row r="106" spans="1:13" ht="27" customHeight="1" x14ac:dyDescent="0.6">
      <c r="A106" s="217">
        <v>17</v>
      </c>
      <c r="B106" s="36"/>
      <c r="C106" s="4"/>
      <c r="D106" s="4"/>
      <c r="E106" s="10"/>
      <c r="F106" s="11"/>
      <c r="G106" s="229"/>
      <c r="H106" s="169"/>
      <c r="I106" s="165"/>
      <c r="J106" s="216"/>
      <c r="K106" s="216"/>
      <c r="M106" s="216"/>
    </row>
    <row r="107" spans="1:13" ht="27" customHeight="1" x14ac:dyDescent="0.6">
      <c r="A107" s="217">
        <v>18</v>
      </c>
      <c r="B107" s="36"/>
      <c r="C107" s="4"/>
      <c r="D107" s="4"/>
      <c r="E107" s="10"/>
      <c r="F107" s="11"/>
      <c r="G107" s="229"/>
      <c r="H107" s="169"/>
      <c r="I107" s="165"/>
      <c r="J107" s="216"/>
      <c r="K107" s="216"/>
      <c r="M107" s="216"/>
    </row>
    <row r="108" spans="1:13" ht="27" customHeight="1" x14ac:dyDescent="0.6">
      <c r="A108" s="217">
        <v>19</v>
      </c>
      <c r="B108" s="36"/>
      <c r="C108" s="4"/>
      <c r="D108" s="4"/>
      <c r="E108" s="10"/>
      <c r="F108" s="11"/>
      <c r="G108" s="229"/>
      <c r="H108" s="169"/>
      <c r="I108" s="165"/>
      <c r="J108" s="220"/>
      <c r="K108" s="216"/>
      <c r="M108" s="216"/>
    </row>
    <row r="109" spans="1:13" ht="27" customHeight="1" x14ac:dyDescent="0.6">
      <c r="A109" s="217">
        <v>20</v>
      </c>
      <c r="B109" s="36"/>
      <c r="C109" s="4"/>
      <c r="D109" s="4"/>
      <c r="E109" s="10"/>
      <c r="F109" s="11"/>
      <c r="G109" s="229"/>
      <c r="H109" s="169"/>
      <c r="I109" s="165"/>
      <c r="J109" s="216"/>
      <c r="K109" s="216"/>
      <c r="M109" s="216"/>
    </row>
    <row r="110" spans="1:13" ht="27" customHeight="1" x14ac:dyDescent="0.6">
      <c r="A110" s="217">
        <v>21</v>
      </c>
      <c r="B110" s="36"/>
      <c r="C110" s="4"/>
      <c r="D110" s="4"/>
      <c r="E110" s="10"/>
      <c r="F110" s="11"/>
      <c r="G110" s="229"/>
      <c r="H110" s="169"/>
      <c r="I110" s="165"/>
      <c r="J110" s="216"/>
      <c r="K110" s="216"/>
      <c r="M110" s="216"/>
    </row>
    <row r="111" spans="1:13" ht="27" customHeight="1" x14ac:dyDescent="0.6">
      <c r="A111" s="217">
        <v>22</v>
      </c>
      <c r="B111" s="36"/>
      <c r="C111" s="4"/>
      <c r="D111" s="4"/>
      <c r="E111" s="10"/>
      <c r="F111" s="11"/>
      <c r="G111" s="229"/>
      <c r="H111" s="169"/>
      <c r="I111" s="165"/>
      <c r="J111" s="216"/>
      <c r="K111" s="216"/>
      <c r="M111" s="216"/>
    </row>
    <row r="112" spans="1:13" ht="27" customHeight="1" x14ac:dyDescent="0.6">
      <c r="A112" s="217">
        <v>23</v>
      </c>
      <c r="B112" s="36"/>
      <c r="C112" s="4"/>
      <c r="D112" s="4"/>
      <c r="E112" s="10"/>
      <c r="F112" s="11"/>
      <c r="G112" s="229"/>
      <c r="H112" s="169"/>
      <c r="I112" s="165"/>
      <c r="J112" s="216"/>
      <c r="K112" s="216"/>
      <c r="M112" s="216"/>
    </row>
    <row r="113" spans="1:13" ht="27" customHeight="1" x14ac:dyDescent="0.6">
      <c r="A113" s="217">
        <v>24</v>
      </c>
      <c r="B113" s="36"/>
      <c r="C113" s="4"/>
      <c r="D113" s="4"/>
      <c r="E113" s="10"/>
      <c r="F113" s="11"/>
      <c r="G113" s="229"/>
      <c r="H113" s="169"/>
      <c r="I113" s="165"/>
      <c r="J113" s="216"/>
      <c r="K113" s="216"/>
      <c r="M113" s="216"/>
    </row>
    <row r="114" spans="1:13" s="7" customFormat="1" ht="27" customHeight="1" x14ac:dyDescent="0.65">
      <c r="A114" s="217">
        <v>25</v>
      </c>
      <c r="B114" s="36"/>
      <c r="C114" s="4"/>
      <c r="D114" s="4"/>
      <c r="E114" s="10"/>
      <c r="F114" s="11"/>
      <c r="G114" s="229"/>
      <c r="H114" s="169"/>
      <c r="I114" s="164"/>
      <c r="J114" s="220"/>
      <c r="K114" s="220"/>
      <c r="M114" s="220"/>
    </row>
    <row r="115" spans="1:13" ht="27" customHeight="1" x14ac:dyDescent="0.6">
      <c r="A115" s="217">
        <v>26</v>
      </c>
      <c r="B115" s="36"/>
      <c r="C115" s="4"/>
      <c r="D115" s="4"/>
      <c r="E115" s="10"/>
      <c r="F115" s="11"/>
      <c r="G115" s="229"/>
      <c r="H115" s="169"/>
      <c r="I115" s="165"/>
      <c r="J115" s="216"/>
      <c r="K115" s="216"/>
      <c r="M115" s="216"/>
    </row>
    <row r="116" spans="1:13" ht="27" customHeight="1" x14ac:dyDescent="0.6">
      <c r="A116" s="217">
        <v>27</v>
      </c>
      <c r="B116" s="36"/>
      <c r="C116" s="4"/>
      <c r="D116" s="4"/>
      <c r="E116" s="10"/>
      <c r="F116" s="11"/>
      <c r="G116" s="229"/>
      <c r="H116" s="169"/>
      <c r="I116" s="165"/>
      <c r="J116" s="216"/>
      <c r="K116" s="216"/>
      <c r="M116" s="216"/>
    </row>
    <row r="117" spans="1:13" ht="27" customHeight="1" x14ac:dyDescent="0.6">
      <c r="A117" s="217">
        <v>28</v>
      </c>
      <c r="B117" s="36"/>
      <c r="C117" s="4"/>
      <c r="D117" s="4"/>
      <c r="E117" s="10"/>
      <c r="F117" s="11"/>
      <c r="G117" s="229"/>
      <c r="H117" s="175"/>
      <c r="I117" s="165"/>
      <c r="J117" s="216"/>
      <c r="K117" s="216"/>
      <c r="M117" s="216"/>
    </row>
    <row r="118" spans="1:13" ht="27" customHeight="1" x14ac:dyDescent="0.6">
      <c r="A118" s="217">
        <v>29</v>
      </c>
      <c r="B118" s="36"/>
      <c r="C118" s="4"/>
      <c r="D118" s="4"/>
      <c r="E118" s="10"/>
      <c r="F118" s="11"/>
      <c r="G118" s="229"/>
      <c r="H118" s="169"/>
      <c r="I118" s="165"/>
      <c r="J118" s="216"/>
      <c r="K118" s="216"/>
      <c r="M118" s="216"/>
    </row>
    <row r="119" spans="1:13" ht="25.5" customHeight="1" x14ac:dyDescent="0.6">
      <c r="A119" s="217">
        <v>30</v>
      </c>
      <c r="B119" s="36"/>
      <c r="C119" s="4"/>
      <c r="D119" s="4"/>
      <c r="E119" s="10"/>
      <c r="F119" s="11"/>
      <c r="G119" s="229"/>
      <c r="H119" s="169"/>
      <c r="I119" s="165"/>
      <c r="J119" s="216"/>
      <c r="K119" s="216"/>
      <c r="M119" s="216"/>
    </row>
    <row r="120" spans="1:13" ht="26.25" customHeight="1" x14ac:dyDescent="0.6">
      <c r="A120" s="217">
        <v>31</v>
      </c>
      <c r="B120" s="36"/>
      <c r="C120" s="4"/>
      <c r="D120" s="4"/>
      <c r="E120" s="10"/>
      <c r="F120" s="11"/>
      <c r="G120" s="229"/>
      <c r="H120" s="169"/>
      <c r="I120" s="165"/>
      <c r="J120" s="216"/>
      <c r="K120" s="216"/>
      <c r="M120" s="216"/>
    </row>
    <row r="121" spans="1:13" ht="27" customHeight="1" x14ac:dyDescent="0.6">
      <c r="A121" s="217">
        <v>32</v>
      </c>
      <c r="B121" s="36"/>
      <c r="C121" s="4"/>
      <c r="D121" s="4"/>
      <c r="E121" s="10"/>
      <c r="F121" s="11"/>
      <c r="G121" s="229"/>
      <c r="H121" s="169"/>
      <c r="I121" s="165"/>
      <c r="J121" s="216"/>
      <c r="K121" s="216"/>
      <c r="M121" s="216"/>
    </row>
    <row r="122" spans="1:13" ht="27" customHeight="1" x14ac:dyDescent="0.6">
      <c r="A122" s="217">
        <v>33</v>
      </c>
      <c r="B122" s="36"/>
      <c r="C122" s="4"/>
      <c r="D122" s="4"/>
      <c r="E122" s="10"/>
      <c r="F122" s="11"/>
      <c r="G122" s="229"/>
      <c r="H122" s="169"/>
      <c r="I122" s="165"/>
      <c r="J122" s="216"/>
      <c r="K122" s="216"/>
      <c r="M122" s="216"/>
    </row>
    <row r="123" spans="1:13" ht="27" customHeight="1" x14ac:dyDescent="0.6">
      <c r="A123" s="217">
        <v>34</v>
      </c>
      <c r="B123" s="36"/>
      <c r="C123" s="4"/>
      <c r="D123" s="4"/>
      <c r="E123" s="10"/>
      <c r="F123" s="11"/>
      <c r="G123" s="229"/>
      <c r="H123" s="169"/>
      <c r="I123" s="165"/>
      <c r="J123" s="216"/>
      <c r="K123" s="216"/>
      <c r="M123" s="216"/>
    </row>
    <row r="124" spans="1:13" ht="27" customHeight="1" x14ac:dyDescent="0.6">
      <c r="A124" s="217">
        <v>35</v>
      </c>
      <c r="B124" s="36"/>
      <c r="C124" s="4"/>
      <c r="D124" s="4"/>
      <c r="E124" s="10"/>
      <c r="F124" s="11"/>
      <c r="G124" s="229"/>
      <c r="H124" s="169"/>
      <c r="I124" s="165"/>
      <c r="J124" s="216"/>
      <c r="K124" s="216"/>
      <c r="M124" s="216"/>
    </row>
    <row r="125" spans="1:13" ht="27" customHeight="1" x14ac:dyDescent="0.6">
      <c r="A125" s="217">
        <v>36</v>
      </c>
      <c r="B125" s="36"/>
      <c r="C125" s="4"/>
      <c r="D125" s="4"/>
      <c r="E125" s="10"/>
      <c r="F125" s="11"/>
      <c r="G125" s="229"/>
      <c r="H125" s="169"/>
      <c r="I125" s="165"/>
      <c r="J125" s="216"/>
      <c r="K125" s="216"/>
      <c r="M125" s="216"/>
    </row>
    <row r="126" spans="1:13" ht="27" customHeight="1" x14ac:dyDescent="0.6">
      <c r="A126" s="217">
        <v>1</v>
      </c>
      <c r="B126" s="36"/>
      <c r="C126" s="4"/>
      <c r="D126" s="4"/>
      <c r="E126" s="10"/>
      <c r="F126" s="11"/>
      <c r="G126" s="229"/>
      <c r="H126" s="169"/>
      <c r="I126" s="165"/>
      <c r="J126" s="216"/>
      <c r="K126" s="216"/>
      <c r="M126" s="216"/>
    </row>
    <row r="127" spans="1:13" ht="27" customHeight="1" x14ac:dyDescent="0.6">
      <c r="A127" s="217">
        <v>2</v>
      </c>
      <c r="B127" s="36"/>
      <c r="C127" s="4"/>
      <c r="D127" s="4"/>
      <c r="E127" s="10"/>
      <c r="F127" s="11"/>
      <c r="G127" s="229"/>
      <c r="H127" s="169"/>
      <c r="I127" s="165"/>
      <c r="J127" s="216"/>
      <c r="K127" s="216"/>
      <c r="M127" s="216"/>
    </row>
    <row r="128" spans="1:13" ht="27" customHeight="1" x14ac:dyDescent="0.6">
      <c r="A128" s="217">
        <v>3</v>
      </c>
      <c r="B128" s="36"/>
      <c r="C128" s="4"/>
      <c r="D128" s="4"/>
      <c r="E128" s="10"/>
      <c r="F128" s="11"/>
      <c r="G128" s="229"/>
      <c r="H128" s="169"/>
      <c r="I128" s="165"/>
      <c r="J128" s="216"/>
      <c r="K128" s="216"/>
      <c r="M128" s="216"/>
    </row>
    <row r="129" spans="1:13" ht="27" customHeight="1" x14ac:dyDescent="0.6">
      <c r="A129" s="217">
        <v>4</v>
      </c>
      <c r="B129" s="37"/>
      <c r="C129" s="48"/>
      <c r="D129" s="4"/>
      <c r="E129" s="10"/>
      <c r="F129" s="11"/>
      <c r="G129" s="229"/>
      <c r="H129" s="169"/>
      <c r="I129" s="169"/>
      <c r="J129" s="216"/>
      <c r="K129" s="216"/>
      <c r="M129" s="216"/>
    </row>
    <row r="130" spans="1:13" ht="27" customHeight="1" x14ac:dyDescent="0.6">
      <c r="A130" s="217">
        <v>5</v>
      </c>
      <c r="B130" s="36"/>
      <c r="C130" s="48"/>
      <c r="D130" s="4"/>
      <c r="E130" s="10"/>
      <c r="F130" s="11"/>
      <c r="G130" s="229"/>
      <c r="H130" s="169"/>
      <c r="I130" s="165"/>
      <c r="J130" s="216"/>
      <c r="K130" s="216"/>
      <c r="M130" s="216"/>
    </row>
    <row r="131" spans="1:13" ht="27" customHeight="1" x14ac:dyDescent="0.6">
      <c r="A131" s="217">
        <v>6</v>
      </c>
      <c r="B131" s="36"/>
      <c r="C131" s="48"/>
      <c r="D131" s="4"/>
      <c r="E131" s="14"/>
      <c r="F131" s="11"/>
      <c r="G131" s="229"/>
      <c r="H131" s="169"/>
      <c r="I131" s="165"/>
      <c r="J131" s="216"/>
      <c r="K131" s="216"/>
      <c r="M131" s="216"/>
    </row>
    <row r="132" spans="1:13" ht="27" customHeight="1" x14ac:dyDescent="0.6">
      <c r="A132" s="217">
        <v>7</v>
      </c>
      <c r="B132" s="36"/>
      <c r="C132" s="49"/>
      <c r="D132" s="4"/>
      <c r="E132" s="14"/>
      <c r="F132" s="11"/>
      <c r="G132" s="229"/>
      <c r="H132" s="169"/>
      <c r="I132" s="165"/>
      <c r="J132" s="216"/>
      <c r="K132" s="216"/>
      <c r="M132" s="216"/>
    </row>
    <row r="133" spans="1:13" ht="27" customHeight="1" x14ac:dyDescent="0.6">
      <c r="A133" s="217">
        <v>8</v>
      </c>
      <c r="B133" s="36"/>
      <c r="C133" s="49"/>
      <c r="D133" s="4"/>
      <c r="E133" s="10"/>
      <c r="F133" s="11"/>
      <c r="G133" s="229"/>
      <c r="H133" s="169"/>
      <c r="I133" s="165"/>
      <c r="J133" s="216"/>
      <c r="K133" s="216"/>
      <c r="M133" s="216"/>
    </row>
    <row r="134" spans="1:13" ht="27" customHeight="1" x14ac:dyDescent="0.6">
      <c r="A134" s="217">
        <v>9</v>
      </c>
      <c r="B134" s="36"/>
      <c r="C134" s="48"/>
      <c r="D134" s="4"/>
      <c r="E134" s="10"/>
      <c r="F134" s="11"/>
      <c r="G134" s="229"/>
      <c r="H134" s="178"/>
      <c r="I134" s="187"/>
      <c r="J134" s="216"/>
      <c r="K134" s="216"/>
      <c r="M134" s="216"/>
    </row>
    <row r="135" spans="1:13" ht="27" customHeight="1" x14ac:dyDescent="0.6">
      <c r="A135" s="217">
        <v>10</v>
      </c>
      <c r="B135" s="36"/>
      <c r="C135" s="48"/>
      <c r="D135" s="4"/>
      <c r="E135" s="10"/>
      <c r="F135" s="11"/>
      <c r="G135" s="229"/>
      <c r="H135" s="169"/>
      <c r="I135" s="165"/>
      <c r="J135" s="216"/>
      <c r="K135" s="216"/>
      <c r="M135" s="216"/>
    </row>
    <row r="136" spans="1:13" ht="27" customHeight="1" x14ac:dyDescent="0.6">
      <c r="A136" s="217">
        <v>11</v>
      </c>
      <c r="B136" s="36"/>
      <c r="C136" s="76"/>
      <c r="D136" s="76"/>
      <c r="E136" s="10"/>
      <c r="F136" s="77"/>
      <c r="G136" s="228"/>
      <c r="H136" s="169"/>
      <c r="I136" s="165"/>
      <c r="J136" s="216"/>
      <c r="K136" s="216"/>
      <c r="M136" s="216"/>
    </row>
    <row r="137" spans="1:13" ht="27" customHeight="1" x14ac:dyDescent="0.6">
      <c r="A137" s="217">
        <v>12</v>
      </c>
      <c r="B137" s="36"/>
      <c r="C137" s="76"/>
      <c r="D137" s="76"/>
      <c r="E137" s="10"/>
      <c r="F137" s="77"/>
      <c r="G137" s="228"/>
      <c r="H137" s="169"/>
      <c r="I137" s="165"/>
      <c r="J137" s="216"/>
      <c r="K137" s="216"/>
      <c r="M137" s="216"/>
    </row>
    <row r="138" spans="1:13" ht="27" customHeight="1" x14ac:dyDescent="0.6">
      <c r="A138" s="217">
        <v>13</v>
      </c>
      <c r="B138" s="50"/>
      <c r="C138" s="76"/>
      <c r="D138" s="76"/>
      <c r="E138" s="10"/>
      <c r="F138" s="77"/>
      <c r="G138" s="228"/>
      <c r="H138" s="169"/>
      <c r="I138" s="165"/>
      <c r="J138" s="216"/>
      <c r="K138" s="216"/>
      <c r="M138" s="216"/>
    </row>
    <row r="139" spans="1:13" ht="27" customHeight="1" x14ac:dyDescent="0.6">
      <c r="A139" s="217">
        <v>14</v>
      </c>
      <c r="B139" s="50"/>
      <c r="C139" s="76"/>
      <c r="D139" s="76"/>
      <c r="E139" s="10"/>
      <c r="F139" s="77"/>
      <c r="G139" s="228"/>
      <c r="H139" s="169"/>
      <c r="I139" s="165"/>
      <c r="J139" s="216"/>
      <c r="K139" s="216"/>
      <c r="M139" s="216"/>
    </row>
    <row r="140" spans="1:13" ht="27" customHeight="1" x14ac:dyDescent="0.6">
      <c r="A140" s="217">
        <v>15</v>
      </c>
      <c r="B140" s="50"/>
      <c r="C140" s="76"/>
      <c r="D140" s="76"/>
      <c r="E140" s="10"/>
      <c r="F140" s="77"/>
      <c r="G140" s="228"/>
      <c r="H140" s="169"/>
      <c r="I140" s="169"/>
      <c r="J140" s="216"/>
      <c r="K140" s="216"/>
      <c r="M140" s="216"/>
    </row>
    <row r="141" spans="1:13" ht="27" customHeight="1" x14ac:dyDescent="0.6">
      <c r="A141" s="217">
        <v>16</v>
      </c>
      <c r="B141" s="50"/>
      <c r="C141" s="4"/>
      <c r="D141" s="4"/>
      <c r="E141" s="10"/>
      <c r="F141" s="11"/>
      <c r="G141" s="229"/>
      <c r="H141" s="169"/>
      <c r="I141" s="165"/>
      <c r="J141" s="216"/>
      <c r="K141" s="216"/>
      <c r="M141" s="216"/>
    </row>
    <row r="142" spans="1:13" ht="27" customHeight="1" x14ac:dyDescent="0.6">
      <c r="A142" s="217">
        <v>17</v>
      </c>
      <c r="B142" s="50"/>
      <c r="C142" s="4"/>
      <c r="D142" s="4"/>
      <c r="E142" s="10"/>
      <c r="F142" s="11"/>
      <c r="G142" s="229"/>
      <c r="H142" s="169"/>
      <c r="I142" s="165"/>
      <c r="J142" s="216"/>
      <c r="K142" s="216"/>
      <c r="M142" s="216"/>
    </row>
    <row r="143" spans="1:13" ht="27" customHeight="1" x14ac:dyDescent="0.6">
      <c r="A143" s="217"/>
      <c r="B143" s="50"/>
      <c r="C143" s="4"/>
      <c r="D143" s="4"/>
      <c r="E143" s="10"/>
      <c r="F143" s="11"/>
      <c r="G143" s="229"/>
      <c r="H143" s="169"/>
      <c r="I143" s="165"/>
      <c r="J143" s="216"/>
      <c r="K143" s="216"/>
      <c r="M143" s="216"/>
    </row>
    <row r="144" spans="1:13" s="7" customFormat="1" ht="27" customHeight="1" x14ac:dyDescent="0.65">
      <c r="A144" s="217"/>
      <c r="B144" s="50"/>
      <c r="C144" s="4"/>
      <c r="D144" s="4"/>
      <c r="E144" s="10"/>
      <c r="F144" s="11"/>
      <c r="G144" s="229"/>
      <c r="H144" s="169"/>
      <c r="I144" s="164"/>
      <c r="J144" s="220"/>
      <c r="K144" s="220"/>
      <c r="M144" s="220"/>
    </row>
    <row r="145" spans="1:13" ht="27" customHeight="1" x14ac:dyDescent="0.6">
      <c r="A145" s="218"/>
      <c r="B145" s="36"/>
      <c r="C145" s="4"/>
      <c r="D145" s="4"/>
      <c r="E145" s="10"/>
      <c r="F145" s="11"/>
      <c r="G145" s="229"/>
      <c r="H145" s="169"/>
      <c r="I145" s="165"/>
      <c r="J145" s="216"/>
      <c r="K145" s="216"/>
      <c r="M145" s="216"/>
    </row>
    <row r="146" spans="1:13" ht="27" customHeight="1" x14ac:dyDescent="0.6">
      <c r="A146" s="217"/>
      <c r="B146" s="36"/>
      <c r="C146" s="4"/>
      <c r="D146" s="4"/>
      <c r="E146" s="10"/>
      <c r="F146" s="11"/>
      <c r="G146" s="229"/>
      <c r="H146" s="169"/>
      <c r="I146" s="165"/>
      <c r="J146" s="216"/>
      <c r="K146" s="216"/>
      <c r="M146" s="216"/>
    </row>
    <row r="147" spans="1:13" ht="27" customHeight="1" x14ac:dyDescent="0.6">
      <c r="A147" s="217"/>
      <c r="B147" s="36"/>
      <c r="C147" s="4"/>
      <c r="D147" s="4"/>
      <c r="E147" s="10"/>
      <c r="F147" s="11"/>
      <c r="G147" s="229"/>
      <c r="H147" s="169"/>
      <c r="I147" s="165"/>
      <c r="J147" s="216"/>
      <c r="K147" s="216"/>
      <c r="M147" s="216"/>
    </row>
    <row r="148" spans="1:13" ht="30" customHeight="1" x14ac:dyDescent="0.6">
      <c r="A148" s="218"/>
      <c r="B148" s="36"/>
      <c r="C148" s="4"/>
      <c r="D148" s="4"/>
      <c r="E148" s="10"/>
      <c r="F148" s="11"/>
      <c r="G148" s="229"/>
      <c r="H148" s="169"/>
      <c r="I148" s="185"/>
      <c r="J148" s="216"/>
      <c r="K148" s="216"/>
      <c r="M148" s="216"/>
    </row>
    <row r="149" spans="1:13" ht="27" customHeight="1" x14ac:dyDescent="0.6">
      <c r="A149" s="217"/>
      <c r="B149" s="36"/>
      <c r="C149" s="4"/>
      <c r="D149" s="4"/>
      <c r="E149" s="10"/>
      <c r="F149" s="11"/>
      <c r="G149" s="229"/>
      <c r="H149" s="169"/>
      <c r="I149" s="165"/>
      <c r="J149" s="216"/>
      <c r="K149" s="216"/>
      <c r="M149" s="216"/>
    </row>
    <row r="150" spans="1:13" ht="27" customHeight="1" x14ac:dyDescent="0.6">
      <c r="A150" s="217"/>
      <c r="B150" s="36"/>
      <c r="C150" s="4"/>
      <c r="D150" s="4"/>
      <c r="E150" s="10"/>
      <c r="F150" s="11"/>
      <c r="G150" s="229"/>
      <c r="H150" s="169"/>
      <c r="I150" s="165"/>
      <c r="J150" s="216"/>
      <c r="K150" s="216"/>
      <c r="M150" s="216"/>
    </row>
    <row r="151" spans="1:13" ht="27" customHeight="1" x14ac:dyDescent="0.6">
      <c r="A151" s="217"/>
      <c r="B151" s="37"/>
      <c r="C151" s="4"/>
      <c r="D151" s="4"/>
      <c r="E151" s="10"/>
      <c r="F151" s="11"/>
      <c r="G151" s="229"/>
      <c r="H151" s="169"/>
      <c r="I151" s="165"/>
      <c r="J151" s="216"/>
      <c r="K151" s="216"/>
      <c r="M151" s="216"/>
    </row>
    <row r="152" spans="1:13" ht="27" customHeight="1" x14ac:dyDescent="0.6">
      <c r="A152" s="217"/>
      <c r="B152" s="36"/>
      <c r="C152" s="4"/>
      <c r="D152" s="4"/>
      <c r="E152" s="10"/>
      <c r="F152" s="11"/>
      <c r="G152" s="229"/>
      <c r="H152" s="169"/>
      <c r="I152" s="165"/>
      <c r="J152" s="216"/>
      <c r="K152" s="216"/>
      <c r="M152" s="216"/>
    </row>
    <row r="153" spans="1:13" ht="27" customHeight="1" x14ac:dyDescent="0.6">
      <c r="A153" s="217"/>
      <c r="B153" s="36"/>
      <c r="C153" s="4"/>
      <c r="D153" s="4"/>
      <c r="E153" s="10"/>
      <c r="F153" s="11"/>
      <c r="G153" s="229"/>
      <c r="H153" s="169"/>
      <c r="I153" s="165"/>
      <c r="J153" s="216"/>
      <c r="K153" s="216"/>
      <c r="M153" s="216"/>
    </row>
    <row r="154" spans="1:13" ht="27" customHeight="1" x14ac:dyDescent="0.6">
      <c r="A154" s="217"/>
      <c r="B154" s="36"/>
      <c r="C154" s="63"/>
      <c r="D154" s="63"/>
      <c r="E154" s="10"/>
      <c r="F154" s="64"/>
      <c r="G154" s="230"/>
      <c r="H154" s="169"/>
      <c r="I154" s="165"/>
      <c r="J154" s="216"/>
      <c r="K154" s="216"/>
      <c r="M154" s="216"/>
    </row>
    <row r="155" spans="1:13" ht="25.5" customHeight="1" x14ac:dyDescent="0.6">
      <c r="A155" s="217"/>
      <c r="B155" s="36"/>
      <c r="C155" s="4"/>
      <c r="D155" s="4"/>
      <c r="E155" s="10"/>
      <c r="F155" s="11"/>
      <c r="G155" s="229"/>
      <c r="H155" s="179"/>
      <c r="I155" s="165"/>
      <c r="J155" s="216"/>
      <c r="K155" s="216"/>
      <c r="M155" s="216"/>
    </row>
    <row r="156" spans="1:13" ht="27" customHeight="1" x14ac:dyDescent="0.6">
      <c r="A156" s="217"/>
      <c r="B156" s="36"/>
      <c r="C156" s="4"/>
      <c r="D156" s="4"/>
      <c r="E156" s="10"/>
      <c r="F156" s="11"/>
      <c r="G156" s="229"/>
      <c r="H156" s="169"/>
      <c r="I156" s="165"/>
      <c r="J156" s="216"/>
      <c r="K156" s="216"/>
      <c r="M156" s="216"/>
    </row>
    <row r="157" spans="1:13" ht="27" customHeight="1" x14ac:dyDescent="0.6">
      <c r="A157" s="217"/>
      <c r="B157" s="36"/>
      <c r="C157" s="4"/>
      <c r="D157" s="4"/>
      <c r="E157" s="10"/>
      <c r="F157" s="11"/>
      <c r="G157" s="229"/>
      <c r="H157" s="169"/>
      <c r="I157" s="165"/>
      <c r="J157" s="216"/>
      <c r="K157" s="216"/>
      <c r="M157" s="216"/>
    </row>
    <row r="158" spans="1:13" ht="28.5" x14ac:dyDescent="0.6">
      <c r="A158" s="217"/>
      <c r="B158" s="36"/>
      <c r="C158" s="4"/>
      <c r="D158" s="4"/>
      <c r="E158" s="10"/>
      <c r="F158" s="11"/>
      <c r="G158" s="229"/>
      <c r="H158" s="169"/>
      <c r="I158" s="165"/>
      <c r="J158" s="216"/>
      <c r="K158" s="216"/>
      <c r="M158" s="216"/>
    </row>
    <row r="159" spans="1:13" ht="27" customHeight="1" x14ac:dyDescent="0.6">
      <c r="A159" s="217"/>
      <c r="B159" s="36"/>
      <c r="C159" s="4"/>
      <c r="D159" s="4"/>
      <c r="E159" s="10"/>
      <c r="F159" s="11"/>
      <c r="G159" s="229"/>
      <c r="H159" s="169"/>
      <c r="I159" s="165"/>
      <c r="J159" s="216"/>
      <c r="K159" s="216"/>
      <c r="M159" s="216"/>
    </row>
    <row r="160" spans="1:13" ht="27" customHeight="1" x14ac:dyDescent="0.6">
      <c r="A160" s="217"/>
      <c r="B160" s="37"/>
      <c r="C160" s="9"/>
      <c r="D160" s="4"/>
      <c r="E160" s="10"/>
      <c r="F160" s="11"/>
      <c r="G160" s="229"/>
      <c r="H160" s="169"/>
      <c r="I160" s="187"/>
      <c r="J160" s="216"/>
      <c r="K160" s="216"/>
      <c r="M160" s="216"/>
    </row>
    <row r="161" spans="1:13" ht="27" customHeight="1" x14ac:dyDescent="0.6">
      <c r="A161" s="217"/>
      <c r="B161" s="36"/>
      <c r="C161" s="4"/>
      <c r="D161" s="4"/>
      <c r="E161" s="10"/>
      <c r="F161" s="11"/>
      <c r="G161" s="229"/>
      <c r="H161" s="169"/>
      <c r="I161" s="165"/>
      <c r="J161" s="216"/>
      <c r="K161" s="216"/>
      <c r="M161" s="216"/>
    </row>
    <row r="162" spans="1:13" ht="27" customHeight="1" x14ac:dyDescent="0.6">
      <c r="A162" s="217"/>
      <c r="B162" s="36"/>
      <c r="C162" s="4"/>
      <c r="D162" s="4"/>
      <c r="E162" s="10"/>
      <c r="F162" s="11"/>
      <c r="G162" s="229"/>
      <c r="H162" s="169"/>
      <c r="I162" s="165"/>
      <c r="J162" s="216"/>
      <c r="K162" s="216"/>
      <c r="M162" s="216"/>
    </row>
    <row r="163" spans="1:13" ht="27" customHeight="1" x14ac:dyDescent="0.6">
      <c r="A163" s="217"/>
      <c r="B163" s="36"/>
      <c r="C163" s="4"/>
      <c r="D163" s="4"/>
      <c r="E163" s="10"/>
      <c r="F163" s="11"/>
      <c r="G163" s="229"/>
      <c r="H163" s="169"/>
      <c r="I163" s="165"/>
      <c r="J163" s="216"/>
      <c r="K163" s="216"/>
      <c r="M163" s="216"/>
    </row>
    <row r="164" spans="1:13" ht="27" customHeight="1" x14ac:dyDescent="0.6">
      <c r="A164" s="217"/>
      <c r="B164" s="36"/>
      <c r="C164" s="4"/>
      <c r="D164" s="4"/>
      <c r="E164" s="10"/>
      <c r="F164" s="11"/>
      <c r="G164" s="229"/>
      <c r="H164" s="169"/>
      <c r="I164" s="165"/>
      <c r="J164" s="216"/>
      <c r="K164" s="216"/>
      <c r="M164" s="216"/>
    </row>
    <row r="165" spans="1:13" ht="27" customHeight="1" x14ac:dyDescent="0.6">
      <c r="A165" s="217"/>
      <c r="B165" s="36"/>
      <c r="C165" s="4"/>
      <c r="D165" s="4"/>
      <c r="E165" s="10"/>
      <c r="F165" s="11"/>
      <c r="G165" s="229"/>
      <c r="H165" s="169"/>
      <c r="I165" s="165"/>
      <c r="J165" s="216"/>
      <c r="K165" s="216"/>
      <c r="M165" s="216"/>
    </row>
    <row r="166" spans="1:13" s="7" customFormat="1" ht="27" customHeight="1" x14ac:dyDescent="0.65">
      <c r="A166" s="217"/>
      <c r="B166" s="36"/>
      <c r="C166" s="4"/>
      <c r="D166" s="4"/>
      <c r="E166" s="10"/>
      <c r="F166" s="11"/>
      <c r="G166" s="229"/>
      <c r="H166" s="169"/>
      <c r="I166" s="164"/>
      <c r="J166" s="220"/>
      <c r="K166" s="220"/>
      <c r="M166" s="220"/>
    </row>
    <row r="167" spans="1:13" ht="27" customHeight="1" x14ac:dyDescent="0.6">
      <c r="A167" s="217"/>
      <c r="B167" s="36"/>
      <c r="C167" s="4"/>
      <c r="D167" s="4"/>
      <c r="E167" s="10"/>
      <c r="F167" s="11"/>
      <c r="G167" s="229"/>
      <c r="H167" s="169"/>
      <c r="I167" s="165"/>
      <c r="J167" s="216"/>
      <c r="K167" s="216"/>
      <c r="M167" s="216"/>
    </row>
    <row r="168" spans="1:13" s="7" customFormat="1" ht="27" customHeight="1" x14ac:dyDescent="0.65">
      <c r="A168" s="217"/>
      <c r="B168" s="50"/>
      <c r="C168" s="36"/>
      <c r="D168" s="4"/>
      <c r="E168" s="10"/>
      <c r="F168" s="11"/>
      <c r="G168" s="229"/>
      <c r="H168" s="169"/>
      <c r="I168" s="164"/>
      <c r="J168" s="220"/>
      <c r="K168" s="220"/>
      <c r="M168" s="220"/>
    </row>
    <row r="169" spans="1:13" s="7" customFormat="1" ht="27" customHeight="1" x14ac:dyDescent="0.65">
      <c r="A169" s="217"/>
      <c r="B169" s="36"/>
      <c r="C169" s="4"/>
      <c r="D169" s="4"/>
      <c r="E169" s="10"/>
      <c r="F169" s="11"/>
      <c r="G169" s="229"/>
      <c r="H169" s="169"/>
      <c r="I169" s="164"/>
      <c r="J169" s="220"/>
      <c r="K169" s="220"/>
      <c r="M169" s="220"/>
    </row>
    <row r="170" spans="1:13" s="7" customFormat="1" ht="27" customHeight="1" x14ac:dyDescent="0.65">
      <c r="A170" s="217"/>
      <c r="B170" s="36"/>
      <c r="C170" s="4"/>
      <c r="D170" s="4"/>
      <c r="E170" s="10"/>
      <c r="F170" s="11"/>
      <c r="G170" s="229"/>
      <c r="H170" s="169"/>
      <c r="I170" s="164"/>
      <c r="J170" s="220"/>
      <c r="K170" s="220"/>
      <c r="M170" s="220"/>
    </row>
    <row r="171" spans="1:13" s="7" customFormat="1" ht="27" customHeight="1" x14ac:dyDescent="0.65">
      <c r="A171" s="217"/>
      <c r="B171" s="36"/>
      <c r="C171" s="4"/>
      <c r="D171" s="4"/>
      <c r="E171" s="10"/>
      <c r="F171" s="11"/>
      <c r="G171" s="229"/>
      <c r="H171" s="169"/>
      <c r="I171" s="164"/>
      <c r="J171" s="220"/>
      <c r="K171" s="220"/>
      <c r="M171" s="220"/>
    </row>
    <row r="172" spans="1:13" s="7" customFormat="1" ht="27" customHeight="1" x14ac:dyDescent="0.65">
      <c r="A172" s="217"/>
      <c r="B172" s="36"/>
      <c r="C172" s="4"/>
      <c r="D172" s="4"/>
      <c r="E172" s="10"/>
      <c r="F172" s="11"/>
      <c r="G172" s="229"/>
      <c r="H172" s="169"/>
      <c r="I172" s="164"/>
      <c r="J172" s="220"/>
      <c r="K172" s="220"/>
      <c r="M172" s="220"/>
    </row>
    <row r="173" spans="1:13" s="7" customFormat="1" ht="27" customHeight="1" x14ac:dyDescent="0.65">
      <c r="A173" s="217"/>
      <c r="B173" s="36"/>
      <c r="C173" s="4"/>
      <c r="D173" s="4"/>
      <c r="E173" s="10"/>
      <c r="F173" s="11"/>
      <c r="G173" s="229"/>
      <c r="H173" s="175"/>
      <c r="I173" s="167"/>
      <c r="J173" s="220"/>
      <c r="K173" s="220"/>
      <c r="M173" s="220"/>
    </row>
    <row r="174" spans="1:13" s="7" customFormat="1" ht="27" customHeight="1" x14ac:dyDescent="0.65">
      <c r="A174" s="217"/>
      <c r="B174" s="37"/>
      <c r="C174" s="9"/>
      <c r="D174" s="4"/>
      <c r="E174" s="10"/>
      <c r="F174" s="11"/>
      <c r="G174" s="229"/>
      <c r="H174" s="169"/>
      <c r="I174" s="164"/>
      <c r="J174" s="220"/>
      <c r="K174" s="220"/>
      <c r="M174" s="220"/>
    </row>
    <row r="175" spans="1:13" s="7" customFormat="1" ht="27" customHeight="1" x14ac:dyDescent="0.65">
      <c r="A175" s="217"/>
      <c r="B175" s="36"/>
      <c r="C175" s="4"/>
      <c r="D175" s="4"/>
      <c r="E175" s="10"/>
      <c r="F175" s="11"/>
      <c r="G175" s="229"/>
      <c r="H175" s="169"/>
      <c r="I175" s="165"/>
      <c r="J175" s="220"/>
      <c r="K175" s="220"/>
      <c r="M175" s="220"/>
    </row>
    <row r="176" spans="1:13" s="7" customFormat="1" ht="27" customHeight="1" x14ac:dyDescent="0.65">
      <c r="A176" s="217"/>
      <c r="B176" s="36"/>
      <c r="C176" s="4"/>
      <c r="D176" s="4"/>
      <c r="E176" s="10"/>
      <c r="F176" s="11"/>
      <c r="G176" s="229"/>
      <c r="H176" s="169"/>
      <c r="I176" s="164"/>
      <c r="J176" s="220"/>
      <c r="K176" s="220"/>
      <c r="M176" s="220"/>
    </row>
    <row r="177" spans="1:13" s="7" customFormat="1" ht="24.75" customHeight="1" x14ac:dyDescent="0.65">
      <c r="A177" s="217"/>
      <c r="B177" s="36"/>
      <c r="C177" s="4"/>
      <c r="D177" s="4"/>
      <c r="E177" s="10"/>
      <c r="F177" s="11"/>
      <c r="G177" s="229"/>
      <c r="H177" s="169"/>
      <c r="I177" s="164"/>
      <c r="J177" s="220"/>
      <c r="K177" s="220"/>
      <c r="M177" s="220"/>
    </row>
    <row r="178" spans="1:13" s="7" customFormat="1" ht="24.75" customHeight="1" x14ac:dyDescent="0.65">
      <c r="A178" s="217"/>
      <c r="B178" s="36"/>
      <c r="C178" s="4"/>
      <c r="D178" s="4"/>
      <c r="E178" s="10"/>
      <c r="F178" s="11"/>
      <c r="G178" s="229"/>
      <c r="H178" s="175"/>
      <c r="I178" s="164"/>
      <c r="J178" s="220"/>
      <c r="K178" s="220"/>
      <c r="M178" s="220"/>
    </row>
    <row r="179" spans="1:13" s="7" customFormat="1" ht="26.25" customHeight="1" x14ac:dyDescent="0.65">
      <c r="A179" s="217"/>
      <c r="B179" s="36"/>
      <c r="C179" s="4"/>
      <c r="D179" s="4"/>
      <c r="E179" s="10"/>
      <c r="F179" s="11"/>
      <c r="G179" s="229"/>
      <c r="H179" s="169"/>
      <c r="I179" s="164"/>
      <c r="J179" s="220"/>
      <c r="K179" s="220"/>
      <c r="M179" s="220"/>
    </row>
    <row r="180" spans="1:13" s="7" customFormat="1" ht="27" customHeight="1" x14ac:dyDescent="0.65">
      <c r="A180" s="217"/>
      <c r="B180" s="36"/>
      <c r="C180" s="4"/>
      <c r="D180" s="4"/>
      <c r="E180" s="10"/>
      <c r="F180" s="11"/>
      <c r="G180" s="229"/>
      <c r="H180" s="169"/>
      <c r="I180" s="164"/>
      <c r="J180" s="220"/>
      <c r="K180" s="220"/>
      <c r="M180" s="220"/>
    </row>
    <row r="181" spans="1:13" s="7" customFormat="1" ht="27" customHeight="1" x14ac:dyDescent="0.65">
      <c r="A181" s="217"/>
      <c r="B181" s="36"/>
      <c r="C181" s="4"/>
      <c r="D181" s="4"/>
      <c r="E181" s="10"/>
      <c r="F181" s="11"/>
      <c r="G181" s="229"/>
      <c r="H181" s="169"/>
      <c r="I181" s="164"/>
      <c r="J181" s="220"/>
      <c r="K181" s="220"/>
      <c r="M181" s="220"/>
    </row>
    <row r="182" spans="1:13" s="7" customFormat="1" ht="27" customHeight="1" x14ac:dyDescent="0.65">
      <c r="A182" s="217"/>
      <c r="B182" s="4"/>
      <c r="C182" s="48"/>
      <c r="D182" s="4"/>
      <c r="E182" s="10"/>
      <c r="F182" s="11"/>
      <c r="G182" s="229"/>
      <c r="H182" s="169"/>
      <c r="I182" s="164"/>
      <c r="J182" s="220"/>
      <c r="K182" s="220"/>
      <c r="M182" s="220"/>
    </row>
    <row r="183" spans="1:13" s="7" customFormat="1" ht="27" customHeight="1" x14ac:dyDescent="0.65">
      <c r="A183" s="217"/>
      <c r="B183" s="36"/>
      <c r="C183" s="4"/>
      <c r="D183" s="4"/>
      <c r="E183" s="10"/>
      <c r="F183" s="11"/>
      <c r="G183" s="229"/>
      <c r="H183" s="169"/>
      <c r="I183" s="164"/>
      <c r="J183" s="220"/>
      <c r="K183" s="220"/>
      <c r="M183" s="220"/>
    </row>
    <row r="184" spans="1:13" s="7" customFormat="1" ht="27" customHeight="1" x14ac:dyDescent="0.65">
      <c r="A184" s="217"/>
      <c r="B184" s="36"/>
      <c r="C184" s="4"/>
      <c r="D184" s="4"/>
      <c r="E184" s="10"/>
      <c r="F184" s="11"/>
      <c r="G184" s="229"/>
      <c r="H184" s="169"/>
      <c r="I184" s="164"/>
      <c r="J184" s="220"/>
      <c r="K184" s="220"/>
      <c r="M184" s="220"/>
    </row>
    <row r="185" spans="1:13" s="7" customFormat="1" ht="27" customHeight="1" x14ac:dyDescent="0.65">
      <c r="A185" s="217"/>
      <c r="B185" s="36"/>
      <c r="C185" s="4"/>
      <c r="D185" s="4"/>
      <c r="E185" s="10"/>
      <c r="F185" s="11"/>
      <c r="G185" s="229"/>
      <c r="H185" s="169"/>
      <c r="I185" s="169"/>
      <c r="J185" s="220"/>
      <c r="K185" s="220"/>
      <c r="M185" s="220"/>
    </row>
    <row r="186" spans="1:13" s="7" customFormat="1" ht="27" customHeight="1" x14ac:dyDescent="0.65">
      <c r="A186" s="217"/>
      <c r="B186" s="36"/>
      <c r="C186" s="4"/>
      <c r="D186" s="4"/>
      <c r="E186" s="10"/>
      <c r="F186" s="11"/>
      <c r="G186" s="229"/>
      <c r="H186" s="169"/>
      <c r="I186" s="169"/>
      <c r="J186" s="220"/>
      <c r="K186" s="220"/>
      <c r="M186" s="220"/>
    </row>
    <row r="187" spans="1:13" s="7" customFormat="1" ht="27" customHeight="1" x14ac:dyDescent="0.65">
      <c r="A187" s="217"/>
      <c r="B187" s="36"/>
      <c r="C187" s="4"/>
      <c r="D187" s="4"/>
      <c r="E187" s="10"/>
      <c r="F187" s="11"/>
      <c r="G187" s="229"/>
      <c r="H187" s="169"/>
      <c r="I187" s="165"/>
      <c r="J187" s="216"/>
      <c r="K187" s="220"/>
      <c r="M187" s="220"/>
    </row>
    <row r="188" spans="1:13" s="7" customFormat="1" ht="27" customHeight="1" x14ac:dyDescent="0.65">
      <c r="A188" s="217"/>
      <c r="B188" s="36"/>
      <c r="C188" s="4"/>
      <c r="D188" s="4"/>
      <c r="E188" s="10"/>
      <c r="F188" s="11"/>
      <c r="G188" s="229"/>
      <c r="H188" s="169"/>
      <c r="I188" s="164"/>
      <c r="J188" s="220"/>
      <c r="K188" s="220"/>
      <c r="M188" s="220"/>
    </row>
    <row r="189" spans="1:13" s="7" customFormat="1" ht="27" customHeight="1" x14ac:dyDescent="0.65">
      <c r="A189" s="217"/>
      <c r="B189" s="36"/>
      <c r="C189" s="4"/>
      <c r="D189" s="4"/>
      <c r="E189" s="10"/>
      <c r="F189" s="11"/>
      <c r="G189" s="229"/>
      <c r="H189" s="169"/>
      <c r="I189" s="169"/>
      <c r="J189" s="220"/>
      <c r="K189" s="220"/>
      <c r="M189" s="220"/>
    </row>
    <row r="190" spans="1:13" s="7" customFormat="1" ht="27" customHeight="1" x14ac:dyDescent="0.65">
      <c r="A190" s="217"/>
      <c r="B190" s="36"/>
      <c r="C190" s="4"/>
      <c r="D190" s="4"/>
      <c r="E190" s="10"/>
      <c r="F190" s="11"/>
      <c r="G190" s="229"/>
      <c r="H190" s="169"/>
      <c r="I190" s="169"/>
      <c r="J190" s="220"/>
      <c r="K190" s="220"/>
      <c r="M190" s="220"/>
    </row>
    <row r="191" spans="1:13" s="7" customFormat="1" ht="27" customHeight="1" x14ac:dyDescent="0.65">
      <c r="A191" s="217"/>
      <c r="B191" s="35"/>
      <c r="C191" s="5"/>
      <c r="D191" s="4"/>
      <c r="E191" s="10"/>
      <c r="F191" s="11"/>
      <c r="G191" s="229"/>
      <c r="H191" s="175"/>
      <c r="I191" s="169"/>
      <c r="J191" s="220"/>
      <c r="K191" s="220"/>
      <c r="M191" s="220"/>
    </row>
    <row r="192" spans="1:13" s="7" customFormat="1" ht="27" customHeight="1" x14ac:dyDescent="0.65">
      <c r="A192" s="217"/>
      <c r="B192" s="36"/>
      <c r="C192" s="4"/>
      <c r="D192" s="4"/>
      <c r="E192" s="10"/>
      <c r="F192" s="11"/>
      <c r="G192" s="229"/>
      <c r="H192" s="175"/>
      <c r="I192" s="167"/>
      <c r="J192" s="220"/>
      <c r="K192" s="220"/>
      <c r="M192" s="220"/>
    </row>
    <row r="193" spans="1:13" s="7" customFormat="1" ht="26.25" customHeight="1" x14ac:dyDescent="0.65">
      <c r="A193" s="217"/>
      <c r="B193" s="36"/>
      <c r="C193" s="4"/>
      <c r="D193" s="4"/>
      <c r="E193" s="10"/>
      <c r="F193" s="29"/>
      <c r="G193" s="229"/>
      <c r="H193" s="169"/>
      <c r="I193" s="169"/>
      <c r="J193" s="220"/>
      <c r="K193" s="220"/>
      <c r="M193" s="220"/>
    </row>
    <row r="194" spans="1:13" s="7" customFormat="1" ht="27" customHeight="1" x14ac:dyDescent="0.65">
      <c r="A194" s="217"/>
      <c r="B194" s="36"/>
      <c r="C194" s="4"/>
      <c r="D194" s="4"/>
      <c r="E194" s="10"/>
      <c r="F194" s="29"/>
      <c r="G194" s="229"/>
      <c r="H194" s="169"/>
      <c r="I194" s="165"/>
      <c r="J194" s="220"/>
      <c r="K194" s="220"/>
      <c r="M194" s="220"/>
    </row>
    <row r="195" spans="1:13" s="7" customFormat="1" ht="27" customHeight="1" x14ac:dyDescent="0.65">
      <c r="A195" s="217"/>
      <c r="B195" s="36"/>
      <c r="C195" s="4"/>
      <c r="D195" s="4"/>
      <c r="E195" s="10"/>
      <c r="F195" s="29"/>
      <c r="G195" s="229"/>
      <c r="H195" s="169"/>
      <c r="I195" s="164"/>
      <c r="J195" s="220"/>
      <c r="K195" s="220"/>
      <c r="M195" s="220"/>
    </row>
    <row r="196" spans="1:13" s="7" customFormat="1" ht="27" customHeight="1" x14ac:dyDescent="0.65">
      <c r="A196" s="217"/>
      <c r="B196" s="36"/>
      <c r="C196" s="4"/>
      <c r="D196" s="4"/>
      <c r="E196" s="10"/>
      <c r="F196" s="29"/>
      <c r="G196" s="229"/>
      <c r="H196" s="169"/>
      <c r="I196" s="164"/>
      <c r="J196" s="220"/>
      <c r="K196" s="220"/>
      <c r="M196" s="220"/>
    </row>
    <row r="197" spans="1:13" s="7" customFormat="1" ht="27" customHeight="1" x14ac:dyDescent="0.65">
      <c r="A197" s="217"/>
      <c r="B197" s="36"/>
      <c r="C197" s="4"/>
      <c r="D197" s="4"/>
      <c r="E197" s="10"/>
      <c r="F197" s="11"/>
      <c r="G197" s="229"/>
      <c r="H197" s="169"/>
      <c r="I197" s="164"/>
      <c r="J197" s="220"/>
      <c r="K197" s="220"/>
      <c r="M197" s="220"/>
    </row>
    <row r="198" spans="1:13" s="7" customFormat="1" ht="27" customHeight="1" x14ac:dyDescent="0.65">
      <c r="A198" s="217"/>
      <c r="B198" s="36"/>
      <c r="C198" s="4"/>
      <c r="D198" s="4"/>
      <c r="E198" s="10"/>
      <c r="F198" s="11"/>
      <c r="G198" s="229"/>
      <c r="H198" s="169"/>
      <c r="I198" s="164"/>
      <c r="J198" s="220"/>
      <c r="K198" s="220"/>
      <c r="M198" s="220"/>
    </row>
    <row r="199" spans="1:13" s="7" customFormat="1" ht="27" customHeight="1" x14ac:dyDescent="0.65">
      <c r="A199" s="217"/>
      <c r="B199" s="36"/>
      <c r="C199" s="4"/>
      <c r="D199" s="4"/>
      <c r="E199" s="10"/>
      <c r="F199" s="11"/>
      <c r="G199" s="229"/>
      <c r="H199" s="169"/>
      <c r="I199" s="164"/>
      <c r="J199" s="220"/>
      <c r="K199" s="220"/>
      <c r="M199" s="220"/>
    </row>
    <row r="200" spans="1:13" s="7" customFormat="1" ht="27" customHeight="1" x14ac:dyDescent="0.65">
      <c r="A200" s="217"/>
      <c r="B200" s="36"/>
      <c r="C200" s="4"/>
      <c r="D200" s="4"/>
      <c r="E200" s="10"/>
      <c r="F200" s="11"/>
      <c r="G200" s="229"/>
      <c r="H200" s="169"/>
      <c r="I200" s="164"/>
      <c r="J200" s="220"/>
      <c r="K200" s="220"/>
      <c r="M200" s="220"/>
    </row>
    <row r="201" spans="1:13" s="7" customFormat="1" ht="27" customHeight="1" x14ac:dyDescent="0.65">
      <c r="A201" s="217"/>
      <c r="B201" s="36"/>
      <c r="C201" s="4"/>
      <c r="D201" s="4"/>
      <c r="E201" s="10"/>
      <c r="F201" s="11"/>
      <c r="G201" s="229"/>
      <c r="H201" s="169"/>
      <c r="I201" s="164"/>
      <c r="J201" s="220"/>
      <c r="K201" s="220"/>
      <c r="M201" s="220"/>
    </row>
    <row r="202" spans="1:13" s="7" customFormat="1" ht="27" customHeight="1" x14ac:dyDescent="0.65">
      <c r="A202" s="217"/>
      <c r="B202" s="36"/>
      <c r="C202" s="4"/>
      <c r="D202" s="4"/>
      <c r="E202" s="10"/>
      <c r="F202" s="11"/>
      <c r="G202" s="229"/>
      <c r="H202" s="169"/>
      <c r="I202" s="169"/>
      <c r="J202" s="220"/>
      <c r="K202" s="220"/>
      <c r="M202" s="220"/>
    </row>
    <row r="203" spans="1:13" ht="27" customHeight="1" x14ac:dyDescent="0.6">
      <c r="A203" s="217"/>
      <c r="B203" s="36"/>
      <c r="C203" s="4"/>
      <c r="D203" s="4"/>
      <c r="E203" s="10"/>
      <c r="F203" s="11"/>
      <c r="G203" s="229"/>
      <c r="H203" s="169"/>
      <c r="I203" s="165"/>
      <c r="J203" s="216"/>
      <c r="K203" s="216"/>
      <c r="M203" s="216"/>
    </row>
    <row r="204" spans="1:13" s="7" customFormat="1" ht="27" customHeight="1" x14ac:dyDescent="0.65">
      <c r="A204" s="217"/>
      <c r="B204" s="35"/>
      <c r="C204" s="4"/>
      <c r="D204" s="4"/>
      <c r="E204" s="10"/>
      <c r="F204" s="11"/>
      <c r="G204" s="229"/>
      <c r="H204" s="169"/>
      <c r="I204" s="169"/>
      <c r="J204" s="220"/>
      <c r="K204" s="220"/>
      <c r="M204" s="220"/>
    </row>
    <row r="205" spans="1:13" s="7" customFormat="1" ht="27" customHeight="1" x14ac:dyDescent="0.65">
      <c r="A205" s="217"/>
      <c r="B205" s="36"/>
      <c r="C205" s="4"/>
      <c r="D205" s="4"/>
      <c r="E205" s="10"/>
      <c r="F205" s="11"/>
      <c r="G205" s="229"/>
      <c r="H205" s="169"/>
      <c r="I205" s="164"/>
      <c r="J205" s="220"/>
      <c r="K205" s="220"/>
      <c r="M205" s="220"/>
    </row>
    <row r="206" spans="1:13" s="7" customFormat="1" ht="27" customHeight="1" x14ac:dyDescent="0.65">
      <c r="A206" s="219"/>
      <c r="B206" s="46"/>
      <c r="C206" s="13"/>
      <c r="D206" s="4"/>
      <c r="E206" s="10"/>
      <c r="F206" s="29"/>
      <c r="G206" s="229"/>
      <c r="H206" s="180"/>
      <c r="I206" s="166"/>
      <c r="J206" s="233"/>
      <c r="K206" s="220"/>
      <c r="M206" s="220"/>
    </row>
    <row r="207" spans="1:13" s="7" customFormat="1" ht="27" customHeight="1" x14ac:dyDescent="0.65">
      <c r="A207" s="217"/>
      <c r="B207" s="38"/>
      <c r="C207" s="4"/>
      <c r="D207" s="4"/>
      <c r="E207" s="10"/>
      <c r="F207" s="29"/>
      <c r="G207" s="229"/>
      <c r="H207" s="169"/>
      <c r="I207" s="169"/>
      <c r="J207" s="220"/>
      <c r="K207" s="220"/>
      <c r="M207" s="220"/>
    </row>
    <row r="208" spans="1:13" s="7" customFormat="1" ht="27" customHeight="1" x14ac:dyDescent="0.65">
      <c r="A208" s="217"/>
      <c r="B208" s="36"/>
      <c r="C208" s="4"/>
      <c r="D208" s="4"/>
      <c r="E208" s="10"/>
      <c r="F208" s="29"/>
      <c r="G208" s="229"/>
      <c r="H208" s="169"/>
      <c r="I208" s="164"/>
      <c r="J208" s="220"/>
      <c r="K208" s="220"/>
      <c r="M208" s="220"/>
    </row>
    <row r="209" spans="1:13" s="7" customFormat="1" ht="27" customHeight="1" x14ac:dyDescent="0.65">
      <c r="A209" s="217"/>
      <c r="B209" s="36"/>
      <c r="C209" s="4"/>
      <c r="D209" s="4"/>
      <c r="E209" s="10"/>
      <c r="F209" s="29"/>
      <c r="G209" s="229"/>
      <c r="H209" s="169"/>
      <c r="I209" s="165"/>
      <c r="J209" s="220"/>
      <c r="K209" s="220"/>
      <c r="M209" s="220"/>
    </row>
    <row r="210" spans="1:13" s="7" customFormat="1" ht="27" customHeight="1" x14ac:dyDescent="0.65">
      <c r="A210" s="217"/>
      <c r="B210" s="36"/>
      <c r="C210" s="4"/>
      <c r="D210" s="4"/>
      <c r="E210" s="10"/>
      <c r="F210" s="52"/>
      <c r="G210" s="229"/>
      <c r="H210" s="169"/>
      <c r="I210" s="169"/>
      <c r="J210" s="220"/>
      <c r="K210" s="220"/>
      <c r="M210" s="220"/>
    </row>
    <row r="211" spans="1:13" ht="27" customHeight="1" x14ac:dyDescent="0.6">
      <c r="A211" s="217"/>
      <c r="B211" s="36"/>
      <c r="C211" s="4"/>
      <c r="D211" s="4"/>
      <c r="E211" s="10"/>
      <c r="F211" s="29"/>
      <c r="G211" s="229"/>
      <c r="H211" s="169"/>
      <c r="I211" s="165"/>
      <c r="J211" s="216"/>
      <c r="K211" s="216"/>
      <c r="M211" s="216"/>
    </row>
    <row r="212" spans="1:13" s="7" customFormat="1" ht="27" customHeight="1" x14ac:dyDescent="0.65">
      <c r="A212" s="217"/>
      <c r="B212" s="36"/>
      <c r="C212" s="4"/>
      <c r="D212" s="4"/>
      <c r="E212" s="10"/>
      <c r="F212" s="29"/>
      <c r="G212" s="229"/>
      <c r="H212" s="169"/>
      <c r="I212" s="164"/>
      <c r="J212" s="220"/>
      <c r="K212" s="220"/>
      <c r="M212" s="220"/>
    </row>
    <row r="213" spans="1:13" s="7" customFormat="1" ht="27" customHeight="1" x14ac:dyDescent="0.65">
      <c r="A213" s="217"/>
      <c r="B213" s="36"/>
      <c r="C213" s="4"/>
      <c r="D213" s="4"/>
      <c r="E213" s="10"/>
      <c r="F213" s="29"/>
      <c r="G213" s="229"/>
      <c r="H213" s="169"/>
      <c r="I213" s="169"/>
      <c r="J213" s="220"/>
      <c r="K213" s="220"/>
      <c r="M213" s="220"/>
    </row>
    <row r="214" spans="1:13" s="7" customFormat="1" ht="27" customHeight="1" x14ac:dyDescent="0.65">
      <c r="A214" s="217"/>
      <c r="B214" s="36"/>
      <c r="C214" s="4"/>
      <c r="D214" s="4"/>
      <c r="E214" s="10"/>
      <c r="F214" s="11"/>
      <c r="G214" s="229"/>
      <c r="H214" s="169"/>
      <c r="I214" s="169"/>
      <c r="J214" s="220">
        <v>0</v>
      </c>
      <c r="K214" s="220"/>
      <c r="M214" s="220"/>
    </row>
    <row r="215" spans="1:13" s="7" customFormat="1" ht="27" customHeight="1" x14ac:dyDescent="0.65">
      <c r="A215" s="217"/>
      <c r="B215" s="36"/>
      <c r="C215" s="4"/>
      <c r="D215" s="4"/>
      <c r="E215" s="10"/>
      <c r="F215" s="11"/>
      <c r="G215" s="229"/>
      <c r="H215" s="169"/>
      <c r="I215" s="169"/>
      <c r="J215" s="220"/>
      <c r="K215" s="220"/>
      <c r="M215" s="220"/>
    </row>
    <row r="216" spans="1:13" s="7" customFormat="1" ht="27" customHeight="1" x14ac:dyDescent="0.65">
      <c r="A216" s="217"/>
      <c r="B216" s="36"/>
      <c r="C216" s="4"/>
      <c r="D216" s="4"/>
      <c r="E216" s="10"/>
      <c r="F216" s="11"/>
      <c r="G216" s="229"/>
      <c r="H216" s="169"/>
      <c r="I216" s="169"/>
      <c r="J216" s="220"/>
      <c r="K216" s="220"/>
      <c r="M216" s="220"/>
    </row>
    <row r="217" spans="1:13" s="7" customFormat="1" ht="27" customHeight="1" x14ac:dyDescent="0.65">
      <c r="A217" s="217"/>
      <c r="B217" s="36"/>
      <c r="C217" s="4"/>
      <c r="D217" s="4"/>
      <c r="E217" s="10"/>
      <c r="F217" s="11"/>
      <c r="G217" s="229"/>
      <c r="H217" s="169"/>
      <c r="I217" s="169"/>
      <c r="J217" s="220"/>
      <c r="K217" s="220"/>
      <c r="M217" s="220"/>
    </row>
    <row r="218" spans="1:13" s="7" customFormat="1" ht="27" customHeight="1" x14ac:dyDescent="0.65">
      <c r="A218" s="217"/>
      <c r="B218" s="36"/>
      <c r="C218" s="4"/>
      <c r="D218" s="4"/>
      <c r="E218" s="10"/>
      <c r="F218" s="11"/>
      <c r="G218" s="229"/>
      <c r="H218" s="169"/>
      <c r="I218" s="169"/>
      <c r="J218" s="220"/>
      <c r="K218" s="220"/>
      <c r="M218" s="220"/>
    </row>
    <row r="219" spans="1:13" s="7" customFormat="1" ht="27" customHeight="1" x14ac:dyDescent="0.65">
      <c r="A219" s="217"/>
      <c r="B219" s="36"/>
      <c r="C219" s="4"/>
      <c r="D219" s="4"/>
      <c r="E219" s="6"/>
      <c r="F219" s="11"/>
      <c r="G219" s="229"/>
      <c r="H219" s="169"/>
      <c r="I219" s="165"/>
      <c r="J219" s="216"/>
      <c r="K219" s="220"/>
      <c r="M219" s="220"/>
    </row>
    <row r="220" spans="1:13" s="7" customFormat="1" ht="27" customHeight="1" x14ac:dyDescent="0.65">
      <c r="A220" s="217"/>
      <c r="B220" s="36"/>
      <c r="C220" s="4"/>
      <c r="D220" s="4"/>
      <c r="E220" s="10"/>
      <c r="F220" s="11"/>
      <c r="G220" s="229"/>
      <c r="H220" s="169"/>
      <c r="I220" s="169"/>
      <c r="J220" s="220"/>
      <c r="K220" s="220"/>
      <c r="M220" s="220"/>
    </row>
    <row r="221" spans="1:13" s="7" customFormat="1" ht="27" customHeight="1" x14ac:dyDescent="0.65">
      <c r="A221" s="217"/>
      <c r="B221" s="36"/>
      <c r="C221" s="4"/>
      <c r="D221" s="4"/>
      <c r="E221" s="10"/>
      <c r="F221" s="11"/>
      <c r="G221" s="229"/>
      <c r="H221" s="169"/>
      <c r="I221" s="169"/>
      <c r="J221" s="220"/>
      <c r="K221" s="220"/>
      <c r="M221" s="220"/>
    </row>
    <row r="222" spans="1:13" s="7" customFormat="1" ht="27" customHeight="1" x14ac:dyDescent="0.65">
      <c r="A222" s="217"/>
      <c r="B222" s="36"/>
      <c r="C222" s="4"/>
      <c r="D222" s="4"/>
      <c r="E222" s="10"/>
      <c r="F222" s="11"/>
      <c r="G222" s="229"/>
      <c r="H222" s="169"/>
      <c r="I222" s="169"/>
      <c r="J222" s="220"/>
      <c r="K222" s="220"/>
      <c r="M222" s="220"/>
    </row>
    <row r="223" spans="1:13" s="7" customFormat="1" ht="27" customHeight="1" x14ac:dyDescent="0.65">
      <c r="A223" s="217"/>
      <c r="B223" s="36"/>
      <c r="C223" s="4"/>
      <c r="D223" s="4"/>
      <c r="E223" s="10"/>
      <c r="F223" s="11"/>
      <c r="G223" s="229"/>
      <c r="H223" s="169"/>
      <c r="I223" s="169"/>
      <c r="J223" s="220"/>
      <c r="K223" s="220"/>
      <c r="M223" s="220"/>
    </row>
    <row r="224" spans="1:13" s="7" customFormat="1" ht="27" customHeight="1" x14ac:dyDescent="0.65">
      <c r="A224" s="217"/>
      <c r="B224" s="36"/>
      <c r="C224" s="4"/>
      <c r="D224" s="4"/>
      <c r="E224" s="10"/>
      <c r="F224" s="11"/>
      <c r="G224" s="229"/>
      <c r="H224" s="169"/>
      <c r="I224" s="169"/>
      <c r="J224" s="220"/>
      <c r="K224" s="220"/>
      <c r="M224" s="220"/>
    </row>
    <row r="225" spans="1:13" s="7" customFormat="1" ht="27" customHeight="1" x14ac:dyDescent="0.65">
      <c r="A225" s="217"/>
      <c r="B225" s="36"/>
      <c r="C225" s="4"/>
      <c r="D225" s="4"/>
      <c r="E225" s="10"/>
      <c r="F225" s="11"/>
      <c r="G225" s="229"/>
      <c r="H225" s="169"/>
      <c r="I225" s="169"/>
      <c r="J225" s="220"/>
      <c r="K225" s="220"/>
      <c r="M225" s="220"/>
    </row>
    <row r="226" spans="1:13" s="7" customFormat="1" ht="27" customHeight="1" x14ac:dyDescent="0.65">
      <c r="A226" s="217"/>
      <c r="B226" s="36"/>
      <c r="C226" s="4"/>
      <c r="D226" s="4"/>
      <c r="E226" s="6"/>
      <c r="F226" s="11"/>
      <c r="G226" s="229"/>
      <c r="H226" s="169"/>
      <c r="I226" s="169"/>
      <c r="J226" s="220"/>
      <c r="K226" s="220"/>
      <c r="M226" s="220"/>
    </row>
    <row r="227" spans="1:13" s="7" customFormat="1" ht="27" customHeight="1" x14ac:dyDescent="0.65">
      <c r="A227" s="217"/>
      <c r="B227" s="36"/>
      <c r="C227" s="4"/>
      <c r="D227" s="4"/>
      <c r="E227" s="6"/>
      <c r="F227" s="11"/>
      <c r="G227" s="229"/>
      <c r="H227" s="169"/>
      <c r="I227" s="165"/>
      <c r="J227" s="220"/>
      <c r="K227" s="220"/>
      <c r="M227" s="220"/>
    </row>
    <row r="228" spans="1:13" s="7" customFormat="1" ht="27" customHeight="1" x14ac:dyDescent="0.65">
      <c r="A228" s="217"/>
      <c r="B228" s="36"/>
      <c r="C228" s="4"/>
      <c r="D228" s="4"/>
      <c r="E228" s="6"/>
      <c r="F228" s="11"/>
      <c r="G228" s="229"/>
      <c r="H228" s="169"/>
      <c r="I228" s="169"/>
      <c r="J228" s="220"/>
      <c r="K228" s="220"/>
      <c r="M228" s="220"/>
    </row>
    <row r="229" spans="1:13" s="7" customFormat="1" ht="27" customHeight="1" x14ac:dyDescent="0.65">
      <c r="A229" s="217"/>
      <c r="B229" s="36"/>
      <c r="C229" s="4"/>
      <c r="D229" s="4"/>
      <c r="E229" s="10"/>
      <c r="F229" s="11"/>
      <c r="G229" s="229"/>
      <c r="H229" s="169"/>
      <c r="I229" s="169"/>
      <c r="J229" s="220"/>
      <c r="K229" s="220"/>
      <c r="M229" s="220"/>
    </row>
    <row r="230" spans="1:13" s="7" customFormat="1" ht="27" customHeight="1" x14ac:dyDescent="0.65">
      <c r="A230" s="217"/>
      <c r="B230" s="36"/>
      <c r="C230" s="4"/>
      <c r="D230" s="4"/>
      <c r="E230" s="10"/>
      <c r="F230" s="11"/>
      <c r="G230" s="229"/>
      <c r="H230" s="169"/>
      <c r="I230" s="164"/>
      <c r="J230" s="220"/>
      <c r="K230" s="220"/>
      <c r="M230" s="220"/>
    </row>
    <row r="231" spans="1:13" ht="27" customHeight="1" x14ac:dyDescent="0.6">
      <c r="A231" s="217"/>
      <c r="B231" s="36"/>
      <c r="C231" s="4"/>
      <c r="D231" s="4"/>
      <c r="E231" s="10"/>
      <c r="F231" s="11"/>
      <c r="G231" s="229"/>
      <c r="H231" s="169"/>
      <c r="I231" s="165"/>
      <c r="J231" s="216"/>
      <c r="K231" s="216"/>
      <c r="M231" s="216"/>
    </row>
    <row r="232" spans="1:13" s="7" customFormat="1" ht="27" customHeight="1" x14ac:dyDescent="0.65">
      <c r="A232" s="217"/>
      <c r="B232" s="36"/>
      <c r="C232" s="4"/>
      <c r="D232" s="4"/>
      <c r="E232" s="10"/>
      <c r="F232" s="11"/>
      <c r="G232" s="229"/>
      <c r="H232" s="169"/>
      <c r="I232" s="164"/>
      <c r="J232" s="220"/>
      <c r="K232" s="220"/>
      <c r="M232" s="220"/>
    </row>
    <row r="233" spans="1:13" s="7" customFormat="1" ht="27" customHeight="1" x14ac:dyDescent="0.65">
      <c r="A233" s="217"/>
      <c r="B233" s="36"/>
      <c r="C233" s="4"/>
      <c r="D233" s="4"/>
      <c r="E233" s="10"/>
      <c r="F233" s="11"/>
      <c r="G233" s="229"/>
      <c r="H233" s="169"/>
      <c r="I233" s="164"/>
      <c r="J233" s="220"/>
      <c r="K233" s="220"/>
      <c r="M233" s="220"/>
    </row>
    <row r="234" spans="1:13" s="7" customFormat="1" ht="27" customHeight="1" x14ac:dyDescent="0.65">
      <c r="A234" s="217"/>
      <c r="B234" s="36"/>
      <c r="C234" s="4"/>
      <c r="D234" s="4"/>
      <c r="E234" s="10"/>
      <c r="F234" s="11"/>
      <c r="G234" s="229"/>
      <c r="H234" s="169"/>
      <c r="I234" s="164"/>
      <c r="J234" s="220"/>
      <c r="K234" s="220"/>
      <c r="M234" s="220"/>
    </row>
    <row r="235" spans="1:13" s="7" customFormat="1" ht="27" customHeight="1" x14ac:dyDescent="0.65">
      <c r="A235" s="217"/>
      <c r="B235" s="36"/>
      <c r="C235" s="4"/>
      <c r="D235" s="4"/>
      <c r="E235" s="10"/>
      <c r="F235" s="11"/>
      <c r="G235" s="229"/>
      <c r="H235" s="169"/>
      <c r="I235" s="164"/>
      <c r="J235" s="220"/>
      <c r="K235" s="220"/>
      <c r="M235" s="220"/>
    </row>
    <row r="236" spans="1:13" s="7" customFormat="1" ht="23.25" customHeight="1" x14ac:dyDescent="0.65">
      <c r="A236" s="217"/>
      <c r="B236" s="36"/>
      <c r="C236" s="4"/>
      <c r="D236" s="4"/>
      <c r="E236" s="10"/>
      <c r="F236" s="11"/>
      <c r="G236" s="229"/>
      <c r="H236" s="169"/>
      <c r="I236" s="164"/>
      <c r="J236" s="220"/>
      <c r="K236" s="220"/>
      <c r="M236" s="220"/>
    </row>
    <row r="237" spans="1:13" s="7" customFormat="1" ht="27" customHeight="1" x14ac:dyDescent="0.65">
      <c r="A237" s="217"/>
      <c r="B237" s="36"/>
      <c r="C237" s="4"/>
      <c r="D237" s="4"/>
      <c r="E237" s="10"/>
      <c r="F237" s="11"/>
      <c r="G237" s="229"/>
      <c r="H237" s="169"/>
      <c r="I237" s="164"/>
      <c r="J237" s="220"/>
      <c r="K237" s="220"/>
      <c r="M237" s="220"/>
    </row>
    <row r="238" spans="1:13" s="7" customFormat="1" ht="27" customHeight="1" x14ac:dyDescent="0.65">
      <c r="A238" s="217"/>
      <c r="B238" s="36"/>
      <c r="C238" s="4"/>
      <c r="D238" s="4"/>
      <c r="E238" s="10"/>
      <c r="F238" s="11"/>
      <c r="G238" s="229"/>
      <c r="H238" s="169"/>
      <c r="I238" s="164"/>
      <c r="J238" s="220"/>
      <c r="K238" s="220"/>
      <c r="M238" s="220"/>
    </row>
    <row r="239" spans="1:13" s="7" customFormat="1" ht="27" customHeight="1" x14ac:dyDescent="0.65">
      <c r="A239" s="217"/>
      <c r="B239" s="36"/>
      <c r="C239" s="4"/>
      <c r="D239" s="4"/>
      <c r="E239" s="10"/>
      <c r="F239" s="11"/>
      <c r="G239" s="229"/>
      <c r="H239" s="169"/>
      <c r="I239" s="164"/>
      <c r="J239" s="220"/>
      <c r="K239" s="220"/>
      <c r="M239" s="220"/>
    </row>
    <row r="240" spans="1:13" s="7" customFormat="1" ht="30" customHeight="1" x14ac:dyDescent="0.65">
      <c r="A240" s="217"/>
      <c r="B240" s="36"/>
      <c r="C240" s="4"/>
      <c r="D240" s="4"/>
      <c r="E240" s="10"/>
      <c r="F240" s="11"/>
      <c r="G240" s="229"/>
      <c r="H240" s="169"/>
      <c r="I240" s="164"/>
      <c r="J240" s="220"/>
      <c r="K240" s="220"/>
      <c r="M240" s="220"/>
    </row>
    <row r="241" spans="1:13" s="7" customFormat="1" ht="27" customHeight="1" x14ac:dyDescent="0.65">
      <c r="A241" s="217"/>
      <c r="B241" s="36"/>
      <c r="C241" s="4"/>
      <c r="D241" s="4"/>
      <c r="E241" s="10"/>
      <c r="F241" s="11"/>
      <c r="G241" s="229"/>
      <c r="H241" s="169"/>
      <c r="I241" s="164"/>
      <c r="J241" s="220"/>
      <c r="K241" s="220"/>
      <c r="M241" s="220"/>
    </row>
    <row r="242" spans="1:13" s="7" customFormat="1" ht="27" customHeight="1" x14ac:dyDescent="0.65">
      <c r="A242" s="217"/>
      <c r="B242" s="36"/>
      <c r="C242" s="4"/>
      <c r="D242" s="4"/>
      <c r="E242" s="10"/>
      <c r="F242" s="11"/>
      <c r="G242" s="229"/>
      <c r="H242" s="169"/>
      <c r="I242" s="164"/>
      <c r="J242" s="220"/>
      <c r="K242" s="220"/>
      <c r="M242" s="220"/>
    </row>
    <row r="243" spans="1:13" s="7" customFormat="1" ht="28.5" x14ac:dyDescent="0.65">
      <c r="A243" s="218"/>
      <c r="B243" s="36"/>
      <c r="C243" s="4"/>
      <c r="D243" s="4"/>
      <c r="E243" s="10"/>
      <c r="F243" s="11"/>
      <c r="G243" s="229"/>
      <c r="H243" s="169"/>
      <c r="I243" s="164"/>
      <c r="J243" s="220"/>
      <c r="K243" s="220"/>
      <c r="M243" s="220"/>
    </row>
    <row r="244" spans="1:13" s="7" customFormat="1" ht="27" customHeight="1" x14ac:dyDescent="0.65">
      <c r="A244" s="217"/>
      <c r="B244" s="36"/>
      <c r="C244" s="4"/>
      <c r="D244" s="4"/>
      <c r="E244" s="10"/>
      <c r="F244" s="11"/>
      <c r="G244" s="229"/>
      <c r="H244" s="169"/>
      <c r="I244" s="164"/>
      <c r="J244" s="220"/>
      <c r="K244" s="220"/>
      <c r="M244" s="220"/>
    </row>
    <row r="245" spans="1:13" s="7" customFormat="1" ht="27" customHeight="1" x14ac:dyDescent="0.65">
      <c r="A245" s="217"/>
      <c r="B245" s="36"/>
      <c r="C245" s="4"/>
      <c r="D245" s="4"/>
      <c r="E245" s="10"/>
      <c r="F245" s="11"/>
      <c r="G245" s="229"/>
      <c r="H245" s="169"/>
      <c r="I245" s="164"/>
      <c r="J245" s="220"/>
      <c r="K245" s="220"/>
      <c r="M245" s="220"/>
    </row>
    <row r="246" spans="1:13" s="7" customFormat="1" ht="27" customHeight="1" x14ac:dyDescent="0.65">
      <c r="A246" s="217"/>
      <c r="B246" s="36"/>
      <c r="C246" s="4"/>
      <c r="D246" s="4"/>
      <c r="E246" s="10"/>
      <c r="F246" s="11"/>
      <c r="G246" s="229"/>
      <c r="H246" s="169"/>
      <c r="I246" s="164"/>
      <c r="J246" s="220"/>
      <c r="K246" s="220"/>
      <c r="M246" s="220"/>
    </row>
    <row r="247" spans="1:13" s="7" customFormat="1" ht="27" customHeight="1" x14ac:dyDescent="0.65">
      <c r="A247" s="217"/>
      <c r="B247" s="36"/>
      <c r="C247" s="4"/>
      <c r="D247" s="4"/>
      <c r="E247" s="10"/>
      <c r="F247" s="11"/>
      <c r="G247" s="229"/>
      <c r="H247" s="169"/>
      <c r="I247" s="164"/>
      <c r="J247" s="220"/>
      <c r="K247" s="220"/>
      <c r="M247" s="220"/>
    </row>
    <row r="248" spans="1:13" s="7" customFormat="1" ht="27" customHeight="1" x14ac:dyDescent="0.65">
      <c r="A248" s="217"/>
      <c r="B248" s="36"/>
      <c r="C248" s="4"/>
      <c r="D248" s="4"/>
      <c r="E248" s="10"/>
      <c r="F248" s="11"/>
      <c r="G248" s="229"/>
      <c r="H248" s="169"/>
      <c r="I248" s="164"/>
      <c r="J248" s="220"/>
      <c r="K248" s="220"/>
      <c r="M248" s="220"/>
    </row>
    <row r="249" spans="1:13" s="7" customFormat="1" ht="27" customHeight="1" x14ac:dyDescent="0.65">
      <c r="A249" s="217"/>
      <c r="B249" s="36"/>
      <c r="C249" s="4"/>
      <c r="D249" s="4"/>
      <c r="E249" s="10"/>
      <c r="F249" s="11"/>
      <c r="G249" s="229"/>
      <c r="H249" s="169"/>
      <c r="I249" s="164"/>
      <c r="J249" s="220"/>
      <c r="K249" s="220"/>
      <c r="M249" s="220"/>
    </row>
    <row r="250" spans="1:13" s="7" customFormat="1" ht="27" customHeight="1" x14ac:dyDescent="0.65">
      <c r="A250" s="217"/>
      <c r="B250" s="36"/>
      <c r="C250" s="5"/>
      <c r="D250" s="4"/>
      <c r="E250" s="10"/>
      <c r="F250" s="11"/>
      <c r="G250" s="229"/>
      <c r="H250" s="169"/>
      <c r="I250" s="164"/>
      <c r="J250" s="220"/>
      <c r="K250" s="220"/>
      <c r="M250" s="220"/>
    </row>
    <row r="251" spans="1:13" s="7" customFormat="1" ht="27" customHeight="1" x14ac:dyDescent="0.65">
      <c r="A251" s="217"/>
      <c r="B251" s="36"/>
      <c r="C251" s="4"/>
      <c r="D251" s="4"/>
      <c r="E251" s="10"/>
      <c r="F251" s="11"/>
      <c r="G251" s="229"/>
      <c r="H251" s="169"/>
      <c r="I251" s="164"/>
      <c r="J251" s="220"/>
      <c r="K251" s="220"/>
      <c r="M251" s="220"/>
    </row>
    <row r="252" spans="1:13" s="7" customFormat="1" ht="27" customHeight="1" x14ac:dyDescent="0.65">
      <c r="A252" s="217"/>
      <c r="B252" s="36"/>
      <c r="C252" s="4"/>
      <c r="D252" s="4"/>
      <c r="E252" s="10"/>
      <c r="F252" s="11"/>
      <c r="G252" s="229"/>
      <c r="H252" s="169"/>
      <c r="I252" s="164"/>
      <c r="J252" s="220"/>
      <c r="K252" s="220"/>
      <c r="M252" s="220"/>
    </row>
    <row r="253" spans="1:13" s="7" customFormat="1" ht="27" customHeight="1" x14ac:dyDescent="0.65">
      <c r="A253" s="217"/>
      <c r="B253" s="36"/>
      <c r="C253" s="4"/>
      <c r="D253" s="4"/>
      <c r="E253" s="10"/>
      <c r="F253" s="11"/>
      <c r="G253" s="229"/>
      <c r="H253" s="169"/>
      <c r="I253" s="164"/>
      <c r="J253" s="220"/>
      <c r="K253" s="220"/>
      <c r="M253" s="220"/>
    </row>
    <row r="254" spans="1:13" s="7" customFormat="1" ht="27" customHeight="1" x14ac:dyDescent="0.65">
      <c r="A254" s="217"/>
      <c r="B254" s="36"/>
      <c r="C254" s="4"/>
      <c r="D254" s="4"/>
      <c r="E254" s="10"/>
      <c r="F254" s="11"/>
      <c r="G254" s="229"/>
      <c r="H254" s="169"/>
      <c r="I254" s="164"/>
      <c r="J254" s="220"/>
      <c r="K254" s="220"/>
      <c r="M254" s="220"/>
    </row>
    <row r="255" spans="1:13" s="7" customFormat="1" ht="27" customHeight="1" x14ac:dyDescent="0.65">
      <c r="A255" s="217"/>
      <c r="B255" s="36"/>
      <c r="C255" s="4"/>
      <c r="D255" s="4"/>
      <c r="E255" s="10"/>
      <c r="F255" s="11"/>
      <c r="G255" s="229"/>
      <c r="H255" s="169"/>
      <c r="I255" s="164"/>
      <c r="J255" s="220"/>
      <c r="K255" s="220"/>
      <c r="M255" s="220"/>
    </row>
    <row r="256" spans="1:13" s="7" customFormat="1" ht="27" customHeight="1" x14ac:dyDescent="0.65">
      <c r="A256" s="217"/>
      <c r="B256" s="36"/>
      <c r="C256" s="4"/>
      <c r="D256" s="4"/>
      <c r="E256" s="10"/>
      <c r="F256" s="11"/>
      <c r="G256" s="229"/>
      <c r="H256" s="169"/>
      <c r="I256" s="164"/>
      <c r="J256" s="220"/>
      <c r="K256" s="220"/>
      <c r="M256" s="220"/>
    </row>
    <row r="257" spans="1:13" s="7" customFormat="1" ht="27" customHeight="1" x14ac:dyDescent="0.65">
      <c r="A257" s="217"/>
      <c r="B257" s="36"/>
      <c r="C257" s="4"/>
      <c r="D257" s="4"/>
      <c r="E257" s="10"/>
      <c r="F257" s="11"/>
      <c r="G257" s="229"/>
      <c r="H257" s="169"/>
      <c r="I257" s="164"/>
      <c r="J257" s="220"/>
      <c r="K257" s="220"/>
      <c r="M257" s="220"/>
    </row>
    <row r="258" spans="1:13" s="7" customFormat="1" ht="27" customHeight="1" x14ac:dyDescent="0.65">
      <c r="A258" s="217"/>
      <c r="B258" s="36"/>
      <c r="C258" s="4"/>
      <c r="D258" s="4"/>
      <c r="E258" s="10"/>
      <c r="F258" s="11"/>
      <c r="G258" s="229"/>
      <c r="H258" s="169"/>
      <c r="I258" s="164"/>
      <c r="J258" s="220"/>
      <c r="K258" s="220"/>
      <c r="M258" s="220"/>
    </row>
    <row r="259" spans="1:13" s="7" customFormat="1" ht="27" customHeight="1" x14ac:dyDescent="0.65">
      <c r="A259" s="217"/>
      <c r="B259" s="36"/>
      <c r="C259" s="4"/>
      <c r="D259" s="4"/>
      <c r="E259" s="10"/>
      <c r="F259" s="11"/>
      <c r="G259" s="229"/>
      <c r="H259" s="169"/>
      <c r="I259" s="164"/>
      <c r="J259" s="220"/>
      <c r="K259" s="220"/>
      <c r="M259" s="220"/>
    </row>
    <row r="260" spans="1:13" s="7" customFormat="1" ht="27" customHeight="1" x14ac:dyDescent="0.65">
      <c r="A260" s="217"/>
      <c r="B260" s="36"/>
      <c r="C260" s="4"/>
      <c r="D260" s="4"/>
      <c r="E260" s="10"/>
      <c r="F260" s="11"/>
      <c r="G260" s="229"/>
      <c r="H260" s="169"/>
      <c r="I260" s="164"/>
      <c r="J260" s="220"/>
      <c r="K260" s="220"/>
      <c r="M260" s="220"/>
    </row>
    <row r="261" spans="1:13" s="7" customFormat="1" ht="27" customHeight="1" x14ac:dyDescent="0.65">
      <c r="A261" s="217"/>
      <c r="B261" s="35"/>
      <c r="C261" s="4"/>
      <c r="D261" s="4"/>
      <c r="E261" s="10"/>
      <c r="F261" s="11"/>
      <c r="G261" s="229"/>
      <c r="H261" s="169"/>
      <c r="I261" s="164"/>
      <c r="J261" s="220"/>
      <c r="K261" s="220"/>
      <c r="M261" s="220"/>
    </row>
    <row r="262" spans="1:13" s="7" customFormat="1" ht="27" customHeight="1" x14ac:dyDescent="0.65">
      <c r="A262" s="217"/>
      <c r="B262" s="36"/>
      <c r="C262" s="4"/>
      <c r="D262" s="4"/>
      <c r="E262" s="10"/>
      <c r="F262" s="11"/>
      <c r="G262" s="229"/>
      <c r="H262" s="169"/>
      <c r="I262" s="164"/>
      <c r="J262" s="220"/>
      <c r="K262" s="220"/>
      <c r="M262" s="220"/>
    </row>
    <row r="263" spans="1:13" s="7" customFormat="1" ht="27" customHeight="1" x14ac:dyDescent="0.65">
      <c r="A263" s="217"/>
      <c r="B263" s="36"/>
      <c r="C263" s="4"/>
      <c r="D263" s="4"/>
      <c r="E263" s="10"/>
      <c r="F263" s="11"/>
      <c r="G263" s="229"/>
      <c r="H263" s="169"/>
      <c r="I263" s="164"/>
      <c r="J263" s="220"/>
      <c r="K263" s="220"/>
      <c r="M263" s="220"/>
    </row>
    <row r="264" spans="1:13" ht="27" customHeight="1" x14ac:dyDescent="0.6">
      <c r="A264" s="217"/>
      <c r="B264" s="4"/>
      <c r="C264" s="53"/>
      <c r="D264" s="4"/>
      <c r="E264" s="10"/>
      <c r="F264" s="11"/>
      <c r="G264" s="229"/>
      <c r="H264" s="169"/>
      <c r="I264" s="165"/>
      <c r="J264" s="216"/>
      <c r="K264" s="216"/>
      <c r="M264" s="216"/>
    </row>
    <row r="265" spans="1:13" s="7" customFormat="1" ht="27" customHeight="1" x14ac:dyDescent="0.65">
      <c r="A265" s="217"/>
      <c r="B265" s="36"/>
      <c r="C265" s="4"/>
      <c r="D265" s="4"/>
      <c r="E265" s="10"/>
      <c r="F265" s="11"/>
      <c r="G265" s="229"/>
      <c r="H265" s="169"/>
      <c r="I265" s="164"/>
      <c r="J265" s="220"/>
      <c r="K265" s="220"/>
      <c r="M265" s="220"/>
    </row>
    <row r="266" spans="1:13" s="7" customFormat="1" ht="27" customHeight="1" x14ac:dyDescent="0.65">
      <c r="A266" s="217"/>
      <c r="B266" s="36"/>
      <c r="C266" s="4"/>
      <c r="D266" s="4"/>
      <c r="E266" s="10"/>
      <c r="F266" s="11"/>
      <c r="G266" s="229"/>
      <c r="H266" s="175"/>
      <c r="I266" s="167"/>
      <c r="J266" s="220"/>
      <c r="K266" s="220"/>
      <c r="M266" s="220"/>
    </row>
    <row r="267" spans="1:13" ht="27" customHeight="1" x14ac:dyDescent="0.6">
      <c r="A267" s="217"/>
      <c r="B267" s="36"/>
      <c r="C267" s="4"/>
      <c r="D267" s="4"/>
      <c r="E267" s="10"/>
      <c r="F267" s="11"/>
      <c r="G267" s="229"/>
      <c r="H267" s="169"/>
      <c r="I267" s="165"/>
      <c r="J267" s="218"/>
      <c r="K267" s="216"/>
      <c r="M267" s="216"/>
    </row>
    <row r="268" spans="1:13" ht="28.5" x14ac:dyDescent="0.6">
      <c r="A268" s="217"/>
      <c r="B268" s="36"/>
      <c r="C268" s="4"/>
      <c r="D268" s="4"/>
      <c r="E268" s="10"/>
      <c r="F268" s="11"/>
      <c r="G268" s="229"/>
      <c r="H268" s="169"/>
      <c r="I268" s="169"/>
      <c r="J268" s="216"/>
      <c r="K268" s="216"/>
      <c r="M268" s="216"/>
    </row>
    <row r="269" spans="1:13" ht="28.5" x14ac:dyDescent="0.6">
      <c r="A269" s="217"/>
      <c r="B269" s="36"/>
      <c r="C269" s="4"/>
      <c r="D269" s="4"/>
      <c r="E269" s="10"/>
      <c r="F269" s="11"/>
      <c r="G269" s="229"/>
      <c r="H269" s="169"/>
      <c r="I269" s="169"/>
      <c r="J269" s="216"/>
      <c r="K269" s="216"/>
      <c r="M269" s="216"/>
    </row>
    <row r="270" spans="1:13" s="7" customFormat="1" ht="27" customHeight="1" x14ac:dyDescent="0.65">
      <c r="A270" s="217"/>
      <c r="B270" s="36"/>
      <c r="C270" s="4"/>
      <c r="D270" s="4"/>
      <c r="E270" s="10"/>
      <c r="F270" s="11"/>
      <c r="G270" s="229"/>
      <c r="H270" s="169"/>
      <c r="I270" s="164"/>
      <c r="J270" s="220"/>
      <c r="K270" s="220"/>
      <c r="M270" s="220"/>
    </row>
    <row r="271" spans="1:13" s="7" customFormat="1" ht="27" customHeight="1" x14ac:dyDescent="0.65">
      <c r="A271" s="217"/>
      <c r="B271" s="36"/>
      <c r="C271" s="4"/>
      <c r="D271" s="4"/>
      <c r="E271" s="10"/>
      <c r="F271" s="11"/>
      <c r="G271" s="229"/>
      <c r="H271" s="169"/>
      <c r="I271" s="164"/>
      <c r="J271" s="220"/>
      <c r="K271" s="220"/>
      <c r="M271" s="220"/>
    </row>
    <row r="272" spans="1:13" s="7" customFormat="1" ht="27" customHeight="1" x14ac:dyDescent="0.65">
      <c r="A272" s="217"/>
      <c r="B272" s="36"/>
      <c r="C272" s="4"/>
      <c r="D272" s="4"/>
      <c r="E272" s="10"/>
      <c r="F272" s="11"/>
      <c r="G272" s="229"/>
      <c r="H272" s="169"/>
      <c r="I272" s="164"/>
      <c r="J272" s="220"/>
      <c r="K272" s="220"/>
      <c r="M272" s="220"/>
    </row>
    <row r="273" spans="1:13" s="7" customFormat="1" ht="27" customHeight="1" x14ac:dyDescent="0.65">
      <c r="A273" s="217"/>
      <c r="B273" s="36"/>
      <c r="C273" s="4"/>
      <c r="D273" s="4"/>
      <c r="E273" s="10"/>
      <c r="F273" s="11"/>
      <c r="G273" s="229"/>
      <c r="H273" s="169"/>
      <c r="I273" s="164"/>
      <c r="J273" s="220"/>
      <c r="K273" s="220"/>
      <c r="M273" s="220"/>
    </row>
    <row r="274" spans="1:13" s="7" customFormat="1" ht="27" customHeight="1" x14ac:dyDescent="0.65">
      <c r="A274" s="217"/>
      <c r="B274" s="36"/>
      <c r="C274" s="4"/>
      <c r="D274" s="4"/>
      <c r="E274" s="10"/>
      <c r="F274" s="11"/>
      <c r="G274" s="229"/>
      <c r="H274" s="169"/>
      <c r="I274" s="164"/>
      <c r="J274" s="220"/>
      <c r="K274" s="220"/>
      <c r="M274" s="220"/>
    </row>
    <row r="275" spans="1:13" s="7" customFormat="1" ht="27" customHeight="1" x14ac:dyDescent="0.65">
      <c r="A275" s="217"/>
      <c r="B275" s="36"/>
      <c r="C275" s="4"/>
      <c r="D275" s="4"/>
      <c r="E275" s="10"/>
      <c r="F275" s="11"/>
      <c r="G275" s="229"/>
      <c r="H275" s="169"/>
      <c r="I275" s="164"/>
      <c r="J275" s="220"/>
      <c r="K275" s="220"/>
      <c r="M275" s="220"/>
    </row>
    <row r="276" spans="1:13" s="7" customFormat="1" ht="27" customHeight="1" x14ac:dyDescent="0.65">
      <c r="A276" s="217"/>
      <c r="B276" s="36"/>
      <c r="C276" s="4"/>
      <c r="D276" s="4"/>
      <c r="E276" s="10"/>
      <c r="F276" s="29"/>
      <c r="G276" s="229"/>
      <c r="H276" s="169"/>
      <c r="I276" s="164"/>
      <c r="J276" s="220"/>
      <c r="K276" s="220"/>
      <c r="M276" s="220"/>
    </row>
    <row r="277" spans="1:13" s="7" customFormat="1" ht="27" customHeight="1" x14ac:dyDescent="0.65">
      <c r="A277" s="217"/>
      <c r="B277" s="36"/>
      <c r="C277" s="4"/>
      <c r="D277" s="4"/>
      <c r="E277" s="10"/>
      <c r="F277" s="29"/>
      <c r="G277" s="229"/>
      <c r="H277" s="169"/>
      <c r="I277" s="164"/>
      <c r="J277" s="220"/>
      <c r="K277" s="220"/>
      <c r="M277" s="220"/>
    </row>
    <row r="278" spans="1:13" ht="28" x14ac:dyDescent="0.6">
      <c r="A278" s="218"/>
      <c r="B278" s="36"/>
      <c r="C278" s="4"/>
      <c r="D278" s="4"/>
      <c r="E278" s="10"/>
      <c r="F278" s="11"/>
      <c r="G278" s="229"/>
      <c r="H278" s="169"/>
      <c r="I278" s="165"/>
      <c r="J278" s="216"/>
      <c r="K278" s="216"/>
      <c r="M278" s="216"/>
    </row>
    <row r="279" spans="1:13" s="7" customFormat="1" ht="27" customHeight="1" x14ac:dyDescent="0.65">
      <c r="A279" s="217"/>
      <c r="B279" s="36"/>
      <c r="C279" s="5"/>
      <c r="D279" s="4"/>
      <c r="E279" s="10"/>
      <c r="F279" s="11"/>
      <c r="G279" s="229"/>
      <c r="H279" s="169"/>
      <c r="I279" s="164"/>
      <c r="J279" s="220"/>
      <c r="K279" s="220"/>
      <c r="M279" s="220"/>
    </row>
    <row r="280" spans="1:13" s="7" customFormat="1" ht="27" customHeight="1" x14ac:dyDescent="0.65">
      <c r="A280" s="217"/>
      <c r="B280" s="36"/>
      <c r="C280" s="4"/>
      <c r="D280" s="4"/>
      <c r="E280" s="10"/>
      <c r="F280" s="11"/>
      <c r="G280" s="229"/>
      <c r="H280" s="169"/>
      <c r="I280" s="164"/>
      <c r="J280" s="220"/>
      <c r="K280" s="220"/>
      <c r="M280" s="220"/>
    </row>
    <row r="281" spans="1:13" s="7" customFormat="1" ht="27" customHeight="1" x14ac:dyDescent="0.65">
      <c r="A281" s="217"/>
      <c r="B281" s="36"/>
      <c r="C281" s="5"/>
      <c r="D281" s="4"/>
      <c r="E281" s="10"/>
      <c r="F281" s="11"/>
      <c r="G281" s="229"/>
      <c r="H281" s="169"/>
      <c r="I281" s="164"/>
      <c r="J281" s="220"/>
      <c r="K281" s="220"/>
      <c r="M281" s="220"/>
    </row>
    <row r="282" spans="1:13" s="7" customFormat="1" ht="27" customHeight="1" x14ac:dyDescent="0.65">
      <c r="A282" s="217"/>
      <c r="B282" s="36"/>
      <c r="C282" s="4"/>
      <c r="D282" s="4"/>
      <c r="E282" s="10"/>
      <c r="F282" s="11"/>
      <c r="G282" s="229"/>
      <c r="H282" s="169"/>
      <c r="I282" s="164"/>
      <c r="J282" s="220"/>
      <c r="K282" s="220"/>
      <c r="M282" s="220"/>
    </row>
    <row r="283" spans="1:13" s="7" customFormat="1" ht="27" customHeight="1" x14ac:dyDescent="0.65">
      <c r="A283" s="217"/>
      <c r="B283" s="36"/>
      <c r="C283" s="4"/>
      <c r="D283" s="4"/>
      <c r="E283" s="10"/>
      <c r="F283" s="11"/>
      <c r="G283" s="229"/>
      <c r="H283" s="181"/>
      <c r="I283" s="164"/>
      <c r="J283" s="220"/>
      <c r="K283" s="220"/>
      <c r="M283" s="220"/>
    </row>
    <row r="284" spans="1:13" s="7" customFormat="1" ht="27" customHeight="1" x14ac:dyDescent="0.65">
      <c r="A284" s="217"/>
      <c r="B284" s="36"/>
      <c r="C284" s="4"/>
      <c r="D284" s="4"/>
      <c r="E284" s="10"/>
      <c r="F284" s="11"/>
      <c r="G284" s="229"/>
      <c r="H284" s="169"/>
      <c r="I284" s="164"/>
      <c r="J284" s="220"/>
      <c r="K284" s="220"/>
      <c r="M284" s="220"/>
    </row>
    <row r="285" spans="1:13" s="7" customFormat="1" ht="27" customHeight="1" x14ac:dyDescent="0.65">
      <c r="A285" s="220"/>
      <c r="B285" s="36"/>
      <c r="C285" s="4"/>
      <c r="D285" s="4"/>
      <c r="E285" s="10"/>
      <c r="F285" s="11"/>
      <c r="G285" s="229"/>
      <c r="H285" s="169"/>
      <c r="I285" s="164"/>
      <c r="J285" s="220"/>
      <c r="K285" s="220"/>
      <c r="M285" s="220"/>
    </row>
    <row r="286" spans="1:13" s="7" customFormat="1" ht="27" customHeight="1" x14ac:dyDescent="0.65">
      <c r="A286" s="217"/>
      <c r="B286" s="36"/>
      <c r="C286" s="4"/>
      <c r="D286" s="4"/>
      <c r="E286" s="10"/>
      <c r="F286" s="11"/>
      <c r="G286" s="229"/>
      <c r="H286" s="169"/>
      <c r="I286" s="164"/>
      <c r="J286" s="220"/>
      <c r="K286" s="220"/>
      <c r="M286" s="220"/>
    </row>
    <row r="287" spans="1:13" s="7" customFormat="1" ht="27" customHeight="1" x14ac:dyDescent="0.65">
      <c r="A287" s="217"/>
      <c r="B287" s="36"/>
      <c r="C287" s="4"/>
      <c r="D287" s="4"/>
      <c r="E287" s="10"/>
      <c r="F287" s="11"/>
      <c r="G287" s="229"/>
      <c r="H287" s="169"/>
      <c r="I287" s="164"/>
      <c r="J287" s="220"/>
      <c r="K287" s="220"/>
      <c r="M287" s="220"/>
    </row>
    <row r="288" spans="1:13" s="7" customFormat="1" ht="27" customHeight="1" x14ac:dyDescent="0.65">
      <c r="A288" s="217"/>
      <c r="B288" s="36"/>
      <c r="C288" s="4"/>
      <c r="D288" s="4"/>
      <c r="E288" s="10"/>
      <c r="F288" s="11"/>
      <c r="G288" s="229"/>
      <c r="H288" s="169"/>
      <c r="I288" s="164"/>
      <c r="J288" s="220"/>
      <c r="K288" s="220"/>
      <c r="M288" s="220"/>
    </row>
    <row r="289" spans="1:34" s="7" customFormat="1" ht="27" customHeight="1" x14ac:dyDescent="0.65">
      <c r="A289" s="217"/>
      <c r="B289" s="36"/>
      <c r="C289" s="4"/>
      <c r="D289" s="4"/>
      <c r="E289" s="10"/>
      <c r="F289" s="11"/>
      <c r="G289" s="229"/>
      <c r="H289" s="169"/>
      <c r="I289" s="164"/>
      <c r="J289" s="220"/>
      <c r="K289" s="220"/>
      <c r="M289" s="220"/>
    </row>
    <row r="290" spans="1:34" s="7" customFormat="1" ht="27" customHeight="1" x14ac:dyDescent="0.65">
      <c r="A290" s="217"/>
      <c r="B290" s="36"/>
      <c r="C290" s="4"/>
      <c r="D290" s="4"/>
      <c r="E290" s="10"/>
      <c r="F290" s="11"/>
      <c r="G290" s="229"/>
      <c r="H290" s="169"/>
      <c r="I290" s="164"/>
      <c r="J290" s="220"/>
      <c r="K290" s="220"/>
      <c r="M290" s="220"/>
    </row>
    <row r="291" spans="1:34" s="7" customFormat="1" ht="27" customHeight="1" x14ac:dyDescent="0.65">
      <c r="A291" s="217"/>
      <c r="B291" s="36"/>
      <c r="C291" s="4"/>
      <c r="D291" s="4"/>
      <c r="E291" s="10"/>
      <c r="F291" s="11"/>
      <c r="G291" s="229"/>
      <c r="H291" s="169"/>
      <c r="I291" s="164"/>
      <c r="J291" s="220"/>
      <c r="K291" s="220"/>
      <c r="M291" s="220"/>
    </row>
    <row r="292" spans="1:34" s="7" customFormat="1" ht="27" customHeight="1" x14ac:dyDescent="0.65">
      <c r="A292" s="217"/>
      <c r="B292" s="36"/>
      <c r="C292" s="4"/>
      <c r="D292" s="4"/>
      <c r="E292" s="10"/>
      <c r="F292" s="11"/>
      <c r="G292" s="229"/>
      <c r="H292" s="169"/>
      <c r="I292" s="164"/>
      <c r="J292" s="220"/>
      <c r="K292" s="220"/>
      <c r="M292" s="220"/>
    </row>
    <row r="293" spans="1:34" s="7" customFormat="1" ht="27" customHeight="1" x14ac:dyDescent="0.65">
      <c r="A293" s="217"/>
      <c r="B293" s="36"/>
      <c r="C293" s="4"/>
      <c r="D293" s="4"/>
      <c r="E293" s="12"/>
      <c r="F293" s="11"/>
      <c r="G293" s="229"/>
      <c r="H293" s="169"/>
      <c r="I293" s="164"/>
      <c r="J293" s="220"/>
      <c r="K293" s="220"/>
      <c r="M293" s="220"/>
    </row>
    <row r="294" spans="1:34" s="7" customFormat="1" ht="27" customHeight="1" x14ac:dyDescent="0.65">
      <c r="A294" s="217"/>
      <c r="B294" s="36"/>
      <c r="C294" s="4"/>
      <c r="D294" s="4"/>
      <c r="E294" s="12"/>
      <c r="F294" s="11"/>
      <c r="G294" s="229"/>
      <c r="H294" s="169"/>
      <c r="I294" s="164"/>
      <c r="J294" s="220"/>
      <c r="K294" s="220"/>
      <c r="M294" s="220"/>
    </row>
    <row r="295" spans="1:34" s="7" customFormat="1" ht="27" customHeight="1" x14ac:dyDescent="0.65">
      <c r="A295" s="217"/>
      <c r="B295" s="36"/>
      <c r="C295" s="4"/>
      <c r="D295" s="4"/>
      <c r="E295" s="12"/>
      <c r="F295" s="11"/>
      <c r="G295" s="229"/>
      <c r="H295" s="169"/>
      <c r="I295" s="164"/>
      <c r="J295" s="220"/>
      <c r="K295" s="220"/>
      <c r="M295" s="220"/>
    </row>
    <row r="296" spans="1:34" s="7" customFormat="1" ht="27" customHeight="1" x14ac:dyDescent="0.65">
      <c r="A296" s="217"/>
      <c r="B296" s="36"/>
      <c r="C296" s="4"/>
      <c r="D296" s="4"/>
      <c r="E296" s="10"/>
      <c r="F296" s="11"/>
      <c r="G296" s="229"/>
      <c r="H296" s="169"/>
      <c r="I296" s="164"/>
      <c r="J296" s="220"/>
      <c r="K296" s="220"/>
      <c r="M296" s="220"/>
    </row>
    <row r="297" spans="1:34" s="7" customFormat="1" ht="27" customHeight="1" x14ac:dyDescent="0.65">
      <c r="A297" s="217"/>
      <c r="B297" s="36"/>
      <c r="C297" s="4"/>
      <c r="D297" s="4"/>
      <c r="E297" s="10"/>
      <c r="F297" s="11"/>
      <c r="G297" s="229"/>
      <c r="H297" s="169"/>
      <c r="I297" s="164"/>
      <c r="J297" s="220"/>
      <c r="K297" s="220"/>
      <c r="M297" s="220"/>
    </row>
    <row r="298" spans="1:34" s="7" customFormat="1" ht="27" customHeight="1" x14ac:dyDescent="0.65">
      <c r="A298" s="217"/>
      <c r="B298" s="35"/>
      <c r="C298" s="4"/>
      <c r="D298" s="4"/>
      <c r="E298" s="10"/>
      <c r="F298" s="11"/>
      <c r="G298" s="229"/>
      <c r="H298" s="169"/>
      <c r="I298" s="164"/>
      <c r="J298" s="220"/>
      <c r="K298" s="220"/>
      <c r="M298" s="220"/>
    </row>
    <row r="299" spans="1:34" s="7" customFormat="1" ht="27" customHeight="1" x14ac:dyDescent="0.65">
      <c r="A299" s="217"/>
      <c r="B299" s="36"/>
      <c r="C299" s="4"/>
      <c r="D299" s="4"/>
      <c r="E299" s="10"/>
      <c r="F299" s="11"/>
      <c r="G299" s="229"/>
      <c r="H299" s="169"/>
      <c r="I299" s="169"/>
      <c r="J299" s="220"/>
      <c r="K299" s="220"/>
      <c r="M299" s="220"/>
    </row>
    <row r="300" spans="1:34" s="7" customFormat="1" ht="27" customHeight="1" x14ac:dyDescent="0.65">
      <c r="A300" s="217"/>
      <c r="B300" s="36"/>
      <c r="C300" s="4"/>
      <c r="D300" s="4"/>
      <c r="E300" s="10"/>
      <c r="F300" s="11"/>
      <c r="G300" s="229"/>
      <c r="H300" s="169"/>
      <c r="I300" s="164"/>
      <c r="J300" s="220"/>
      <c r="K300" s="220"/>
      <c r="M300" s="220"/>
      <c r="AH300" s="7">
        <v>5761960</v>
      </c>
    </row>
    <row r="301" spans="1:34" s="7" customFormat="1" ht="27" customHeight="1" x14ac:dyDescent="0.65">
      <c r="A301" s="217"/>
      <c r="B301" s="36"/>
      <c r="C301" s="4"/>
      <c r="D301" s="4"/>
      <c r="E301" s="10"/>
      <c r="F301" s="11"/>
      <c r="G301" s="229"/>
      <c r="H301" s="169"/>
      <c r="I301" s="164"/>
      <c r="J301" s="220"/>
      <c r="K301" s="220"/>
      <c r="M301" s="220"/>
    </row>
    <row r="302" spans="1:34" s="7" customFormat="1" ht="27" customHeight="1" x14ac:dyDescent="0.65">
      <c r="A302" s="217"/>
      <c r="B302" s="36"/>
      <c r="C302" s="4"/>
      <c r="D302" s="4"/>
      <c r="E302" s="10"/>
      <c r="F302" s="11"/>
      <c r="G302" s="229"/>
      <c r="H302" s="169"/>
      <c r="I302" s="164"/>
      <c r="J302" s="220"/>
      <c r="K302" s="220"/>
      <c r="M302" s="220"/>
    </row>
    <row r="303" spans="1:34" ht="27" customHeight="1" x14ac:dyDescent="0.6">
      <c r="A303" s="217"/>
      <c r="B303" s="36"/>
      <c r="C303" s="4"/>
      <c r="D303" s="4"/>
      <c r="E303" s="10"/>
      <c r="F303" s="11"/>
      <c r="G303" s="229"/>
      <c r="H303" s="169"/>
      <c r="I303" s="165"/>
      <c r="J303" s="216"/>
      <c r="K303" s="216"/>
      <c r="M303" s="216"/>
    </row>
    <row r="304" spans="1:34" s="7" customFormat="1" ht="27" customHeight="1" x14ac:dyDescent="0.65">
      <c r="A304" s="217"/>
      <c r="B304" s="36"/>
      <c r="C304" s="13"/>
      <c r="D304" s="4"/>
      <c r="E304" s="12"/>
      <c r="F304" s="11"/>
      <c r="G304" s="229"/>
      <c r="H304" s="169"/>
      <c r="I304" s="164"/>
      <c r="J304" s="220"/>
      <c r="K304" s="220"/>
      <c r="M304" s="220"/>
    </row>
    <row r="305" spans="1:13" s="7" customFormat="1" ht="27" customHeight="1" x14ac:dyDescent="0.65">
      <c r="A305" s="217"/>
      <c r="B305" s="36"/>
      <c r="C305" s="13"/>
      <c r="D305" s="4"/>
      <c r="E305" s="10"/>
      <c r="F305" s="11"/>
      <c r="G305" s="229"/>
      <c r="H305" s="169"/>
      <c r="I305" s="164"/>
      <c r="J305" s="220"/>
      <c r="K305" s="220"/>
      <c r="M305" s="220"/>
    </row>
    <row r="306" spans="1:13" s="7" customFormat="1" ht="27" customHeight="1" x14ac:dyDescent="0.65">
      <c r="A306" s="217"/>
      <c r="B306" s="36"/>
      <c r="C306" s="13"/>
      <c r="D306" s="4"/>
      <c r="E306" s="12"/>
      <c r="F306" s="11"/>
      <c r="G306" s="229"/>
      <c r="H306" s="169"/>
      <c r="I306" s="164"/>
      <c r="J306" s="220"/>
      <c r="K306" s="220"/>
      <c r="M306" s="220"/>
    </row>
    <row r="307" spans="1:13" s="7" customFormat="1" ht="27" customHeight="1" x14ac:dyDescent="0.65">
      <c r="A307" s="217"/>
      <c r="B307" s="36"/>
      <c r="C307" s="4"/>
      <c r="D307" s="4"/>
      <c r="E307" s="10"/>
      <c r="F307" s="11"/>
      <c r="G307" s="229"/>
      <c r="H307" s="169"/>
      <c r="I307" s="164"/>
      <c r="J307" s="220"/>
      <c r="K307" s="220"/>
      <c r="M307" s="220"/>
    </row>
    <row r="308" spans="1:13" s="7" customFormat="1" ht="27" customHeight="1" x14ac:dyDescent="0.65">
      <c r="A308" s="217"/>
      <c r="B308" s="36"/>
      <c r="C308" s="4"/>
      <c r="D308" s="4"/>
      <c r="E308" s="10"/>
      <c r="F308" s="11"/>
      <c r="G308" s="229"/>
      <c r="H308" s="169"/>
      <c r="I308" s="164"/>
      <c r="J308" s="220"/>
      <c r="K308" s="220"/>
      <c r="M308" s="220"/>
    </row>
    <row r="309" spans="1:13" s="7" customFormat="1" ht="28.5" x14ac:dyDescent="0.65">
      <c r="A309" s="217"/>
      <c r="B309" s="36"/>
      <c r="C309" s="4"/>
      <c r="D309" s="4"/>
      <c r="E309" s="12"/>
      <c r="F309" s="11"/>
      <c r="G309" s="229"/>
      <c r="H309" s="169"/>
      <c r="I309" s="164"/>
      <c r="J309" s="220"/>
      <c r="K309" s="220"/>
      <c r="M309" s="220"/>
    </row>
    <row r="310" spans="1:13" s="7" customFormat="1" ht="27" customHeight="1" x14ac:dyDescent="0.65">
      <c r="A310" s="217"/>
      <c r="B310" s="36"/>
      <c r="C310" s="4"/>
      <c r="D310" s="4"/>
      <c r="E310" s="10"/>
      <c r="F310" s="11"/>
      <c r="G310" s="229"/>
      <c r="H310" s="169"/>
      <c r="I310" s="164"/>
      <c r="J310" s="220"/>
      <c r="K310" s="220"/>
      <c r="M310" s="220"/>
    </row>
    <row r="311" spans="1:13" s="7" customFormat="1" ht="27" customHeight="1" x14ac:dyDescent="0.65">
      <c r="A311" s="217"/>
      <c r="B311" s="36"/>
      <c r="C311" s="4"/>
      <c r="D311" s="4"/>
      <c r="E311" s="10"/>
      <c r="F311" s="11"/>
      <c r="G311" s="229"/>
      <c r="H311" s="169"/>
      <c r="I311" s="164"/>
      <c r="J311" s="220"/>
      <c r="K311" s="220"/>
      <c r="M311" s="220"/>
    </row>
    <row r="312" spans="1:13" s="7" customFormat="1" ht="27" customHeight="1" x14ac:dyDescent="0.65">
      <c r="A312" s="217"/>
      <c r="B312" s="36"/>
      <c r="C312" s="4"/>
      <c r="D312" s="4"/>
      <c r="E312" s="10"/>
      <c r="F312" s="11"/>
      <c r="G312" s="229"/>
      <c r="H312" s="169"/>
      <c r="I312" s="164"/>
      <c r="J312" s="220"/>
      <c r="K312" s="220"/>
      <c r="M312" s="220"/>
    </row>
    <row r="313" spans="1:13" ht="28.5" x14ac:dyDescent="0.65">
      <c r="A313" s="218"/>
      <c r="B313" s="36"/>
      <c r="C313" s="4"/>
      <c r="D313" s="4"/>
      <c r="E313" s="12"/>
      <c r="F313" s="11"/>
      <c r="G313" s="229"/>
      <c r="H313" s="169"/>
      <c r="I313" s="186"/>
      <c r="J313" s="216"/>
      <c r="K313" s="216"/>
      <c r="M313" s="216"/>
    </row>
    <row r="314" spans="1:13" s="7" customFormat="1" ht="27" customHeight="1" x14ac:dyDescent="0.65">
      <c r="A314" s="217"/>
      <c r="B314" s="36"/>
      <c r="C314" s="4"/>
      <c r="D314" s="4"/>
      <c r="E314" s="10"/>
      <c r="F314" s="11"/>
      <c r="G314" s="229"/>
      <c r="H314" s="169"/>
      <c r="I314" s="164"/>
      <c r="J314" s="220"/>
      <c r="K314" s="220"/>
      <c r="M314" s="220"/>
    </row>
    <row r="315" spans="1:13" s="7" customFormat="1" ht="27" customHeight="1" x14ac:dyDescent="0.65">
      <c r="A315" s="217"/>
      <c r="B315" s="36"/>
      <c r="C315" s="4"/>
      <c r="D315" s="4"/>
      <c r="E315" s="12"/>
      <c r="F315" s="11"/>
      <c r="G315" s="229"/>
      <c r="H315" s="182"/>
      <c r="I315" s="188"/>
      <c r="J315" s="234"/>
      <c r="K315" s="234"/>
      <c r="M315" s="220"/>
    </row>
    <row r="316" spans="1:13" s="7" customFormat="1" ht="27" customHeight="1" x14ac:dyDescent="0.65">
      <c r="A316" s="217"/>
      <c r="B316" s="36"/>
      <c r="C316" s="4"/>
      <c r="D316" s="4"/>
      <c r="E316" s="10"/>
      <c r="F316" s="11"/>
      <c r="G316" s="229"/>
      <c r="H316" s="182"/>
      <c r="I316" s="188"/>
      <c r="J316" s="234"/>
      <c r="K316" s="234"/>
      <c r="M316" s="220"/>
    </row>
    <row r="317" spans="1:13" s="7" customFormat="1" ht="27" customHeight="1" x14ac:dyDescent="0.65">
      <c r="A317" s="217"/>
      <c r="B317" s="36"/>
      <c r="C317" s="4"/>
      <c r="D317" s="4"/>
      <c r="E317" s="12"/>
      <c r="F317" s="11"/>
      <c r="G317" s="229"/>
      <c r="H317" s="169"/>
      <c r="I317" s="164"/>
      <c r="J317" s="217"/>
      <c r="K317" s="220"/>
      <c r="M317" s="220"/>
    </row>
    <row r="318" spans="1:13" s="7" customFormat="1" ht="27" customHeight="1" x14ac:dyDescent="0.65">
      <c r="A318" s="217"/>
      <c r="B318" s="36"/>
      <c r="C318" s="4"/>
      <c r="D318" s="4"/>
      <c r="E318" s="12"/>
      <c r="F318" s="11"/>
      <c r="G318" s="229"/>
      <c r="H318" s="169"/>
      <c r="I318" s="164"/>
      <c r="J318" s="220"/>
      <c r="K318" s="220"/>
      <c r="M318" s="220"/>
    </row>
    <row r="319" spans="1:13" s="7" customFormat="1" ht="27" customHeight="1" x14ac:dyDescent="0.65">
      <c r="A319" s="217"/>
      <c r="B319" s="36"/>
      <c r="C319" s="4"/>
      <c r="D319" s="4"/>
      <c r="E319" s="10"/>
      <c r="F319" s="11"/>
      <c r="G319" s="229"/>
      <c r="H319" s="169"/>
      <c r="I319" s="164"/>
      <c r="J319" s="217"/>
      <c r="K319" s="220"/>
      <c r="M319" s="220"/>
    </row>
    <row r="320" spans="1:13" s="7" customFormat="1" ht="27" customHeight="1" x14ac:dyDescent="0.65">
      <c r="A320" s="217"/>
      <c r="B320" s="4"/>
      <c r="C320" s="53"/>
      <c r="D320" s="4"/>
      <c r="E320" s="10"/>
      <c r="F320" s="11"/>
      <c r="G320" s="229"/>
      <c r="H320" s="169"/>
      <c r="I320" s="164"/>
      <c r="J320" s="217"/>
      <c r="K320" s="220"/>
      <c r="M320" s="220"/>
    </row>
    <row r="321" spans="1:13" s="7" customFormat="1" ht="27" customHeight="1" x14ac:dyDescent="0.65">
      <c r="A321" s="217"/>
      <c r="B321" s="36"/>
      <c r="C321" s="4"/>
      <c r="D321" s="4"/>
      <c r="E321" s="12"/>
      <c r="F321" s="11"/>
      <c r="G321" s="229"/>
      <c r="H321" s="169"/>
      <c r="I321" s="169"/>
      <c r="J321" s="220"/>
      <c r="K321" s="220"/>
      <c r="M321" s="220"/>
    </row>
    <row r="322" spans="1:13" s="7" customFormat="1" ht="27" customHeight="1" x14ac:dyDescent="0.65">
      <c r="A322" s="217"/>
      <c r="B322" s="36"/>
      <c r="C322" s="4"/>
      <c r="D322" s="4"/>
      <c r="E322" s="12"/>
      <c r="F322" s="11"/>
      <c r="G322" s="229"/>
      <c r="H322" s="169"/>
      <c r="I322" s="164"/>
      <c r="J322" s="217"/>
      <c r="K322" s="220"/>
      <c r="M322" s="220"/>
    </row>
    <row r="323" spans="1:13" s="7" customFormat="1" ht="27" customHeight="1" x14ac:dyDescent="0.65">
      <c r="A323" s="217"/>
      <c r="B323" s="4"/>
      <c r="C323" s="53"/>
      <c r="D323" s="4"/>
      <c r="E323" s="12"/>
      <c r="F323" s="11"/>
      <c r="G323" s="229"/>
      <c r="H323" s="169"/>
      <c r="I323" s="164"/>
      <c r="J323" s="217"/>
      <c r="K323" s="220"/>
      <c r="M323" s="220"/>
    </row>
    <row r="324" spans="1:13" s="7" customFormat="1" ht="27" customHeight="1" x14ac:dyDescent="0.65">
      <c r="A324" s="217"/>
      <c r="B324" s="36"/>
      <c r="C324" s="4"/>
      <c r="D324" s="4"/>
      <c r="E324" s="12"/>
      <c r="F324" s="11"/>
      <c r="G324" s="229"/>
      <c r="H324" s="169"/>
      <c r="I324" s="164"/>
      <c r="J324" s="217"/>
      <c r="K324" s="220"/>
      <c r="M324" s="220"/>
    </row>
    <row r="325" spans="1:13" s="7" customFormat="1" ht="27" customHeight="1" x14ac:dyDescent="0.65">
      <c r="A325" s="217"/>
      <c r="B325" s="36"/>
      <c r="C325" s="4"/>
      <c r="D325" s="4"/>
      <c r="E325" s="12"/>
      <c r="F325" s="11"/>
      <c r="G325" s="229"/>
      <c r="H325" s="169"/>
      <c r="I325" s="164"/>
      <c r="J325" s="217"/>
      <c r="K325" s="220"/>
      <c r="M325" s="220"/>
    </row>
    <row r="326" spans="1:13" s="7" customFormat="1" ht="27" customHeight="1" x14ac:dyDescent="0.65">
      <c r="A326" s="217"/>
      <c r="B326" s="36"/>
      <c r="C326" s="4"/>
      <c r="D326" s="4"/>
      <c r="E326" s="12"/>
      <c r="F326" s="11"/>
      <c r="G326" s="229"/>
      <c r="H326" s="169"/>
      <c r="I326" s="164"/>
      <c r="J326" s="217"/>
      <c r="K326" s="220"/>
      <c r="M326" s="220"/>
    </row>
    <row r="327" spans="1:13" s="7" customFormat="1" ht="27" customHeight="1" x14ac:dyDescent="0.65">
      <c r="A327" s="217"/>
      <c r="B327" s="36"/>
      <c r="C327" s="4"/>
      <c r="D327" s="53"/>
      <c r="E327" s="12"/>
      <c r="F327" s="11"/>
      <c r="G327" s="229"/>
      <c r="H327" s="169"/>
      <c r="I327" s="164"/>
      <c r="J327" s="217"/>
      <c r="K327" s="220"/>
      <c r="M327" s="220"/>
    </row>
    <row r="328" spans="1:13" s="7" customFormat="1" ht="27" customHeight="1" x14ac:dyDescent="0.65">
      <c r="A328" s="217"/>
      <c r="B328" s="36"/>
      <c r="C328" s="4"/>
      <c r="D328" s="4"/>
      <c r="E328" s="10"/>
      <c r="F328" s="11"/>
      <c r="G328" s="229"/>
      <c r="H328" s="169"/>
      <c r="I328" s="164"/>
      <c r="J328" s="217"/>
      <c r="K328" s="220"/>
      <c r="M328" s="220"/>
    </row>
    <row r="329" spans="1:13" s="7" customFormat="1" ht="27" customHeight="1" x14ac:dyDescent="0.65">
      <c r="A329" s="217"/>
      <c r="B329" s="36"/>
      <c r="C329" s="4"/>
      <c r="D329" s="4"/>
      <c r="E329" s="12"/>
      <c r="F329" s="11"/>
      <c r="G329" s="229"/>
      <c r="H329" s="169"/>
      <c r="I329" s="164"/>
      <c r="J329" s="217"/>
      <c r="K329" s="220"/>
      <c r="M329" s="220"/>
    </row>
    <row r="330" spans="1:13" ht="27" customHeight="1" x14ac:dyDescent="0.65">
      <c r="A330" s="217"/>
      <c r="B330" s="36"/>
      <c r="C330" s="4"/>
      <c r="D330" s="4"/>
      <c r="E330" s="12"/>
      <c r="F330" s="11"/>
      <c r="G330" s="229"/>
      <c r="H330" s="169"/>
      <c r="I330" s="165"/>
      <c r="J330" s="216"/>
      <c r="K330" s="216"/>
      <c r="M330" s="216"/>
    </row>
    <row r="331" spans="1:13" s="7" customFormat="1" ht="27" customHeight="1" x14ac:dyDescent="0.65">
      <c r="A331" s="217"/>
      <c r="B331" s="36"/>
      <c r="C331" s="4"/>
      <c r="D331" s="4"/>
      <c r="E331" s="10"/>
      <c r="F331" s="11"/>
      <c r="G331" s="229"/>
      <c r="H331" s="169"/>
      <c r="I331" s="164"/>
      <c r="J331" s="220"/>
      <c r="K331" s="220"/>
      <c r="M331" s="220"/>
    </row>
    <row r="332" spans="1:13" s="7" customFormat="1" ht="27" customHeight="1" x14ac:dyDescent="0.65">
      <c r="A332" s="217"/>
      <c r="B332" s="36"/>
      <c r="C332" s="4"/>
      <c r="D332" s="4"/>
      <c r="E332" s="12"/>
      <c r="F332" s="11"/>
      <c r="G332" s="229"/>
      <c r="H332" s="169"/>
      <c r="I332" s="164"/>
      <c r="J332" s="220"/>
      <c r="K332" s="220"/>
      <c r="M332" s="220"/>
    </row>
    <row r="333" spans="1:13" s="7" customFormat="1" ht="27" customHeight="1" x14ac:dyDescent="0.65">
      <c r="A333" s="217"/>
      <c r="B333" s="36"/>
      <c r="C333" s="4"/>
      <c r="D333" s="4"/>
      <c r="E333" s="10"/>
      <c r="F333" s="11"/>
      <c r="G333" s="229"/>
      <c r="H333" s="169"/>
      <c r="I333" s="164"/>
      <c r="J333" s="220"/>
      <c r="K333" s="220"/>
      <c r="M333" s="220"/>
    </row>
    <row r="334" spans="1:13" s="7" customFormat="1" ht="27" customHeight="1" x14ac:dyDescent="0.65">
      <c r="A334" s="217"/>
      <c r="B334" s="36"/>
      <c r="C334" s="4"/>
      <c r="D334" s="4"/>
      <c r="E334" s="10"/>
      <c r="F334" s="11"/>
      <c r="G334" s="229"/>
      <c r="H334" s="169"/>
      <c r="I334" s="169"/>
      <c r="J334" s="220"/>
      <c r="K334" s="220"/>
      <c r="M334" s="220"/>
    </row>
    <row r="335" spans="1:13" s="7" customFormat="1" ht="27" customHeight="1" x14ac:dyDescent="0.65">
      <c r="A335" s="217"/>
      <c r="B335" s="36"/>
      <c r="C335" s="4"/>
      <c r="D335" s="4"/>
      <c r="E335" s="10"/>
      <c r="F335" s="11"/>
      <c r="G335" s="229"/>
      <c r="H335" s="169"/>
      <c r="I335" s="169"/>
      <c r="J335" s="220"/>
      <c r="K335" s="220"/>
      <c r="M335" s="220"/>
    </row>
    <row r="336" spans="1:13" s="7" customFormat="1" ht="27" customHeight="1" x14ac:dyDescent="0.65">
      <c r="A336" s="217"/>
      <c r="B336" s="36"/>
      <c r="C336" s="4"/>
      <c r="D336" s="4"/>
      <c r="E336" s="10"/>
      <c r="F336" s="11"/>
      <c r="G336" s="229"/>
      <c r="H336" s="169"/>
      <c r="I336" s="164"/>
      <c r="J336" s="220"/>
      <c r="K336" s="220"/>
      <c r="M336" s="220"/>
    </row>
    <row r="337" spans="1:13" ht="28.5" x14ac:dyDescent="0.6">
      <c r="A337" s="221"/>
      <c r="B337" s="36"/>
      <c r="C337" s="4"/>
      <c r="D337" s="4"/>
      <c r="E337" s="10"/>
      <c r="F337" s="11"/>
      <c r="G337" s="229"/>
      <c r="H337" s="169"/>
      <c r="I337" s="168"/>
      <c r="J337" s="216"/>
      <c r="K337" s="216"/>
      <c r="M337" s="216"/>
    </row>
    <row r="338" spans="1:13" s="7" customFormat="1" ht="27" customHeight="1" x14ac:dyDescent="0.65">
      <c r="A338" s="217"/>
      <c r="B338" s="36"/>
      <c r="C338" s="4"/>
      <c r="D338" s="4"/>
      <c r="E338" s="12"/>
      <c r="F338" s="11"/>
      <c r="G338" s="229"/>
      <c r="H338" s="169"/>
      <c r="I338" s="164"/>
      <c r="J338" s="220"/>
      <c r="K338" s="220"/>
      <c r="M338" s="220"/>
    </row>
    <row r="339" spans="1:13" s="7" customFormat="1" ht="27" customHeight="1" x14ac:dyDescent="0.65">
      <c r="A339" s="217"/>
      <c r="B339" s="36"/>
      <c r="C339" s="4"/>
      <c r="D339" s="4"/>
      <c r="E339" s="12"/>
      <c r="F339" s="11"/>
      <c r="G339" s="229"/>
      <c r="H339" s="169"/>
      <c r="I339" s="164"/>
      <c r="J339" s="220"/>
      <c r="K339" s="220"/>
      <c r="M339" s="220"/>
    </row>
    <row r="340" spans="1:13" ht="25.5" customHeight="1" x14ac:dyDescent="0.6">
      <c r="A340" s="217"/>
      <c r="B340" s="36"/>
      <c r="C340" s="4"/>
      <c r="D340" s="4"/>
      <c r="E340" s="10"/>
      <c r="F340" s="11"/>
      <c r="G340" s="229"/>
      <c r="H340" s="169"/>
      <c r="I340" s="165"/>
      <c r="J340" s="216"/>
      <c r="K340" s="216"/>
      <c r="M340" s="216"/>
    </row>
    <row r="341" spans="1:13" s="7" customFormat="1" ht="27" customHeight="1" x14ac:dyDescent="0.65">
      <c r="A341" s="217"/>
      <c r="B341" s="36"/>
      <c r="C341" s="4"/>
      <c r="D341" s="4"/>
      <c r="E341" s="12"/>
      <c r="F341" s="11"/>
      <c r="G341" s="229"/>
      <c r="H341" s="169"/>
      <c r="I341" s="164"/>
      <c r="J341" s="220"/>
      <c r="K341" s="220"/>
      <c r="M341" s="220"/>
    </row>
    <row r="342" spans="1:13" s="7" customFormat="1" ht="27" customHeight="1" x14ac:dyDescent="0.65">
      <c r="A342" s="217"/>
      <c r="B342" s="36"/>
      <c r="C342" s="4"/>
      <c r="D342" s="4"/>
      <c r="E342" s="10"/>
      <c r="F342" s="11"/>
      <c r="G342" s="229"/>
      <c r="H342" s="169"/>
      <c r="I342" s="164"/>
      <c r="J342" s="220"/>
      <c r="K342" s="220"/>
      <c r="M342" s="220"/>
    </row>
    <row r="343" spans="1:13" s="7" customFormat="1" ht="27" customHeight="1" x14ac:dyDescent="0.65">
      <c r="A343" s="217"/>
      <c r="B343" s="36"/>
      <c r="C343" s="4"/>
      <c r="D343" s="4"/>
      <c r="E343" s="10"/>
      <c r="F343" s="11"/>
      <c r="G343" s="229"/>
      <c r="H343" s="169"/>
      <c r="I343" s="164"/>
      <c r="J343" s="220"/>
      <c r="K343" s="220"/>
      <c r="M343" s="220"/>
    </row>
    <row r="344" spans="1:13" s="7" customFormat="1" ht="27" customHeight="1" x14ac:dyDescent="0.65">
      <c r="A344" s="217"/>
      <c r="B344" s="36"/>
      <c r="C344" s="4"/>
      <c r="D344" s="4"/>
      <c r="E344" s="10"/>
      <c r="F344" s="11"/>
      <c r="G344" s="229"/>
      <c r="H344" s="169"/>
      <c r="I344" s="164"/>
      <c r="J344" s="220"/>
      <c r="K344" s="220"/>
      <c r="M344" s="220"/>
    </row>
    <row r="345" spans="1:13" s="7" customFormat="1" ht="27" customHeight="1" x14ac:dyDescent="0.65">
      <c r="A345" s="217"/>
      <c r="B345" s="36"/>
      <c r="C345" s="4"/>
      <c r="D345" s="4"/>
      <c r="E345" s="10"/>
      <c r="F345" s="11"/>
      <c r="G345" s="229"/>
      <c r="H345" s="169"/>
      <c r="I345" s="164"/>
      <c r="J345" s="220"/>
      <c r="K345" s="220"/>
      <c r="M345" s="220"/>
    </row>
    <row r="346" spans="1:13" s="7" customFormat="1" ht="27" customHeight="1" x14ac:dyDescent="0.65">
      <c r="A346" s="217"/>
      <c r="B346" s="36"/>
      <c r="C346" s="4"/>
      <c r="D346" s="4"/>
      <c r="E346" s="10"/>
      <c r="F346" s="11"/>
      <c r="G346" s="229"/>
      <c r="H346" s="169"/>
      <c r="I346" s="164"/>
      <c r="J346" s="220"/>
      <c r="K346" s="220"/>
      <c r="M346" s="220"/>
    </row>
    <row r="347" spans="1:13" s="7" customFormat="1" ht="27" customHeight="1" x14ac:dyDescent="0.65">
      <c r="A347" s="217"/>
      <c r="B347" s="36"/>
      <c r="C347" s="4"/>
      <c r="D347" s="4"/>
      <c r="E347" s="10"/>
      <c r="F347" s="11"/>
      <c r="G347" s="229"/>
      <c r="H347" s="169"/>
      <c r="I347" s="164"/>
      <c r="J347" s="220"/>
      <c r="K347" s="220"/>
      <c r="M347" s="220"/>
    </row>
    <row r="348" spans="1:13" s="7" customFormat="1" ht="27" customHeight="1" x14ac:dyDescent="0.65">
      <c r="A348" s="217"/>
      <c r="B348" s="36"/>
      <c r="C348" s="4"/>
      <c r="D348" s="4"/>
      <c r="E348" s="10"/>
      <c r="F348" s="11"/>
      <c r="G348" s="229"/>
      <c r="H348" s="169"/>
      <c r="I348" s="164"/>
      <c r="J348" s="220"/>
      <c r="K348" s="220"/>
      <c r="M348" s="220"/>
    </row>
    <row r="349" spans="1:13" s="7" customFormat="1" ht="27" customHeight="1" x14ac:dyDescent="0.65">
      <c r="A349" s="217"/>
      <c r="B349" s="36"/>
      <c r="C349" s="4"/>
      <c r="D349" s="4"/>
      <c r="E349" s="10"/>
      <c r="F349" s="11"/>
      <c r="G349" s="229"/>
      <c r="H349" s="169"/>
      <c r="I349" s="164"/>
      <c r="J349" s="220"/>
      <c r="K349" s="220"/>
      <c r="M349" s="220"/>
    </row>
    <row r="350" spans="1:13" s="7" customFormat="1" ht="27" customHeight="1" x14ac:dyDescent="0.65">
      <c r="A350" s="217"/>
      <c r="B350" s="36"/>
      <c r="C350" s="4"/>
      <c r="D350" s="4"/>
      <c r="E350" s="10"/>
      <c r="F350" s="11"/>
      <c r="G350" s="229"/>
      <c r="H350" s="169"/>
      <c r="I350" s="164"/>
      <c r="J350" s="220"/>
      <c r="K350" s="220"/>
      <c r="M350" s="220"/>
    </row>
    <row r="351" spans="1:13" s="7" customFormat="1" ht="27" customHeight="1" x14ac:dyDescent="0.65">
      <c r="A351" s="217"/>
      <c r="B351" s="36"/>
      <c r="C351" s="4"/>
      <c r="D351" s="4"/>
      <c r="E351" s="10"/>
      <c r="F351" s="11"/>
      <c r="G351" s="229"/>
      <c r="H351" s="169"/>
      <c r="I351" s="164"/>
      <c r="J351" s="220"/>
      <c r="K351" s="220"/>
      <c r="M351" s="220"/>
    </row>
    <row r="352" spans="1:13" s="7" customFormat="1" ht="27" customHeight="1" x14ac:dyDescent="0.65">
      <c r="A352" s="217"/>
      <c r="B352" s="36"/>
      <c r="C352" s="4"/>
      <c r="D352" s="4"/>
      <c r="E352" s="10"/>
      <c r="F352" s="11"/>
      <c r="G352" s="229"/>
      <c r="H352" s="169"/>
      <c r="I352" s="164"/>
      <c r="J352" s="220"/>
      <c r="K352" s="220"/>
      <c r="M352" s="220"/>
    </row>
    <row r="353" spans="1:13" s="7" customFormat="1" ht="27" customHeight="1" x14ac:dyDescent="0.65">
      <c r="A353" s="217"/>
      <c r="B353" s="36"/>
      <c r="C353" s="4"/>
      <c r="D353" s="4"/>
      <c r="E353" s="10"/>
      <c r="F353" s="11"/>
      <c r="G353" s="229"/>
      <c r="H353" s="169"/>
      <c r="I353" s="164"/>
      <c r="J353" s="220"/>
      <c r="K353" s="220"/>
      <c r="M353" s="220"/>
    </row>
    <row r="354" spans="1:13" s="7" customFormat="1" ht="27" customHeight="1" x14ac:dyDescent="0.65">
      <c r="A354" s="217"/>
      <c r="B354" s="36"/>
      <c r="C354" s="4"/>
      <c r="D354" s="4"/>
      <c r="E354" s="10"/>
      <c r="F354" s="11"/>
      <c r="G354" s="229"/>
      <c r="H354" s="169"/>
      <c r="I354" s="164"/>
      <c r="J354" s="220"/>
      <c r="K354" s="220"/>
      <c r="M354" s="220"/>
    </row>
    <row r="355" spans="1:13" s="7" customFormat="1" ht="27" customHeight="1" x14ac:dyDescent="0.65">
      <c r="A355" s="217"/>
      <c r="B355" s="36"/>
      <c r="C355" s="4"/>
      <c r="D355" s="4"/>
      <c r="E355" s="10"/>
      <c r="F355" s="11"/>
      <c r="G355" s="229"/>
      <c r="H355" s="169"/>
      <c r="I355" s="164"/>
      <c r="J355" s="220"/>
      <c r="K355" s="220"/>
      <c r="M355" s="220"/>
    </row>
    <row r="356" spans="1:13" s="7" customFormat="1" ht="27" customHeight="1" x14ac:dyDescent="0.65">
      <c r="A356" s="217"/>
      <c r="B356" s="36"/>
      <c r="C356" s="4"/>
      <c r="D356" s="4"/>
      <c r="E356" s="10"/>
      <c r="F356" s="11"/>
      <c r="G356" s="229"/>
      <c r="H356" s="169"/>
      <c r="I356" s="164"/>
      <c r="J356" s="220"/>
      <c r="K356" s="220"/>
      <c r="M356" s="220"/>
    </row>
    <row r="357" spans="1:13" s="7" customFormat="1" ht="27" customHeight="1" x14ac:dyDescent="0.65">
      <c r="A357" s="217"/>
      <c r="B357" s="36"/>
      <c r="C357" s="4"/>
      <c r="D357" s="4"/>
      <c r="E357" s="10"/>
      <c r="F357" s="11"/>
      <c r="G357" s="229"/>
      <c r="H357" s="169"/>
      <c r="I357" s="164"/>
      <c r="J357" s="220"/>
      <c r="K357" s="220"/>
      <c r="M357" s="220"/>
    </row>
    <row r="358" spans="1:13" s="7" customFormat="1" ht="27" customHeight="1" x14ac:dyDescent="0.65">
      <c r="A358" s="217"/>
      <c r="B358" s="36"/>
      <c r="C358" s="4"/>
      <c r="D358" s="4"/>
      <c r="E358" s="10"/>
      <c r="F358" s="11"/>
      <c r="G358" s="229"/>
      <c r="H358" s="169"/>
      <c r="I358" s="164"/>
      <c r="J358" s="220"/>
      <c r="K358" s="220"/>
      <c r="M358" s="220"/>
    </row>
    <row r="359" spans="1:13" s="7" customFormat="1" ht="27" customHeight="1" x14ac:dyDescent="0.65">
      <c r="A359" s="217"/>
      <c r="B359" s="36"/>
      <c r="C359" s="4"/>
      <c r="D359" s="4"/>
      <c r="E359" s="10"/>
      <c r="F359" s="11"/>
      <c r="G359" s="229"/>
      <c r="H359" s="169"/>
      <c r="I359" s="164"/>
      <c r="J359" s="220"/>
      <c r="K359" s="220"/>
      <c r="M359" s="220"/>
    </row>
    <row r="360" spans="1:13" s="7" customFormat="1" ht="27" customHeight="1" x14ac:dyDescent="0.65">
      <c r="A360" s="217"/>
      <c r="B360" s="36"/>
      <c r="C360" s="4"/>
      <c r="D360" s="4"/>
      <c r="E360" s="10"/>
      <c r="F360" s="11"/>
      <c r="G360" s="229"/>
      <c r="H360" s="169"/>
      <c r="I360" s="164"/>
      <c r="J360" s="220"/>
      <c r="K360" s="220"/>
      <c r="M360" s="220"/>
    </row>
    <row r="361" spans="1:13" s="7" customFormat="1" ht="27" customHeight="1" x14ac:dyDescent="0.65">
      <c r="A361" s="217"/>
      <c r="B361" s="36"/>
      <c r="C361" s="4"/>
      <c r="D361" s="4"/>
      <c r="E361" s="10"/>
      <c r="F361" s="11"/>
      <c r="G361" s="229"/>
      <c r="H361" s="169"/>
      <c r="I361" s="164"/>
      <c r="J361" s="220"/>
      <c r="K361" s="220"/>
      <c r="M361" s="220"/>
    </row>
    <row r="362" spans="1:13" s="7" customFormat="1" ht="27" customHeight="1" x14ac:dyDescent="0.65">
      <c r="A362" s="217"/>
      <c r="B362" s="36"/>
      <c r="C362" s="4"/>
      <c r="D362" s="4"/>
      <c r="E362" s="10"/>
      <c r="F362" s="11"/>
      <c r="G362" s="229"/>
      <c r="H362" s="169"/>
      <c r="I362" s="164"/>
      <c r="J362" s="220"/>
      <c r="K362" s="220"/>
      <c r="M362" s="220"/>
    </row>
    <row r="363" spans="1:13" s="7" customFormat="1" ht="27" customHeight="1" x14ac:dyDescent="0.65">
      <c r="A363" s="217"/>
      <c r="B363" s="36"/>
      <c r="C363" s="4"/>
      <c r="D363" s="4"/>
      <c r="E363" s="10"/>
      <c r="F363" s="11"/>
      <c r="G363" s="229"/>
      <c r="H363" s="169"/>
      <c r="I363" s="164"/>
      <c r="J363" s="220"/>
      <c r="K363" s="220"/>
      <c r="M363" s="220"/>
    </row>
    <row r="364" spans="1:13" s="7" customFormat="1" ht="27" customHeight="1" x14ac:dyDescent="0.65">
      <c r="A364" s="217"/>
      <c r="B364" s="36"/>
      <c r="C364" s="4"/>
      <c r="D364" s="4"/>
      <c r="E364" s="10"/>
      <c r="F364" s="11"/>
      <c r="G364" s="229"/>
      <c r="H364" s="169"/>
      <c r="I364" s="164"/>
      <c r="J364" s="220"/>
      <c r="K364" s="220"/>
      <c r="M364" s="220"/>
    </row>
    <row r="365" spans="1:13" s="7" customFormat="1" ht="27" customHeight="1" x14ac:dyDescent="0.65">
      <c r="A365" s="217"/>
      <c r="B365" s="36"/>
      <c r="C365" s="4"/>
      <c r="D365" s="4"/>
      <c r="E365" s="10"/>
      <c r="F365" s="11"/>
      <c r="G365" s="227"/>
      <c r="H365" s="169"/>
      <c r="I365" s="164"/>
      <c r="J365" s="220"/>
      <c r="K365" s="220"/>
      <c r="M365" s="220"/>
    </row>
    <row r="366" spans="1:13" s="7" customFormat="1" ht="27" customHeight="1" x14ac:dyDescent="0.65">
      <c r="A366" s="217"/>
      <c r="B366" s="36"/>
      <c r="C366" s="4"/>
      <c r="D366" s="4"/>
      <c r="E366" s="10"/>
      <c r="F366" s="11"/>
      <c r="G366" s="227"/>
      <c r="H366" s="169"/>
      <c r="I366" s="164"/>
      <c r="J366" s="220"/>
      <c r="K366" s="220"/>
      <c r="M366" s="220"/>
    </row>
    <row r="367" spans="1:13" s="7" customFormat="1" ht="27" customHeight="1" x14ac:dyDescent="0.65">
      <c r="A367" s="217"/>
      <c r="B367" s="36"/>
      <c r="C367" s="4"/>
      <c r="D367" s="4"/>
      <c r="E367" s="10"/>
      <c r="F367" s="11"/>
      <c r="G367" s="227"/>
      <c r="H367" s="169"/>
      <c r="I367" s="164"/>
      <c r="J367" s="220"/>
      <c r="K367" s="220"/>
      <c r="M367" s="220"/>
    </row>
    <row r="368" spans="1:13" s="7" customFormat="1" ht="27" customHeight="1" x14ac:dyDescent="0.65">
      <c r="A368" s="217"/>
      <c r="B368" s="36"/>
      <c r="C368" s="4"/>
      <c r="D368" s="4"/>
      <c r="E368" s="10"/>
      <c r="F368" s="11"/>
      <c r="G368" s="227"/>
      <c r="H368" s="169"/>
      <c r="I368" s="164"/>
      <c r="J368" s="220"/>
      <c r="K368" s="220"/>
      <c r="M368" s="220"/>
    </row>
    <row r="369" spans="1:13" s="7" customFormat="1" ht="27" customHeight="1" x14ac:dyDescent="0.65">
      <c r="A369" s="217"/>
      <c r="B369" s="36"/>
      <c r="C369" s="32"/>
      <c r="D369" s="4"/>
      <c r="E369" s="10"/>
      <c r="F369" s="11"/>
      <c r="G369" s="227"/>
      <c r="H369" s="169"/>
      <c r="I369" s="164"/>
      <c r="J369" s="220"/>
      <c r="K369" s="220"/>
      <c r="M369" s="220"/>
    </row>
    <row r="370" spans="1:13" s="7" customFormat="1" ht="27" customHeight="1" x14ac:dyDescent="0.65">
      <c r="A370" s="217"/>
      <c r="B370" s="36"/>
      <c r="C370" s="4"/>
      <c r="D370" s="4"/>
      <c r="E370" s="10"/>
      <c r="F370" s="11"/>
      <c r="G370" s="227"/>
      <c r="H370" s="169"/>
      <c r="I370" s="164"/>
      <c r="J370" s="220"/>
      <c r="K370" s="220"/>
      <c r="M370" s="220"/>
    </row>
    <row r="371" spans="1:13" s="7" customFormat="1" ht="27" customHeight="1" x14ac:dyDescent="0.65">
      <c r="A371" s="217"/>
      <c r="B371" s="36"/>
      <c r="C371" s="4"/>
      <c r="D371" s="4"/>
      <c r="E371" s="10"/>
      <c r="F371" s="11"/>
      <c r="G371" s="227"/>
      <c r="H371" s="169"/>
      <c r="I371" s="164"/>
      <c r="J371" s="220"/>
      <c r="K371" s="220"/>
      <c r="M371" s="220"/>
    </row>
    <row r="372" spans="1:13" s="7" customFormat="1" ht="27" customHeight="1" x14ac:dyDescent="0.65">
      <c r="A372" s="217"/>
      <c r="B372" s="36"/>
      <c r="C372" s="4"/>
      <c r="D372" s="4"/>
      <c r="E372" s="10"/>
      <c r="F372" s="11"/>
      <c r="G372" s="227"/>
      <c r="H372" s="169"/>
      <c r="I372" s="164"/>
      <c r="J372" s="220"/>
      <c r="K372" s="220"/>
      <c r="M372" s="220"/>
    </row>
    <row r="373" spans="1:13" s="7" customFormat="1" ht="27" customHeight="1" x14ac:dyDescent="0.65">
      <c r="A373" s="217"/>
      <c r="B373" s="36"/>
      <c r="C373" s="4"/>
      <c r="D373" s="4"/>
      <c r="E373" s="10"/>
      <c r="F373" s="11"/>
      <c r="G373" s="227"/>
      <c r="H373" s="169"/>
      <c r="I373" s="164"/>
      <c r="J373" s="220"/>
      <c r="K373" s="220"/>
      <c r="M373" s="220"/>
    </row>
    <row r="374" spans="1:13" s="7" customFormat="1" ht="27" customHeight="1" x14ac:dyDescent="0.65">
      <c r="A374" s="217"/>
      <c r="B374" s="36"/>
      <c r="C374" s="4"/>
      <c r="D374" s="4"/>
      <c r="E374" s="10"/>
      <c r="F374" s="11"/>
      <c r="G374" s="227"/>
      <c r="H374" s="169"/>
      <c r="I374" s="164"/>
      <c r="J374" s="220"/>
      <c r="K374" s="220"/>
      <c r="M374" s="220"/>
    </row>
    <row r="375" spans="1:13" s="7" customFormat="1" ht="27" customHeight="1" x14ac:dyDescent="0.65">
      <c r="A375" s="217"/>
      <c r="B375" s="36"/>
      <c r="C375" s="4"/>
      <c r="D375" s="4"/>
      <c r="E375" s="10"/>
      <c r="F375" s="11"/>
      <c r="G375" s="227"/>
      <c r="H375" s="169"/>
      <c r="I375" s="164"/>
      <c r="J375" s="220"/>
      <c r="K375" s="220"/>
      <c r="M375" s="220"/>
    </row>
    <row r="376" spans="1:13" s="7" customFormat="1" ht="27" customHeight="1" x14ac:dyDescent="0.65">
      <c r="A376" s="217"/>
      <c r="B376" s="36"/>
      <c r="C376" s="4"/>
      <c r="D376" s="4"/>
      <c r="E376" s="10"/>
      <c r="F376" s="11"/>
      <c r="G376" s="227"/>
      <c r="H376" s="169"/>
      <c r="I376" s="164"/>
      <c r="J376" s="220"/>
      <c r="K376" s="220"/>
      <c r="M376" s="220"/>
    </row>
    <row r="377" spans="1:13" s="7" customFormat="1" ht="27" customHeight="1" x14ac:dyDescent="0.65">
      <c r="A377" s="217"/>
      <c r="B377" s="36"/>
      <c r="C377" s="4"/>
      <c r="D377" s="4"/>
      <c r="E377" s="12"/>
      <c r="F377" s="11"/>
      <c r="G377" s="227"/>
      <c r="H377" s="169"/>
      <c r="I377" s="164"/>
      <c r="J377" s="220"/>
      <c r="K377" s="220"/>
      <c r="M377" s="220"/>
    </row>
    <row r="378" spans="1:13" s="7" customFormat="1" ht="27" customHeight="1" x14ac:dyDescent="0.65">
      <c r="A378" s="217"/>
      <c r="B378" s="36"/>
      <c r="C378" s="4"/>
      <c r="D378" s="4"/>
      <c r="E378" s="10"/>
      <c r="F378" s="11"/>
      <c r="G378" s="227"/>
      <c r="H378" s="169"/>
      <c r="I378" s="164"/>
      <c r="J378" s="220"/>
      <c r="K378" s="220"/>
      <c r="M378" s="220"/>
    </row>
    <row r="379" spans="1:13" s="7" customFormat="1" ht="27" customHeight="1" x14ac:dyDescent="0.65">
      <c r="A379" s="217">
        <v>385</v>
      </c>
      <c r="B379" s="36"/>
      <c r="C379" s="4"/>
      <c r="D379" s="4"/>
      <c r="E379" s="12"/>
      <c r="F379" s="11"/>
      <c r="G379" s="227"/>
      <c r="H379" s="169"/>
      <c r="I379" s="164"/>
      <c r="J379" s="220"/>
      <c r="K379" s="220"/>
      <c r="M379" s="220"/>
    </row>
    <row r="380" spans="1:13" s="7" customFormat="1" ht="27" customHeight="1" x14ac:dyDescent="0.65">
      <c r="A380" s="217">
        <v>386</v>
      </c>
      <c r="B380" s="36"/>
      <c r="C380" s="4"/>
      <c r="D380" s="4"/>
      <c r="E380" s="10"/>
      <c r="F380" s="11"/>
      <c r="G380" s="227"/>
      <c r="H380" s="169"/>
      <c r="I380" s="164"/>
      <c r="J380" s="220"/>
      <c r="K380" s="220"/>
      <c r="M380" s="220"/>
    </row>
    <row r="381" spans="1:13" s="7" customFormat="1" ht="27" customHeight="1" x14ac:dyDescent="0.65">
      <c r="A381" s="217">
        <v>387</v>
      </c>
      <c r="B381" s="36"/>
      <c r="C381" s="4"/>
      <c r="D381" s="4"/>
      <c r="E381" s="10"/>
      <c r="F381" s="11"/>
      <c r="G381" s="224"/>
      <c r="H381" s="169"/>
      <c r="I381" s="164"/>
      <c r="J381" s="220"/>
      <c r="K381" s="220"/>
      <c r="M381" s="220"/>
    </row>
    <row r="382" spans="1:13" s="7" customFormat="1" ht="27" customHeight="1" x14ac:dyDescent="0.65">
      <c r="A382" s="217">
        <v>388</v>
      </c>
      <c r="B382" s="36"/>
      <c r="C382" s="4"/>
      <c r="D382" s="4"/>
      <c r="E382" s="10"/>
      <c r="F382" s="11"/>
      <c r="G382" s="224"/>
      <c r="H382" s="169"/>
      <c r="I382" s="164"/>
      <c r="J382" s="220"/>
      <c r="K382" s="220"/>
      <c r="M382" s="220"/>
    </row>
    <row r="383" spans="1:13" s="7" customFormat="1" ht="27" customHeight="1" x14ac:dyDescent="0.65">
      <c r="A383" s="217">
        <v>389</v>
      </c>
      <c r="B383" s="36"/>
      <c r="C383" s="4"/>
      <c r="D383" s="4"/>
      <c r="E383" s="10"/>
      <c r="F383" s="11"/>
      <c r="G383" s="224"/>
      <c r="H383" s="169"/>
      <c r="I383" s="164"/>
      <c r="J383" s="220"/>
      <c r="K383" s="220"/>
      <c r="M383" s="220"/>
    </row>
    <row r="384" spans="1:13" s="7" customFormat="1" ht="27" customHeight="1" x14ac:dyDescent="0.65">
      <c r="A384" s="217">
        <v>390</v>
      </c>
      <c r="B384" s="36"/>
      <c r="C384" s="4"/>
      <c r="D384" s="4"/>
      <c r="E384" s="10"/>
      <c r="F384" s="11"/>
      <c r="G384" s="224"/>
      <c r="H384" s="169"/>
      <c r="I384" s="164"/>
      <c r="J384" s="220"/>
      <c r="K384" s="220"/>
      <c r="M384" s="220"/>
    </row>
    <row r="385" spans="1:34" s="7" customFormat="1" ht="27" customHeight="1" x14ac:dyDescent="0.65">
      <c r="A385" s="217">
        <v>391</v>
      </c>
      <c r="B385" s="36"/>
      <c r="C385" s="4"/>
      <c r="D385" s="4"/>
      <c r="E385" s="10"/>
      <c r="F385" s="11"/>
      <c r="G385" s="224"/>
      <c r="H385" s="169"/>
      <c r="I385" s="164"/>
      <c r="J385" s="220"/>
      <c r="K385" s="220"/>
      <c r="M385" s="220"/>
    </row>
    <row r="386" spans="1:34" s="7" customFormat="1" ht="27" customHeight="1" x14ac:dyDescent="0.65">
      <c r="A386" s="217">
        <v>392</v>
      </c>
      <c r="B386" s="36"/>
      <c r="C386" s="4"/>
      <c r="D386" s="4"/>
      <c r="E386" s="10"/>
      <c r="F386" s="11"/>
      <c r="G386" s="224"/>
      <c r="H386" s="169"/>
      <c r="I386" s="164"/>
      <c r="J386" s="220"/>
      <c r="K386" s="220"/>
      <c r="M386" s="220"/>
    </row>
    <row r="387" spans="1:34" s="7" customFormat="1" ht="27" customHeight="1" x14ac:dyDescent="0.65">
      <c r="A387" s="217">
        <v>393</v>
      </c>
      <c r="B387" s="36"/>
      <c r="C387" s="4"/>
      <c r="D387" s="4"/>
      <c r="E387" s="10"/>
      <c r="F387" s="11"/>
      <c r="G387" s="224"/>
      <c r="H387" s="169"/>
      <c r="I387" s="164"/>
      <c r="J387" s="220"/>
      <c r="K387" s="220"/>
      <c r="M387" s="220"/>
    </row>
    <row r="388" spans="1:34" s="7" customFormat="1" ht="27" customHeight="1" x14ac:dyDescent="0.65">
      <c r="A388" s="217">
        <v>394</v>
      </c>
      <c r="B388" s="36"/>
      <c r="C388" s="4"/>
      <c r="D388" s="4"/>
      <c r="E388" s="10"/>
      <c r="F388" s="11"/>
      <c r="G388" s="224"/>
      <c r="H388" s="169"/>
      <c r="I388" s="164"/>
      <c r="J388" s="220"/>
      <c r="K388" s="220"/>
      <c r="M388" s="220"/>
    </row>
    <row r="389" spans="1:34" s="7" customFormat="1" ht="27" customHeight="1" x14ac:dyDescent="0.65">
      <c r="A389" s="217">
        <v>395</v>
      </c>
      <c r="B389" s="36"/>
      <c r="C389" s="4"/>
      <c r="D389" s="4"/>
      <c r="E389" s="10"/>
      <c r="F389" s="11"/>
      <c r="G389" s="227"/>
      <c r="H389" s="169"/>
      <c r="I389" s="164"/>
      <c r="J389" s="220"/>
      <c r="K389" s="220"/>
      <c r="M389" s="220"/>
    </row>
    <row r="390" spans="1:34" s="7" customFormat="1" ht="27" customHeight="1" x14ac:dyDescent="0.65">
      <c r="A390" s="217">
        <v>396</v>
      </c>
      <c r="B390" s="36"/>
      <c r="C390" s="4"/>
      <c r="D390" s="4"/>
      <c r="E390" s="10"/>
      <c r="F390" s="11"/>
      <c r="G390" s="227"/>
      <c r="H390" s="169"/>
      <c r="I390" s="164"/>
      <c r="J390" s="217"/>
      <c r="K390" s="220"/>
      <c r="M390" s="220"/>
    </row>
    <row r="391" spans="1:34" s="7" customFormat="1" ht="27" customHeight="1" x14ac:dyDescent="0.65">
      <c r="A391" s="217">
        <v>397</v>
      </c>
      <c r="B391" s="36"/>
      <c r="C391" s="4"/>
      <c r="D391" s="4"/>
      <c r="E391" s="10"/>
      <c r="F391" s="11"/>
      <c r="G391" s="227"/>
      <c r="H391" s="169"/>
      <c r="I391" s="164"/>
      <c r="J391" s="220"/>
      <c r="K391" s="220"/>
      <c r="M391" s="220"/>
    </row>
    <row r="392" spans="1:34" s="7" customFormat="1" ht="27" customHeight="1" x14ac:dyDescent="0.65">
      <c r="A392" s="217">
        <v>321</v>
      </c>
      <c r="B392" s="36"/>
      <c r="C392" s="4"/>
      <c r="D392" s="4"/>
      <c r="E392" s="10"/>
      <c r="F392" s="11"/>
      <c r="G392" s="227"/>
      <c r="H392" s="182"/>
      <c r="I392" s="188"/>
      <c r="J392" s="234"/>
      <c r="K392" s="234"/>
      <c r="M392" s="220"/>
    </row>
    <row r="393" spans="1:34" s="7" customFormat="1" ht="27" customHeight="1" x14ac:dyDescent="0.65">
      <c r="A393" s="217">
        <v>305</v>
      </c>
      <c r="B393" s="36"/>
      <c r="C393" s="4"/>
      <c r="D393" s="4"/>
      <c r="E393" s="10"/>
      <c r="F393" s="11"/>
      <c r="G393" s="227"/>
      <c r="H393" s="169"/>
      <c r="I393" s="164"/>
      <c r="J393" s="220"/>
      <c r="K393" s="220"/>
      <c r="M393" s="220"/>
      <c r="AH393" s="7">
        <v>5761960</v>
      </c>
    </row>
    <row r="394" spans="1:34" s="7" customFormat="1" ht="27" customHeight="1" x14ac:dyDescent="0.65">
      <c r="A394" s="217">
        <v>400</v>
      </c>
      <c r="B394" s="36"/>
      <c r="C394" s="4"/>
      <c r="D394" s="4"/>
      <c r="E394" s="10"/>
      <c r="F394" s="28"/>
      <c r="G394" s="227"/>
      <c r="H394" s="169"/>
      <c r="I394" s="164"/>
      <c r="J394" s="220"/>
      <c r="K394" s="220"/>
      <c r="M394" s="220"/>
    </row>
    <row r="395" spans="1:34" ht="27" customHeight="1" x14ac:dyDescent="0.6">
      <c r="A395" s="217">
        <v>7</v>
      </c>
      <c r="B395" s="36"/>
      <c r="C395" s="4"/>
      <c r="D395" s="4"/>
      <c r="E395" s="10"/>
      <c r="F395" s="11"/>
      <c r="G395" s="227"/>
      <c r="H395" s="169"/>
      <c r="I395" s="185"/>
      <c r="J395" s="216"/>
      <c r="K395" s="216"/>
      <c r="M395" s="216"/>
    </row>
    <row r="396" spans="1:34" s="7" customFormat="1" ht="27" customHeight="1" x14ac:dyDescent="0.65">
      <c r="A396" s="217">
        <v>402</v>
      </c>
      <c r="B396" s="36"/>
      <c r="C396" s="4"/>
      <c r="D396" s="4"/>
      <c r="E396" s="10"/>
      <c r="F396" s="11"/>
      <c r="G396" s="227"/>
      <c r="H396" s="169"/>
      <c r="I396" s="164"/>
      <c r="J396" s="220"/>
      <c r="K396" s="220"/>
      <c r="M396" s="220"/>
    </row>
    <row r="397" spans="1:34" ht="21" customHeight="1" x14ac:dyDescent="0.6">
      <c r="A397" s="218"/>
      <c r="B397" s="36"/>
      <c r="C397" s="4"/>
      <c r="D397" s="4"/>
      <c r="E397" s="10"/>
      <c r="F397" s="11"/>
      <c r="G397" s="227"/>
      <c r="H397" s="169"/>
      <c r="I397" s="165"/>
      <c r="J397" s="216"/>
      <c r="K397" s="216"/>
      <c r="M397" s="216"/>
    </row>
    <row r="398" spans="1:34" s="5" customFormat="1" ht="28.5" customHeight="1" x14ac:dyDescent="0.65">
      <c r="A398" s="222">
        <v>347</v>
      </c>
      <c r="B398" s="36"/>
      <c r="C398" s="4"/>
      <c r="D398" s="4"/>
      <c r="E398" s="12"/>
      <c r="F398" s="11"/>
      <c r="G398" s="227"/>
      <c r="H398" s="169"/>
      <c r="I398" s="169"/>
      <c r="J398" s="232"/>
      <c r="K398" s="232"/>
      <c r="M398" s="232"/>
    </row>
    <row r="399" spans="1:34" s="7" customFormat="1" ht="28.5" x14ac:dyDescent="0.65">
      <c r="A399" s="217">
        <v>405</v>
      </c>
      <c r="B399" s="36"/>
      <c r="C399" s="4"/>
      <c r="D399" s="4"/>
      <c r="E399" s="10"/>
      <c r="F399" s="11"/>
      <c r="G399" s="227"/>
      <c r="H399" s="169"/>
      <c r="I399" s="164"/>
      <c r="J399" s="220"/>
      <c r="K399" s="220"/>
      <c r="M399" s="220"/>
    </row>
    <row r="400" spans="1:34" ht="27" customHeight="1" x14ac:dyDescent="0.65">
      <c r="A400" s="217">
        <v>135</v>
      </c>
      <c r="B400" s="36"/>
      <c r="C400" s="4"/>
      <c r="D400" s="4"/>
      <c r="E400" s="12"/>
      <c r="F400" s="11"/>
      <c r="G400" s="227"/>
      <c r="H400" s="169"/>
      <c r="I400" s="165"/>
      <c r="J400" s="216"/>
      <c r="K400" s="216"/>
      <c r="M400" s="216"/>
    </row>
    <row r="401" spans="1:13" ht="28.5" x14ac:dyDescent="0.65">
      <c r="A401" s="218">
        <v>68</v>
      </c>
      <c r="B401" s="36"/>
      <c r="C401" s="4"/>
      <c r="D401" s="4"/>
      <c r="E401" s="12"/>
      <c r="F401" s="11"/>
      <c r="G401" s="227"/>
      <c r="H401" s="169"/>
      <c r="I401" s="165"/>
      <c r="J401" s="216"/>
      <c r="K401" s="216"/>
      <c r="M401" s="216"/>
    </row>
    <row r="402" spans="1:13" s="7" customFormat="1" ht="28.5" x14ac:dyDescent="0.65">
      <c r="A402" s="217">
        <v>408</v>
      </c>
      <c r="B402" s="36"/>
      <c r="C402" s="4"/>
      <c r="D402" s="4"/>
      <c r="E402" s="10"/>
      <c r="F402" s="11"/>
      <c r="G402" s="227"/>
      <c r="H402" s="169"/>
      <c r="I402" s="164"/>
      <c r="J402" s="220"/>
      <c r="K402" s="220"/>
      <c r="M402" s="220"/>
    </row>
    <row r="403" spans="1:13" s="7" customFormat="1" ht="27" customHeight="1" x14ac:dyDescent="0.65">
      <c r="A403" s="217">
        <v>307</v>
      </c>
      <c r="B403" s="36"/>
      <c r="C403" s="4"/>
      <c r="D403" s="4"/>
      <c r="E403" s="12"/>
      <c r="F403" s="11"/>
      <c r="G403" s="227"/>
      <c r="H403" s="169"/>
      <c r="I403" s="164"/>
      <c r="J403" s="220"/>
      <c r="K403" s="220"/>
      <c r="M403" s="220"/>
    </row>
    <row r="404" spans="1:13" s="7" customFormat="1" ht="28.5" x14ac:dyDescent="0.65">
      <c r="A404" s="217">
        <v>410</v>
      </c>
      <c r="B404" s="36"/>
      <c r="C404" s="4"/>
      <c r="D404" s="4"/>
      <c r="E404" s="12"/>
      <c r="F404" s="11"/>
      <c r="G404" s="227"/>
      <c r="H404" s="169"/>
      <c r="I404" s="164"/>
      <c r="J404" s="220"/>
      <c r="K404" s="220"/>
      <c r="M404" s="220"/>
    </row>
    <row r="405" spans="1:13" s="7" customFormat="1" ht="28.5" x14ac:dyDescent="0.65">
      <c r="A405" s="218">
        <v>170</v>
      </c>
      <c r="B405" s="36"/>
      <c r="C405" s="4"/>
      <c r="D405" s="4"/>
      <c r="E405" s="6"/>
      <c r="F405" s="11"/>
      <c r="G405" s="227"/>
      <c r="H405" s="169"/>
      <c r="I405" s="164"/>
      <c r="J405" s="220"/>
      <c r="K405" s="220"/>
      <c r="M405" s="220"/>
    </row>
    <row r="406" spans="1:13" s="7" customFormat="1" ht="28.5" x14ac:dyDescent="0.65">
      <c r="A406" s="217"/>
      <c r="B406" s="36"/>
      <c r="C406" s="4"/>
      <c r="D406" s="4"/>
      <c r="E406" s="10"/>
      <c r="F406" s="11"/>
      <c r="G406" s="227"/>
      <c r="H406" s="169"/>
      <c r="I406" s="164"/>
      <c r="J406" s="220"/>
      <c r="K406" s="220"/>
      <c r="M406" s="220"/>
    </row>
    <row r="407" spans="1:13" s="7" customFormat="1" ht="27" customHeight="1" x14ac:dyDescent="0.65">
      <c r="A407" s="217">
        <v>394</v>
      </c>
      <c r="B407" s="36"/>
      <c r="C407" s="4"/>
      <c r="D407" s="4"/>
      <c r="E407" s="12"/>
      <c r="F407" s="11"/>
      <c r="G407" s="224"/>
      <c r="H407" s="169"/>
      <c r="I407" s="164"/>
      <c r="J407" s="220"/>
      <c r="K407" s="220"/>
      <c r="M407" s="220"/>
    </row>
    <row r="408" spans="1:13" s="7" customFormat="1" ht="28.5" x14ac:dyDescent="0.65">
      <c r="A408" s="217"/>
      <c r="B408" s="36"/>
      <c r="C408" s="4"/>
      <c r="D408" s="5"/>
      <c r="E408" s="10"/>
      <c r="F408" s="11"/>
      <c r="G408" s="227"/>
      <c r="H408" s="169"/>
      <c r="I408" s="164"/>
      <c r="J408" s="220"/>
      <c r="K408" s="220"/>
      <c r="M408" s="220"/>
    </row>
    <row r="409" spans="1:13" s="7" customFormat="1" ht="28.5" x14ac:dyDescent="0.65">
      <c r="A409" s="217"/>
      <c r="B409" s="36"/>
      <c r="C409" s="4"/>
      <c r="D409" s="4"/>
      <c r="E409" s="10"/>
      <c r="F409" s="11"/>
      <c r="G409" s="227"/>
      <c r="H409" s="169"/>
      <c r="I409" s="164"/>
      <c r="J409" s="220"/>
      <c r="K409" s="220"/>
      <c r="M409" s="220"/>
    </row>
    <row r="410" spans="1:13" s="7" customFormat="1" ht="28.5" x14ac:dyDescent="0.65">
      <c r="A410" s="217"/>
      <c r="B410" s="36"/>
      <c r="C410" s="4"/>
      <c r="D410" s="4"/>
      <c r="E410" s="6"/>
      <c r="F410" s="11"/>
      <c r="G410" s="227"/>
      <c r="H410" s="169"/>
      <c r="I410" s="164"/>
      <c r="J410" s="220"/>
      <c r="K410" s="220"/>
      <c r="M410" s="220"/>
    </row>
    <row r="411" spans="1:13" s="7" customFormat="1" ht="28.5" x14ac:dyDescent="0.65">
      <c r="A411" s="217"/>
      <c r="B411" s="36"/>
      <c r="C411" s="4"/>
      <c r="D411" s="4"/>
      <c r="E411" s="6"/>
      <c r="F411" s="11"/>
      <c r="G411" s="227"/>
      <c r="H411" s="169"/>
      <c r="I411" s="164"/>
      <c r="J411" s="220"/>
      <c r="K411" s="220"/>
      <c r="M411" s="220"/>
    </row>
    <row r="412" spans="1:13" s="7" customFormat="1" ht="28.5" x14ac:dyDescent="0.65">
      <c r="A412" s="217"/>
      <c r="B412" s="36"/>
      <c r="C412" s="4"/>
      <c r="D412" s="4"/>
      <c r="E412" s="12"/>
      <c r="F412" s="11"/>
      <c r="G412" s="227"/>
      <c r="H412" s="169"/>
      <c r="I412" s="164"/>
      <c r="J412" s="220"/>
      <c r="K412" s="220"/>
      <c r="M412" s="220"/>
    </row>
    <row r="413" spans="1:13" s="7" customFormat="1" ht="27" customHeight="1" x14ac:dyDescent="0.65">
      <c r="A413" s="217">
        <v>262</v>
      </c>
      <c r="B413" s="36"/>
      <c r="C413" s="4"/>
      <c r="D413" s="4"/>
      <c r="E413" s="12"/>
      <c r="F413" s="11"/>
      <c r="G413" s="229"/>
      <c r="H413" s="169"/>
      <c r="I413" s="164"/>
      <c r="J413" s="220"/>
      <c r="K413" s="220"/>
      <c r="M413" s="220"/>
    </row>
    <row r="414" spans="1:13" s="7" customFormat="1" ht="28.5" x14ac:dyDescent="0.65">
      <c r="A414" s="217"/>
      <c r="B414" s="36"/>
      <c r="C414" s="4"/>
      <c r="D414" s="4"/>
      <c r="E414" s="6"/>
      <c r="F414" s="11"/>
      <c r="G414" s="227"/>
      <c r="H414" s="169"/>
      <c r="I414" s="164"/>
      <c r="J414" s="220"/>
      <c r="K414" s="220"/>
      <c r="M414" s="220"/>
    </row>
    <row r="415" spans="1:13" ht="31" x14ac:dyDescent="0.6">
      <c r="A415" s="218">
        <v>16</v>
      </c>
      <c r="B415" s="36"/>
      <c r="C415" s="4"/>
      <c r="D415" s="4"/>
      <c r="E415" s="4"/>
      <c r="F415" s="11"/>
      <c r="G415" s="229"/>
      <c r="H415" s="169"/>
      <c r="I415" s="185"/>
      <c r="J415" s="216"/>
      <c r="K415" s="216"/>
      <c r="M415" s="216"/>
    </row>
    <row r="416" spans="1:13" s="7" customFormat="1" ht="28.5" x14ac:dyDescent="0.65">
      <c r="A416" s="217"/>
      <c r="B416" s="36"/>
      <c r="C416" s="4"/>
      <c r="D416" s="4"/>
      <c r="E416" s="4"/>
      <c r="F416" s="11"/>
      <c r="G416" s="227"/>
      <c r="H416" s="169"/>
      <c r="I416" s="164"/>
      <c r="J416" s="220"/>
      <c r="K416" s="220"/>
      <c r="M416" s="220"/>
    </row>
    <row r="417" spans="1:13" s="7" customFormat="1" ht="28.5" x14ac:dyDescent="0.65">
      <c r="A417" s="217"/>
      <c r="B417" s="36"/>
      <c r="C417" s="4"/>
      <c r="D417" s="4"/>
      <c r="E417" s="4"/>
      <c r="F417" s="11"/>
      <c r="G417" s="227"/>
      <c r="H417" s="169"/>
      <c r="I417" s="164"/>
      <c r="J417" s="220"/>
      <c r="K417" s="220"/>
      <c r="M417" s="220"/>
    </row>
    <row r="418" spans="1:13" s="7" customFormat="1" ht="28.5" x14ac:dyDescent="0.65">
      <c r="A418" s="217"/>
      <c r="B418" s="36"/>
      <c r="C418" s="4"/>
      <c r="D418" s="4"/>
      <c r="E418" s="4"/>
      <c r="F418" s="11"/>
      <c r="G418" s="227"/>
      <c r="H418" s="169"/>
      <c r="I418" s="165"/>
      <c r="J418" s="220"/>
      <c r="K418" s="220"/>
      <c r="M418" s="220"/>
    </row>
    <row r="419" spans="1:13" x14ac:dyDescent="0.6">
      <c r="A419" s="218"/>
      <c r="B419" s="36"/>
      <c r="C419" s="4"/>
      <c r="D419" s="4"/>
      <c r="E419" s="4"/>
      <c r="F419" s="11"/>
      <c r="G419" s="227"/>
      <c r="H419" s="169"/>
      <c r="I419" s="165"/>
      <c r="J419" s="216"/>
      <c r="K419" s="216"/>
      <c r="M419" s="216"/>
    </row>
    <row r="420" spans="1:13" x14ac:dyDescent="0.6">
      <c r="A420" s="218"/>
      <c r="B420" s="36"/>
      <c r="C420" s="4"/>
      <c r="D420" s="4"/>
      <c r="E420" s="4"/>
      <c r="F420" s="11"/>
      <c r="G420" s="227"/>
      <c r="H420" s="169"/>
      <c r="I420" s="165"/>
      <c r="J420" s="216"/>
      <c r="K420" s="216"/>
      <c r="M420" s="216"/>
    </row>
    <row r="421" spans="1:13" x14ac:dyDescent="0.6">
      <c r="A421" s="218"/>
      <c r="B421" s="36"/>
      <c r="C421" s="4"/>
      <c r="D421" s="4"/>
      <c r="E421" s="4"/>
      <c r="F421" s="11"/>
      <c r="G421" s="227"/>
      <c r="H421" s="169"/>
      <c r="I421" s="165"/>
      <c r="J421" s="216"/>
      <c r="K421" s="216"/>
      <c r="M421" s="216"/>
    </row>
    <row r="422" spans="1:13" x14ac:dyDescent="0.6">
      <c r="A422" s="218"/>
      <c r="B422" s="36"/>
      <c r="C422" s="4"/>
      <c r="D422" s="4"/>
      <c r="E422" s="4"/>
      <c r="F422" s="11"/>
      <c r="G422" s="227"/>
      <c r="H422" s="169"/>
      <c r="I422" s="165"/>
      <c r="J422" s="216"/>
      <c r="K422" s="216"/>
      <c r="M422" s="216"/>
    </row>
    <row r="423" spans="1:13" x14ac:dyDescent="0.6">
      <c r="A423" s="218"/>
      <c r="B423" s="36"/>
      <c r="C423" s="4"/>
      <c r="D423" s="4"/>
      <c r="E423" s="4"/>
      <c r="F423" s="11"/>
      <c r="G423" s="227"/>
      <c r="H423" s="169"/>
      <c r="I423" s="165"/>
      <c r="J423" s="216"/>
      <c r="K423" s="216"/>
      <c r="M423" s="216"/>
    </row>
    <row r="424" spans="1:13" x14ac:dyDescent="0.6">
      <c r="A424" s="218"/>
      <c r="B424" s="36"/>
      <c r="C424" s="4"/>
      <c r="D424" s="4"/>
      <c r="E424" s="4"/>
      <c r="F424" s="11"/>
      <c r="G424" s="227"/>
      <c r="H424" s="169"/>
      <c r="I424" s="165"/>
      <c r="J424" s="216"/>
      <c r="K424" s="216"/>
      <c r="M424" s="216"/>
    </row>
    <row r="425" spans="1:13" x14ac:dyDescent="0.6">
      <c r="A425" s="218"/>
      <c r="B425" s="36"/>
      <c r="C425" s="4"/>
      <c r="D425" s="4"/>
      <c r="E425" s="4"/>
      <c r="F425" s="11"/>
      <c r="G425" s="227"/>
      <c r="H425" s="169"/>
      <c r="I425" s="165"/>
      <c r="J425" s="216"/>
      <c r="K425" s="216"/>
      <c r="M425" s="216"/>
    </row>
    <row r="426" spans="1:13" x14ac:dyDescent="0.6">
      <c r="A426" s="218"/>
      <c r="B426" s="36"/>
      <c r="C426" s="4"/>
      <c r="D426" s="4"/>
      <c r="E426" s="4"/>
      <c r="F426" s="11"/>
      <c r="G426" s="227"/>
      <c r="H426" s="169"/>
      <c r="I426" s="165"/>
      <c r="J426" s="216"/>
      <c r="K426" s="216"/>
      <c r="M426" s="216"/>
    </row>
    <row r="427" spans="1:13" x14ac:dyDescent="0.6">
      <c r="A427" s="218"/>
      <c r="B427" s="36"/>
      <c r="C427" s="4"/>
      <c r="D427" s="4"/>
      <c r="E427" s="4"/>
      <c r="F427" s="11"/>
      <c r="G427" s="227"/>
      <c r="H427" s="169"/>
      <c r="I427" s="165"/>
      <c r="J427" s="216"/>
      <c r="K427" s="216"/>
      <c r="M427" s="216"/>
    </row>
    <row r="428" spans="1:13" x14ac:dyDescent="0.6">
      <c r="A428" s="218"/>
      <c r="B428" s="36"/>
      <c r="C428" s="4"/>
      <c r="D428" s="4"/>
      <c r="E428" s="4"/>
      <c r="F428" s="11"/>
      <c r="G428" s="227"/>
      <c r="H428" s="169"/>
      <c r="I428" s="165"/>
      <c r="J428" s="216"/>
      <c r="K428" s="216"/>
      <c r="M428" s="216"/>
    </row>
    <row r="429" spans="1:13" x14ac:dyDescent="0.6">
      <c r="A429" s="218"/>
      <c r="B429" s="36"/>
      <c r="C429" s="4"/>
      <c r="D429" s="4"/>
      <c r="E429" s="4"/>
      <c r="F429" s="11"/>
      <c r="G429" s="227"/>
      <c r="H429" s="169"/>
      <c r="I429" s="165"/>
      <c r="J429" s="216"/>
      <c r="K429" s="216"/>
      <c r="M429" s="216"/>
    </row>
    <row r="430" spans="1:13" x14ac:dyDescent="0.6">
      <c r="A430" s="218"/>
      <c r="B430" s="36"/>
      <c r="C430" s="4"/>
      <c r="D430" s="4"/>
      <c r="E430" s="4"/>
      <c r="F430" s="11"/>
      <c r="G430" s="227"/>
      <c r="H430" s="169"/>
      <c r="I430" s="165"/>
      <c r="J430" s="216"/>
      <c r="K430" s="216"/>
      <c r="M430" s="216"/>
    </row>
    <row r="431" spans="1:13" x14ac:dyDescent="0.6">
      <c r="A431" s="218"/>
      <c r="B431" s="36"/>
      <c r="C431" s="4"/>
      <c r="D431" s="4"/>
      <c r="E431" s="4"/>
      <c r="F431" s="11"/>
      <c r="G431" s="227"/>
      <c r="H431" s="169"/>
      <c r="I431" s="165"/>
      <c r="J431" s="216"/>
      <c r="K431" s="216"/>
      <c r="M431" s="216"/>
    </row>
    <row r="432" spans="1:13" x14ac:dyDescent="0.6">
      <c r="A432" s="218"/>
      <c r="B432" s="36"/>
      <c r="C432" s="4"/>
      <c r="D432" s="4"/>
      <c r="E432" s="4"/>
      <c r="F432" s="11"/>
      <c r="G432" s="227"/>
      <c r="H432" s="169"/>
      <c r="I432" s="165"/>
      <c r="J432" s="216"/>
      <c r="K432" s="216"/>
      <c r="M432" s="216"/>
    </row>
    <row r="433" spans="1:13" x14ac:dyDescent="0.6">
      <c r="A433" s="218"/>
      <c r="B433" s="36"/>
      <c r="C433" s="4"/>
      <c r="D433" s="4"/>
      <c r="E433" s="4"/>
      <c r="F433" s="11"/>
      <c r="G433" s="227"/>
      <c r="H433" s="169"/>
      <c r="I433" s="165"/>
      <c r="J433" s="216"/>
      <c r="K433" s="216"/>
      <c r="M433" s="216"/>
    </row>
    <row r="434" spans="1:13" x14ac:dyDescent="0.6">
      <c r="A434" s="218"/>
      <c r="B434" s="36"/>
      <c r="C434" s="4"/>
      <c r="D434" s="4"/>
      <c r="E434" s="4"/>
      <c r="F434" s="11"/>
      <c r="G434" s="227"/>
      <c r="H434" s="169"/>
      <c r="I434" s="165"/>
      <c r="J434" s="216"/>
      <c r="K434" s="216"/>
      <c r="M434" s="216"/>
    </row>
    <row r="435" spans="1:13" x14ac:dyDescent="0.6">
      <c r="A435" s="218"/>
      <c r="B435" s="36"/>
      <c r="C435" s="4"/>
      <c r="D435" s="4"/>
      <c r="E435" s="4"/>
      <c r="F435" s="11"/>
      <c r="G435" s="227"/>
      <c r="H435" s="169"/>
      <c r="I435" s="165"/>
      <c r="J435" s="216"/>
      <c r="K435" s="216"/>
      <c r="M435" s="216"/>
    </row>
    <row r="436" spans="1:13" x14ac:dyDescent="0.6">
      <c r="A436" s="218"/>
      <c r="B436" s="36"/>
      <c r="C436" s="4"/>
      <c r="D436" s="4"/>
      <c r="E436" s="4"/>
      <c r="F436" s="11"/>
      <c r="G436" s="227"/>
      <c r="H436" s="169"/>
      <c r="I436" s="165"/>
      <c r="J436" s="216"/>
      <c r="K436" s="216"/>
      <c r="M436" s="216"/>
    </row>
    <row r="437" spans="1:13" x14ac:dyDescent="0.6">
      <c r="A437" s="218"/>
      <c r="B437" s="36"/>
      <c r="C437" s="4"/>
      <c r="D437" s="4"/>
      <c r="E437" s="4"/>
      <c r="F437" s="11"/>
      <c r="G437" s="227"/>
      <c r="H437" s="169"/>
      <c r="I437" s="165"/>
      <c r="J437" s="216"/>
      <c r="K437" s="216"/>
      <c r="M437" s="216"/>
    </row>
    <row r="438" spans="1:13" x14ac:dyDescent="0.6">
      <c r="A438" s="218"/>
      <c r="B438" s="36"/>
      <c r="C438" s="4"/>
      <c r="D438" s="4"/>
      <c r="E438" s="4"/>
      <c r="F438" s="11"/>
      <c r="G438" s="227"/>
      <c r="H438" s="169"/>
      <c r="I438" s="165"/>
      <c r="J438" s="216"/>
      <c r="K438" s="216"/>
      <c r="M438" s="216"/>
    </row>
    <row r="439" spans="1:13" x14ac:dyDescent="0.6">
      <c r="A439" s="218"/>
      <c r="B439" s="36"/>
      <c r="C439" s="4"/>
      <c r="D439" s="4"/>
      <c r="E439" s="4"/>
      <c r="F439" s="11"/>
      <c r="G439" s="227"/>
      <c r="H439" s="169"/>
      <c r="I439" s="165"/>
      <c r="J439" s="216"/>
      <c r="K439" s="216"/>
      <c r="M439" s="216"/>
    </row>
    <row r="440" spans="1:13" x14ac:dyDescent="0.6">
      <c r="A440" s="218"/>
      <c r="B440" s="36"/>
      <c r="C440" s="4"/>
      <c r="D440" s="4"/>
      <c r="E440" s="4"/>
      <c r="F440" s="11"/>
      <c r="G440" s="227"/>
      <c r="H440" s="169"/>
      <c r="I440" s="165"/>
      <c r="J440" s="216"/>
      <c r="K440" s="216"/>
      <c r="M440" s="216"/>
    </row>
    <row r="441" spans="1:13" x14ac:dyDescent="0.6">
      <c r="A441" s="218"/>
      <c r="B441" s="36"/>
      <c r="C441" s="4"/>
      <c r="D441" s="4"/>
      <c r="E441" s="4"/>
      <c r="F441" s="11"/>
      <c r="G441" s="227"/>
      <c r="H441" s="169"/>
      <c r="I441" s="165"/>
      <c r="J441" s="216"/>
      <c r="K441" s="216"/>
      <c r="M441" s="216"/>
    </row>
    <row r="442" spans="1:13" x14ac:dyDescent="0.6">
      <c r="A442" s="218"/>
      <c r="B442" s="36"/>
      <c r="C442" s="4"/>
      <c r="D442" s="4"/>
      <c r="E442" s="4"/>
      <c r="F442" s="11"/>
      <c r="G442" s="227"/>
      <c r="H442" s="169"/>
      <c r="I442" s="165"/>
      <c r="J442" s="216"/>
      <c r="K442" s="216"/>
      <c r="M442" s="216"/>
    </row>
    <row r="443" spans="1:13" x14ac:dyDescent="0.6">
      <c r="A443" s="218"/>
      <c r="B443" s="36"/>
      <c r="C443" s="4"/>
      <c r="D443" s="4"/>
      <c r="E443" s="4"/>
      <c r="F443" s="11"/>
      <c r="G443" s="227"/>
      <c r="H443" s="169"/>
      <c r="I443" s="165"/>
      <c r="J443" s="216"/>
      <c r="K443" s="216"/>
      <c r="M443" s="216"/>
    </row>
    <row r="444" spans="1:13" x14ac:dyDescent="0.6">
      <c r="A444" s="218"/>
      <c r="B444" s="36"/>
      <c r="C444" s="4"/>
      <c r="D444" s="4"/>
      <c r="E444" s="4"/>
      <c r="F444" s="11"/>
      <c r="G444" s="227"/>
      <c r="H444" s="169"/>
      <c r="I444" s="165"/>
      <c r="J444" s="216"/>
      <c r="K444" s="216"/>
      <c r="M444" s="216"/>
    </row>
    <row r="445" spans="1:13" x14ac:dyDescent="0.6">
      <c r="A445" s="218"/>
      <c r="B445" s="36"/>
      <c r="C445" s="4"/>
      <c r="D445" s="4"/>
      <c r="E445" s="4"/>
      <c r="F445" s="11"/>
      <c r="G445" s="227"/>
      <c r="H445" s="169"/>
      <c r="I445" s="165"/>
      <c r="J445" s="216"/>
      <c r="K445" s="216"/>
      <c r="M445" s="216"/>
    </row>
    <row r="446" spans="1:13" x14ac:dyDescent="0.6">
      <c r="A446" s="218"/>
      <c r="B446" s="36"/>
      <c r="C446" s="4"/>
      <c r="D446" s="4"/>
      <c r="E446" s="4"/>
      <c r="F446" s="11"/>
      <c r="G446" s="227"/>
      <c r="H446" s="169"/>
      <c r="I446" s="165"/>
      <c r="J446" s="216"/>
      <c r="K446" s="216"/>
      <c r="M446" s="216"/>
    </row>
    <row r="447" spans="1:13" x14ac:dyDescent="0.6">
      <c r="A447" s="218"/>
      <c r="B447" s="36"/>
      <c r="C447" s="4"/>
      <c r="D447" s="4"/>
      <c r="E447" s="4"/>
      <c r="F447" s="11"/>
      <c r="G447" s="227"/>
      <c r="H447" s="169"/>
      <c r="I447" s="165"/>
      <c r="J447" s="216"/>
      <c r="K447" s="216"/>
      <c r="M447" s="216"/>
    </row>
    <row r="448" spans="1:13" x14ac:dyDescent="0.6">
      <c r="A448" s="218"/>
      <c r="B448" s="36"/>
      <c r="C448" s="4"/>
      <c r="D448" s="4"/>
      <c r="E448" s="4"/>
      <c r="F448" s="11"/>
      <c r="G448" s="227"/>
      <c r="H448" s="169"/>
      <c r="I448" s="165"/>
      <c r="J448" s="216"/>
      <c r="K448" s="216"/>
      <c r="M448" s="216"/>
    </row>
    <row r="449" spans="1:13" x14ac:dyDescent="0.6">
      <c r="A449" s="218"/>
      <c r="B449" s="36"/>
      <c r="C449" s="4"/>
      <c r="D449" s="4"/>
      <c r="E449" s="4"/>
      <c r="F449" s="11"/>
      <c r="G449" s="227"/>
      <c r="H449" s="169"/>
      <c r="I449" s="165"/>
      <c r="J449" s="216"/>
      <c r="K449" s="216"/>
      <c r="M449" s="216"/>
    </row>
    <row r="450" spans="1:13" x14ac:dyDescent="0.6">
      <c r="A450" s="218"/>
      <c r="B450" s="36"/>
      <c r="C450" s="4"/>
      <c r="D450" s="4"/>
      <c r="E450" s="4"/>
      <c r="F450" s="11"/>
      <c r="G450" s="227"/>
      <c r="H450" s="169"/>
      <c r="I450" s="165"/>
      <c r="J450" s="216"/>
      <c r="K450" s="216"/>
      <c r="M450" s="216"/>
    </row>
    <row r="451" spans="1:13" x14ac:dyDescent="0.6">
      <c r="A451" s="218"/>
      <c r="B451" s="36"/>
      <c r="C451" s="4"/>
      <c r="D451" s="4"/>
      <c r="E451" s="4"/>
      <c r="F451" s="11"/>
      <c r="G451" s="227"/>
      <c r="H451" s="169"/>
      <c r="I451" s="165"/>
      <c r="J451" s="216"/>
      <c r="K451" s="216"/>
      <c r="M451" s="216"/>
    </row>
    <row r="452" spans="1:13" x14ac:dyDescent="0.6">
      <c r="A452" s="218"/>
      <c r="B452" s="36"/>
      <c r="C452" s="4"/>
      <c r="D452" s="4"/>
      <c r="E452" s="4"/>
      <c r="F452" s="11"/>
      <c r="G452" s="227"/>
      <c r="H452" s="169"/>
      <c r="I452" s="165"/>
      <c r="J452" s="216"/>
      <c r="K452" s="216"/>
      <c r="M452" s="216"/>
    </row>
    <row r="453" spans="1:13" x14ac:dyDescent="0.6">
      <c r="A453" s="218"/>
      <c r="B453" s="36"/>
      <c r="C453" s="4"/>
      <c r="D453" s="4"/>
      <c r="E453" s="4"/>
      <c r="F453" s="11"/>
      <c r="G453" s="227"/>
      <c r="H453" s="169"/>
      <c r="I453" s="165"/>
      <c r="J453" s="216"/>
      <c r="K453" s="216"/>
      <c r="M453" s="216"/>
    </row>
    <row r="454" spans="1:13" x14ac:dyDescent="0.6">
      <c r="A454" s="218"/>
      <c r="B454" s="36"/>
      <c r="C454" s="4"/>
      <c r="D454" s="4"/>
      <c r="E454" s="4"/>
      <c r="F454" s="11"/>
      <c r="G454" s="227"/>
      <c r="H454" s="169"/>
      <c r="I454" s="165"/>
      <c r="J454" s="216"/>
      <c r="K454" s="216"/>
      <c r="M454" s="216"/>
    </row>
    <row r="455" spans="1:13" x14ac:dyDescent="0.6">
      <c r="A455" s="218"/>
      <c r="B455" s="36"/>
      <c r="C455" s="4"/>
      <c r="D455" s="4"/>
      <c r="E455" s="4"/>
      <c r="F455" s="11"/>
      <c r="G455" s="227"/>
      <c r="H455" s="169"/>
      <c r="I455" s="165"/>
      <c r="J455" s="216"/>
      <c r="K455" s="216"/>
      <c r="M455" s="216"/>
    </row>
    <row r="456" spans="1:13" x14ac:dyDescent="0.6">
      <c r="A456" s="218"/>
      <c r="B456" s="36"/>
      <c r="C456" s="4"/>
      <c r="D456" s="4"/>
      <c r="E456" s="4"/>
      <c r="F456" s="11"/>
      <c r="G456" s="227"/>
      <c r="H456" s="169"/>
      <c r="I456" s="165"/>
      <c r="J456" s="216"/>
      <c r="K456" s="216"/>
      <c r="M456" s="216"/>
    </row>
    <row r="457" spans="1:13" x14ac:dyDescent="0.6">
      <c r="A457" s="218"/>
      <c r="B457" s="36"/>
      <c r="C457" s="4"/>
      <c r="D457" s="4"/>
      <c r="E457" s="4"/>
      <c r="F457" s="11"/>
      <c r="G457" s="227"/>
      <c r="H457" s="169"/>
      <c r="I457" s="165"/>
      <c r="J457" s="216"/>
      <c r="K457" s="216"/>
      <c r="M457" s="216"/>
    </row>
    <row r="458" spans="1:13" x14ac:dyDescent="0.6">
      <c r="A458" s="218"/>
      <c r="B458" s="36"/>
      <c r="C458" s="4"/>
      <c r="D458" s="4"/>
      <c r="E458" s="4"/>
      <c r="F458" s="11"/>
      <c r="G458" s="227"/>
      <c r="H458" s="169"/>
      <c r="I458" s="165"/>
      <c r="J458" s="216"/>
      <c r="K458" s="216"/>
      <c r="M458" s="216"/>
    </row>
    <row r="459" spans="1:13" x14ac:dyDescent="0.6">
      <c r="A459" s="218"/>
      <c r="B459" s="36"/>
      <c r="C459" s="4"/>
      <c r="D459" s="4"/>
      <c r="E459" s="4"/>
      <c r="F459" s="11"/>
      <c r="G459" s="227"/>
      <c r="H459" s="169"/>
      <c r="I459" s="165"/>
      <c r="J459" s="216"/>
      <c r="K459" s="216"/>
      <c r="M459" s="216"/>
    </row>
    <row r="460" spans="1:13" x14ac:dyDescent="0.6">
      <c r="A460" s="218"/>
      <c r="B460" s="36"/>
      <c r="C460" s="4"/>
      <c r="D460" s="4"/>
      <c r="E460" s="4"/>
      <c r="F460" s="11"/>
      <c r="G460" s="227"/>
      <c r="H460" s="169"/>
      <c r="I460" s="165"/>
      <c r="J460" s="216"/>
      <c r="K460" s="216"/>
      <c r="M460" s="216"/>
    </row>
    <row r="461" spans="1:13" x14ac:dyDescent="0.6">
      <c r="A461" s="218"/>
      <c r="B461" s="36"/>
      <c r="C461" s="4"/>
      <c r="D461" s="4"/>
      <c r="E461" s="4"/>
      <c r="F461" s="11"/>
      <c r="G461" s="227"/>
      <c r="H461" s="169"/>
      <c r="I461" s="165"/>
      <c r="J461" s="216"/>
      <c r="K461" s="216"/>
      <c r="M461" s="216"/>
    </row>
    <row r="462" spans="1:13" x14ac:dyDescent="0.6">
      <c r="A462" s="218"/>
      <c r="B462" s="36"/>
      <c r="C462" s="4"/>
      <c r="D462" s="4"/>
      <c r="E462" s="4"/>
      <c r="F462" s="11"/>
      <c r="G462" s="227"/>
      <c r="H462" s="169"/>
      <c r="I462" s="165"/>
      <c r="J462" s="216"/>
      <c r="K462" s="216"/>
      <c r="M462" s="216"/>
    </row>
    <row r="463" spans="1:13" x14ac:dyDescent="0.6">
      <c r="A463" s="218"/>
      <c r="B463" s="36"/>
      <c r="C463" s="4"/>
      <c r="D463" s="4"/>
      <c r="E463" s="4"/>
      <c r="F463" s="11"/>
      <c r="G463" s="227"/>
      <c r="H463" s="169"/>
      <c r="I463" s="165"/>
      <c r="J463" s="216"/>
      <c r="K463" s="216"/>
      <c r="M463" s="216"/>
    </row>
    <row r="464" spans="1:13" x14ac:dyDescent="0.6">
      <c r="A464" s="218"/>
      <c r="B464" s="36"/>
      <c r="C464" s="4"/>
      <c r="D464" s="4"/>
      <c r="E464" s="4"/>
      <c r="F464" s="11"/>
      <c r="G464" s="227"/>
      <c r="H464" s="169"/>
      <c r="I464" s="165"/>
      <c r="J464" s="216"/>
      <c r="K464" s="216"/>
      <c r="M464" s="216"/>
    </row>
    <row r="465" spans="1:13" x14ac:dyDescent="0.6">
      <c r="A465" s="218"/>
      <c r="B465" s="36"/>
      <c r="C465" s="4"/>
      <c r="D465" s="4"/>
      <c r="E465" s="4"/>
      <c r="F465" s="11"/>
      <c r="G465" s="227"/>
      <c r="H465" s="169"/>
      <c r="I465" s="165"/>
      <c r="J465" s="216"/>
      <c r="K465" s="216"/>
      <c r="M465" s="216"/>
    </row>
    <row r="466" spans="1:13" x14ac:dyDescent="0.6">
      <c r="A466" s="218"/>
      <c r="B466" s="36"/>
      <c r="C466" s="4"/>
      <c r="D466" s="4"/>
      <c r="E466" s="4"/>
      <c r="F466" s="11"/>
      <c r="G466" s="227"/>
      <c r="H466" s="169"/>
      <c r="I466" s="165"/>
      <c r="J466" s="216"/>
      <c r="K466" s="216"/>
      <c r="M466" s="216"/>
    </row>
    <row r="467" spans="1:13" x14ac:dyDescent="0.6">
      <c r="A467" s="218"/>
      <c r="B467" s="36"/>
      <c r="C467" s="4"/>
      <c r="D467" s="4"/>
      <c r="E467" s="4"/>
      <c r="F467" s="11"/>
      <c r="G467" s="227"/>
      <c r="H467" s="169"/>
      <c r="I467" s="165"/>
      <c r="J467" s="216"/>
      <c r="K467" s="216"/>
      <c r="M467" s="216"/>
    </row>
    <row r="468" spans="1:13" x14ac:dyDescent="0.6">
      <c r="A468" s="218"/>
      <c r="B468" s="36"/>
      <c r="C468" s="4"/>
      <c r="D468" s="4"/>
      <c r="E468" s="4"/>
      <c r="F468" s="11"/>
      <c r="G468" s="227"/>
      <c r="H468" s="169"/>
      <c r="I468" s="165"/>
      <c r="J468" s="216"/>
      <c r="K468" s="216"/>
      <c r="M468" s="216"/>
    </row>
    <row r="469" spans="1:13" x14ac:dyDescent="0.6">
      <c r="A469" s="218"/>
      <c r="B469" s="36"/>
      <c r="C469" s="4"/>
      <c r="D469" s="4"/>
      <c r="E469" s="4"/>
      <c r="F469" s="11"/>
      <c r="G469" s="227"/>
      <c r="H469" s="169"/>
      <c r="I469" s="165"/>
      <c r="J469" s="216"/>
      <c r="K469" s="216"/>
      <c r="M469" s="216"/>
    </row>
    <row r="470" spans="1:13" x14ac:dyDescent="0.6">
      <c r="A470" s="218"/>
      <c r="B470" s="36"/>
      <c r="C470" s="4"/>
      <c r="D470" s="4"/>
      <c r="E470" s="4"/>
      <c r="F470" s="11"/>
      <c r="G470" s="227"/>
      <c r="H470" s="169"/>
      <c r="I470" s="165"/>
      <c r="J470" s="216"/>
      <c r="K470" s="216"/>
      <c r="M470" s="216"/>
    </row>
    <row r="471" spans="1:13" x14ac:dyDescent="0.6">
      <c r="A471" s="218"/>
      <c r="B471" s="36"/>
      <c r="C471" s="4"/>
      <c r="D471" s="4"/>
      <c r="E471" s="4"/>
      <c r="F471" s="11"/>
      <c r="G471" s="227"/>
      <c r="H471" s="169"/>
      <c r="I471" s="165"/>
      <c r="J471" s="216"/>
      <c r="K471" s="216"/>
      <c r="M471" s="216"/>
    </row>
    <row r="472" spans="1:13" x14ac:dyDescent="0.6">
      <c r="A472" s="218"/>
      <c r="B472" s="36"/>
      <c r="C472" s="4"/>
      <c r="D472" s="4"/>
      <c r="E472" s="4"/>
      <c r="F472" s="11"/>
      <c r="G472" s="227"/>
      <c r="H472" s="169"/>
      <c r="I472" s="165"/>
      <c r="J472" s="216"/>
      <c r="K472" s="216"/>
      <c r="M472" s="216"/>
    </row>
    <row r="473" spans="1:13" x14ac:dyDescent="0.6">
      <c r="A473" s="218"/>
      <c r="B473" s="36"/>
      <c r="C473" s="4"/>
      <c r="D473" s="4"/>
      <c r="E473" s="4"/>
      <c r="F473" s="11"/>
      <c r="G473" s="227"/>
      <c r="H473" s="169"/>
      <c r="I473" s="165"/>
      <c r="J473" s="216"/>
      <c r="K473" s="216"/>
      <c r="M473" s="216"/>
    </row>
    <row r="474" spans="1:13" x14ac:dyDescent="0.6">
      <c r="A474" s="218"/>
      <c r="B474" s="36"/>
      <c r="C474" s="4"/>
      <c r="D474" s="4"/>
      <c r="E474" s="4"/>
      <c r="F474" s="11"/>
      <c r="G474" s="227"/>
      <c r="H474" s="169"/>
      <c r="I474" s="165"/>
      <c r="J474" s="216"/>
      <c r="K474" s="216"/>
      <c r="M474" s="216"/>
    </row>
    <row r="475" spans="1:13" x14ac:dyDescent="0.6">
      <c r="A475" s="218"/>
      <c r="B475" s="36"/>
      <c r="C475" s="4"/>
      <c r="D475" s="4"/>
      <c r="E475" s="4"/>
      <c r="F475" s="11"/>
      <c r="G475" s="227"/>
      <c r="H475" s="169"/>
      <c r="I475" s="165"/>
      <c r="J475" s="216"/>
      <c r="K475" s="216"/>
      <c r="M475" s="216"/>
    </row>
    <row r="476" spans="1:13" x14ac:dyDescent="0.6">
      <c r="A476" s="218"/>
      <c r="B476" s="36"/>
      <c r="C476" s="4"/>
      <c r="D476" s="4"/>
      <c r="E476" s="4"/>
      <c r="F476" s="11"/>
      <c r="G476" s="227"/>
      <c r="H476" s="169"/>
      <c r="I476" s="165"/>
      <c r="J476" s="216"/>
      <c r="K476" s="216"/>
      <c r="M476" s="216"/>
    </row>
    <row r="477" spans="1:13" x14ac:dyDescent="0.6">
      <c r="A477" s="218"/>
      <c r="B477" s="36"/>
      <c r="C477" s="4"/>
      <c r="D477" s="4"/>
      <c r="E477" s="4"/>
      <c r="F477" s="11"/>
      <c r="G477" s="227"/>
      <c r="H477" s="169"/>
      <c r="I477" s="165"/>
      <c r="J477" s="216"/>
      <c r="K477" s="216"/>
      <c r="M477" s="216"/>
    </row>
    <row r="478" spans="1:13" x14ac:dyDescent="0.6">
      <c r="A478" s="218"/>
      <c r="B478" s="36"/>
      <c r="C478" s="4"/>
      <c r="D478" s="4"/>
      <c r="E478" s="4"/>
      <c r="F478" s="11"/>
      <c r="G478" s="227"/>
      <c r="H478" s="169"/>
      <c r="I478" s="165"/>
      <c r="J478" s="216"/>
      <c r="K478" s="216"/>
      <c r="M478" s="216"/>
    </row>
    <row r="479" spans="1:13" x14ac:dyDescent="0.6">
      <c r="A479" s="218"/>
      <c r="B479" s="36"/>
      <c r="C479" s="4"/>
      <c r="D479" s="4"/>
      <c r="E479" s="4"/>
      <c r="F479" s="11"/>
      <c r="G479" s="227"/>
      <c r="H479" s="169"/>
      <c r="I479" s="165"/>
      <c r="J479" s="216"/>
      <c r="K479" s="216"/>
      <c r="M479" s="216"/>
    </row>
    <row r="480" spans="1:13" x14ac:dyDescent="0.6">
      <c r="A480" s="218"/>
      <c r="B480" s="36"/>
      <c r="C480" s="4"/>
      <c r="D480" s="4"/>
      <c r="E480" s="4"/>
      <c r="F480" s="11"/>
      <c r="G480" s="227"/>
      <c r="H480" s="169"/>
      <c r="I480" s="165"/>
      <c r="J480" s="216"/>
      <c r="K480" s="216"/>
      <c r="M480" s="216"/>
    </row>
    <row r="481" spans="1:13" x14ac:dyDescent="0.6">
      <c r="A481" s="218"/>
      <c r="B481" s="36"/>
      <c r="C481" s="4"/>
      <c r="D481" s="4"/>
      <c r="E481" s="4"/>
      <c r="F481" s="11"/>
      <c r="G481" s="227"/>
      <c r="H481" s="169"/>
      <c r="I481" s="165"/>
      <c r="J481" s="216"/>
      <c r="K481" s="216"/>
      <c r="M481" s="216"/>
    </row>
    <row r="482" spans="1:13" x14ac:dyDescent="0.6">
      <c r="A482" s="218"/>
      <c r="B482" s="36"/>
      <c r="C482" s="4"/>
      <c r="D482" s="4"/>
      <c r="E482" s="4"/>
      <c r="F482" s="11"/>
      <c r="G482" s="227"/>
      <c r="H482" s="169"/>
      <c r="I482" s="165"/>
      <c r="J482" s="216"/>
      <c r="K482" s="216"/>
      <c r="M482" s="216"/>
    </row>
    <row r="483" spans="1:13" x14ac:dyDescent="0.6">
      <c r="A483" s="218"/>
      <c r="B483" s="36"/>
      <c r="C483" s="4"/>
      <c r="D483" s="4"/>
      <c r="E483" s="4"/>
      <c r="F483" s="11"/>
      <c r="G483" s="227"/>
      <c r="H483" s="169"/>
      <c r="I483" s="165"/>
      <c r="J483" s="216"/>
      <c r="K483" s="216"/>
      <c r="M483" s="216"/>
    </row>
    <row r="484" spans="1:13" x14ac:dyDescent="0.6">
      <c r="A484" s="218"/>
      <c r="B484" s="36"/>
      <c r="C484" s="4"/>
      <c r="D484" s="4"/>
      <c r="E484" s="4"/>
      <c r="F484" s="11"/>
      <c r="G484" s="227"/>
      <c r="H484" s="169"/>
      <c r="I484" s="165"/>
      <c r="J484" s="216"/>
      <c r="K484" s="216"/>
      <c r="M484" s="216"/>
    </row>
    <row r="485" spans="1:13" x14ac:dyDescent="0.6">
      <c r="A485" s="218"/>
      <c r="B485" s="36"/>
      <c r="C485" s="4"/>
      <c r="D485" s="4"/>
      <c r="E485" s="4"/>
      <c r="F485" s="11"/>
      <c r="G485" s="227"/>
      <c r="H485" s="169"/>
      <c r="I485" s="165"/>
      <c r="J485" s="216"/>
      <c r="K485" s="216"/>
      <c r="M485" s="216"/>
    </row>
    <row r="486" spans="1:13" x14ac:dyDescent="0.6">
      <c r="A486" s="218"/>
      <c r="B486" s="36"/>
      <c r="C486" s="4"/>
      <c r="D486" s="4"/>
      <c r="E486" s="4"/>
      <c r="F486" s="11"/>
      <c r="G486" s="227"/>
      <c r="H486" s="169"/>
      <c r="I486" s="165"/>
      <c r="J486" s="216"/>
      <c r="K486" s="216"/>
      <c r="M486" s="216"/>
    </row>
    <row r="487" spans="1:13" x14ac:dyDescent="0.6">
      <c r="A487" s="218"/>
      <c r="B487" s="36"/>
      <c r="C487" s="4"/>
      <c r="D487" s="4"/>
      <c r="E487" s="4"/>
      <c r="F487" s="11"/>
      <c r="G487" s="227"/>
      <c r="H487" s="169"/>
      <c r="I487" s="165"/>
      <c r="J487" s="216"/>
      <c r="K487" s="216"/>
      <c r="M487" s="216"/>
    </row>
    <row r="488" spans="1:13" x14ac:dyDescent="0.6">
      <c r="A488" s="218"/>
      <c r="B488" s="36"/>
      <c r="C488" s="4"/>
      <c r="D488" s="4"/>
      <c r="E488" s="4"/>
      <c r="F488" s="11"/>
      <c r="G488" s="227"/>
      <c r="H488" s="169"/>
      <c r="I488" s="165"/>
      <c r="J488" s="216"/>
      <c r="K488" s="216"/>
      <c r="M488" s="216"/>
    </row>
    <row r="489" spans="1:13" x14ac:dyDescent="0.6">
      <c r="A489" s="218"/>
      <c r="B489" s="36"/>
      <c r="C489" s="4"/>
      <c r="D489" s="4"/>
      <c r="E489" s="4"/>
      <c r="F489" s="11"/>
      <c r="G489" s="227"/>
      <c r="H489" s="169"/>
      <c r="I489" s="165"/>
      <c r="J489" s="216"/>
      <c r="K489" s="216"/>
      <c r="M489" s="216"/>
    </row>
    <row r="490" spans="1:13" x14ac:dyDescent="0.6">
      <c r="A490" s="218"/>
      <c r="B490" s="36"/>
      <c r="C490" s="4"/>
      <c r="D490" s="4"/>
      <c r="E490" s="4"/>
      <c r="F490" s="11"/>
      <c r="G490" s="227"/>
      <c r="H490" s="169"/>
      <c r="I490" s="165"/>
      <c r="J490" s="216"/>
      <c r="K490" s="216"/>
      <c r="M490" s="216"/>
    </row>
    <row r="491" spans="1:13" x14ac:dyDescent="0.6">
      <c r="A491" s="218"/>
      <c r="B491" s="36"/>
      <c r="C491" s="4"/>
      <c r="D491" s="4"/>
      <c r="E491" s="4"/>
      <c r="F491" s="11"/>
      <c r="G491" s="227"/>
      <c r="H491" s="169"/>
      <c r="I491" s="165"/>
      <c r="J491" s="216"/>
      <c r="K491" s="216"/>
      <c r="M491" s="216"/>
    </row>
    <row r="492" spans="1:13" x14ac:dyDescent="0.6">
      <c r="A492" s="218"/>
      <c r="B492" s="36"/>
      <c r="C492" s="4"/>
      <c r="D492" s="4"/>
      <c r="E492" s="4"/>
      <c r="F492" s="11"/>
      <c r="G492" s="227"/>
      <c r="H492" s="169"/>
      <c r="I492" s="165"/>
      <c r="J492" s="216"/>
      <c r="K492" s="216"/>
      <c r="M492" s="216"/>
    </row>
    <row r="493" spans="1:13" x14ac:dyDescent="0.6">
      <c r="A493" s="218"/>
      <c r="B493" s="36"/>
      <c r="C493" s="4"/>
      <c r="D493" s="4"/>
      <c r="E493" s="4"/>
      <c r="F493" s="11"/>
      <c r="G493" s="227"/>
      <c r="H493" s="169"/>
      <c r="I493" s="165"/>
      <c r="J493" s="216"/>
      <c r="K493" s="216"/>
      <c r="M493" s="216"/>
    </row>
    <row r="494" spans="1:13" x14ac:dyDescent="0.6">
      <c r="A494" s="218"/>
      <c r="B494" s="36"/>
      <c r="C494" s="4"/>
      <c r="D494" s="4"/>
      <c r="E494" s="4"/>
      <c r="F494" s="11"/>
      <c r="G494" s="227"/>
      <c r="H494" s="169"/>
      <c r="I494" s="165"/>
      <c r="J494" s="216"/>
      <c r="K494" s="216"/>
      <c r="M494" s="216"/>
    </row>
    <row r="495" spans="1:13" x14ac:dyDescent="0.6">
      <c r="A495" s="218"/>
      <c r="B495" s="36"/>
      <c r="C495" s="4"/>
      <c r="D495" s="4"/>
      <c r="E495" s="4"/>
      <c r="F495" s="11"/>
      <c r="G495" s="227"/>
      <c r="H495" s="169"/>
      <c r="I495" s="165"/>
      <c r="J495" s="216"/>
      <c r="K495" s="216"/>
      <c r="M495" s="216"/>
    </row>
    <row r="496" spans="1:13" x14ac:dyDescent="0.6">
      <c r="A496" s="218"/>
      <c r="B496" s="36"/>
      <c r="C496" s="4"/>
      <c r="D496" s="4"/>
      <c r="E496" s="4"/>
      <c r="F496" s="11"/>
      <c r="G496" s="227"/>
      <c r="H496" s="169"/>
      <c r="I496" s="165"/>
      <c r="J496" s="216"/>
      <c r="K496" s="216"/>
      <c r="M496" s="216"/>
    </row>
    <row r="497" spans="1:13" x14ac:dyDescent="0.6">
      <c r="A497" s="218"/>
      <c r="B497" s="36"/>
      <c r="C497" s="4"/>
      <c r="D497" s="4"/>
      <c r="E497" s="4"/>
      <c r="F497" s="11"/>
      <c r="G497" s="227"/>
      <c r="H497" s="169"/>
      <c r="I497" s="165"/>
      <c r="J497" s="216"/>
      <c r="K497" s="216"/>
      <c r="M497" s="216"/>
    </row>
    <row r="498" spans="1:13" x14ac:dyDescent="0.6">
      <c r="A498" s="218"/>
      <c r="B498" s="36"/>
      <c r="C498" s="4"/>
      <c r="D498" s="4"/>
      <c r="E498" s="4"/>
      <c r="F498" s="11"/>
      <c r="G498" s="227"/>
      <c r="H498" s="169"/>
      <c r="I498" s="165"/>
      <c r="J498" s="216"/>
      <c r="K498" s="216"/>
      <c r="M498" s="216"/>
    </row>
    <row r="499" spans="1:13" x14ac:dyDescent="0.6">
      <c r="A499" s="218"/>
      <c r="B499" s="36"/>
      <c r="C499" s="4"/>
      <c r="D499" s="4"/>
      <c r="E499" s="4"/>
      <c r="F499" s="11"/>
      <c r="G499" s="227"/>
      <c r="H499" s="169"/>
      <c r="I499" s="165"/>
      <c r="J499" s="216"/>
      <c r="K499" s="216"/>
      <c r="M499" s="216"/>
    </row>
    <row r="500" spans="1:13" x14ac:dyDescent="0.6">
      <c r="A500" s="218"/>
      <c r="B500" s="36"/>
      <c r="C500" s="4"/>
      <c r="D500" s="4"/>
      <c r="E500" s="4"/>
      <c r="F500" s="11"/>
      <c r="G500" s="227"/>
      <c r="H500" s="169"/>
      <c r="I500" s="165"/>
      <c r="J500" s="216"/>
      <c r="K500" s="216"/>
      <c r="M500" s="216"/>
    </row>
    <row r="501" spans="1:13" x14ac:dyDescent="0.6">
      <c r="A501" s="218"/>
      <c r="B501" s="36"/>
      <c r="C501" s="4"/>
      <c r="D501" s="4"/>
      <c r="E501" s="4"/>
      <c r="F501" s="11"/>
      <c r="G501" s="227"/>
      <c r="H501" s="169"/>
      <c r="I501" s="165"/>
      <c r="J501" s="216"/>
      <c r="K501" s="216"/>
      <c r="M501" s="216"/>
    </row>
    <row r="502" spans="1:13" x14ac:dyDescent="0.6">
      <c r="A502" s="218"/>
      <c r="B502" s="36"/>
      <c r="C502" s="4"/>
      <c r="D502" s="4"/>
      <c r="E502" s="4"/>
      <c r="F502" s="11"/>
      <c r="G502" s="227"/>
      <c r="H502" s="169"/>
      <c r="I502" s="165"/>
      <c r="J502" s="216"/>
      <c r="K502" s="216"/>
      <c r="M502" s="216"/>
    </row>
    <row r="503" spans="1:13" x14ac:dyDescent="0.6">
      <c r="A503" s="218"/>
      <c r="B503" s="36"/>
      <c r="C503" s="4"/>
      <c r="D503" s="4"/>
      <c r="E503" s="4"/>
      <c r="F503" s="11"/>
      <c r="G503" s="227"/>
      <c r="H503" s="169"/>
      <c r="I503" s="165"/>
      <c r="J503" s="216"/>
      <c r="K503" s="216"/>
      <c r="M503" s="216"/>
    </row>
    <row r="504" spans="1:13" x14ac:dyDescent="0.6">
      <c r="A504" s="218"/>
      <c r="B504" s="36"/>
      <c r="C504" s="4"/>
      <c r="D504" s="4"/>
      <c r="E504" s="4"/>
      <c r="F504" s="11"/>
      <c r="G504" s="227"/>
      <c r="H504" s="169"/>
      <c r="I504" s="165"/>
      <c r="J504" s="216"/>
      <c r="K504" s="216"/>
      <c r="M504" s="216"/>
    </row>
    <row r="505" spans="1:13" x14ac:dyDescent="0.6">
      <c r="A505" s="218"/>
      <c r="B505" s="36"/>
      <c r="C505" s="4"/>
      <c r="D505" s="4"/>
      <c r="E505" s="4"/>
      <c r="F505" s="11"/>
      <c r="G505" s="227"/>
      <c r="H505" s="169"/>
      <c r="I505" s="165"/>
      <c r="J505" s="216"/>
      <c r="K505" s="216"/>
      <c r="M505" s="216"/>
    </row>
    <row r="506" spans="1:13" x14ac:dyDescent="0.6">
      <c r="A506" s="218"/>
      <c r="B506" s="36"/>
      <c r="C506" s="4"/>
      <c r="D506" s="4"/>
      <c r="E506" s="4"/>
      <c r="F506" s="11"/>
      <c r="G506" s="227"/>
      <c r="H506" s="169"/>
      <c r="I506" s="165"/>
      <c r="J506" s="216"/>
      <c r="K506" s="216"/>
      <c r="M506" s="216"/>
    </row>
    <row r="507" spans="1:13" x14ac:dyDescent="0.6">
      <c r="A507" s="218"/>
      <c r="B507" s="36"/>
      <c r="C507" s="4"/>
      <c r="D507" s="4"/>
      <c r="E507" s="4"/>
      <c r="F507" s="11"/>
      <c r="G507" s="227"/>
      <c r="H507" s="169"/>
      <c r="I507" s="165"/>
      <c r="J507" s="216"/>
      <c r="K507" s="216"/>
      <c r="M507" s="216"/>
    </row>
    <row r="508" spans="1:13" x14ac:dyDescent="0.6">
      <c r="A508" s="218"/>
      <c r="B508" s="36"/>
      <c r="C508" s="4"/>
      <c r="D508" s="4"/>
      <c r="E508" s="4"/>
      <c r="F508" s="11"/>
      <c r="G508" s="227"/>
      <c r="H508" s="169"/>
      <c r="I508" s="165"/>
      <c r="J508" s="216"/>
      <c r="K508" s="216"/>
      <c r="M508" s="216"/>
    </row>
    <row r="509" spans="1:13" x14ac:dyDescent="0.6">
      <c r="A509" s="218"/>
      <c r="B509" s="36"/>
      <c r="C509" s="4"/>
      <c r="D509" s="4"/>
      <c r="E509" s="4"/>
      <c r="F509" s="11"/>
      <c r="G509" s="227"/>
      <c r="H509" s="169"/>
      <c r="I509" s="165"/>
      <c r="J509" s="216"/>
      <c r="K509" s="216"/>
      <c r="M509" s="216"/>
    </row>
    <row r="510" spans="1:13" x14ac:dyDescent="0.6">
      <c r="A510" s="218"/>
      <c r="B510" s="36"/>
      <c r="C510" s="4"/>
      <c r="D510" s="4"/>
      <c r="E510" s="4"/>
      <c r="F510" s="11"/>
      <c r="G510" s="227"/>
      <c r="H510" s="169"/>
      <c r="I510" s="165"/>
      <c r="J510" s="216"/>
      <c r="K510" s="216"/>
      <c r="M510" s="216"/>
    </row>
    <row r="511" spans="1:13" x14ac:dyDescent="0.6">
      <c r="A511" s="218"/>
      <c r="B511" s="36"/>
      <c r="C511" s="4"/>
      <c r="D511" s="4"/>
      <c r="E511" s="4"/>
      <c r="F511" s="11"/>
      <c r="G511" s="227"/>
      <c r="H511" s="169"/>
      <c r="I511" s="165"/>
      <c r="J511" s="216"/>
      <c r="K511" s="216"/>
      <c r="M511" s="216"/>
    </row>
    <row r="512" spans="1:13" x14ac:dyDescent="0.6">
      <c r="A512" s="218"/>
      <c r="B512" s="36"/>
      <c r="C512" s="4"/>
      <c r="D512" s="4"/>
      <c r="E512" s="4"/>
      <c r="F512" s="11"/>
      <c r="G512" s="227"/>
      <c r="H512" s="169"/>
      <c r="I512" s="165"/>
      <c r="J512" s="216"/>
      <c r="K512" s="216"/>
      <c r="M512" s="216"/>
    </row>
    <row r="513" spans="1:13" x14ac:dyDescent="0.6">
      <c r="A513" s="218"/>
      <c r="B513" s="36"/>
      <c r="C513" s="4"/>
      <c r="D513" s="4"/>
      <c r="E513" s="4"/>
      <c r="F513" s="11"/>
      <c r="G513" s="227"/>
      <c r="H513" s="169"/>
      <c r="I513" s="165"/>
      <c r="J513" s="216"/>
      <c r="K513" s="216"/>
      <c r="M513" s="216"/>
    </row>
    <row r="514" spans="1:13" x14ac:dyDescent="0.6">
      <c r="A514" s="218"/>
      <c r="B514" s="36"/>
      <c r="C514" s="4"/>
      <c r="D514" s="4"/>
      <c r="E514" s="4"/>
      <c r="F514" s="11"/>
      <c r="G514" s="227"/>
      <c r="H514" s="169"/>
      <c r="I514" s="165"/>
      <c r="J514" s="216"/>
      <c r="K514" s="216"/>
      <c r="M514" s="216"/>
    </row>
    <row r="515" spans="1:13" x14ac:dyDescent="0.6">
      <c r="A515" s="218"/>
      <c r="B515" s="36"/>
      <c r="C515" s="4"/>
      <c r="D515" s="4"/>
      <c r="E515" s="4"/>
      <c r="F515" s="11"/>
      <c r="G515" s="227"/>
      <c r="H515" s="169"/>
      <c r="I515" s="165"/>
      <c r="J515" s="216"/>
      <c r="K515" s="216"/>
      <c r="M515" s="216"/>
    </row>
    <row r="516" spans="1:13" x14ac:dyDescent="0.6">
      <c r="A516" s="218"/>
      <c r="B516" s="36"/>
      <c r="C516" s="4"/>
      <c r="D516" s="4"/>
      <c r="E516" s="4"/>
      <c r="F516" s="11"/>
      <c r="G516" s="227"/>
      <c r="H516" s="169"/>
      <c r="I516" s="165"/>
      <c r="J516" s="216"/>
      <c r="K516" s="216"/>
      <c r="M516" s="216"/>
    </row>
    <row r="517" spans="1:13" x14ac:dyDescent="0.6">
      <c r="A517" s="218"/>
      <c r="B517" s="36"/>
      <c r="C517" s="4"/>
      <c r="D517" s="4"/>
      <c r="E517" s="4"/>
      <c r="F517" s="11"/>
      <c r="G517" s="227"/>
      <c r="H517" s="169"/>
      <c r="I517" s="165"/>
      <c r="J517" s="216"/>
      <c r="K517" s="216"/>
      <c r="M517" s="216"/>
    </row>
    <row r="518" spans="1:13" x14ac:dyDescent="0.6">
      <c r="A518" s="218"/>
      <c r="B518" s="36"/>
      <c r="C518" s="4"/>
      <c r="D518" s="4"/>
      <c r="E518" s="4"/>
      <c r="F518" s="11"/>
      <c r="G518" s="227"/>
      <c r="H518" s="169"/>
      <c r="I518" s="165"/>
      <c r="J518" s="216"/>
      <c r="K518" s="216"/>
      <c r="M518" s="216"/>
    </row>
    <row r="519" spans="1:13" x14ac:dyDescent="0.6">
      <c r="A519" s="218"/>
      <c r="B519" s="36"/>
      <c r="C519" s="4"/>
      <c r="D519" s="4"/>
      <c r="E519" s="4"/>
      <c r="F519" s="11"/>
      <c r="G519" s="227"/>
      <c r="H519" s="169"/>
      <c r="I519" s="165"/>
      <c r="J519" s="216"/>
      <c r="K519" s="216"/>
      <c r="M519" s="216"/>
    </row>
    <row r="520" spans="1:13" x14ac:dyDescent="0.6">
      <c r="A520" s="218"/>
      <c r="B520" s="36"/>
      <c r="C520" s="4"/>
      <c r="D520" s="4"/>
      <c r="E520" s="4"/>
      <c r="F520" s="11"/>
      <c r="G520" s="227"/>
      <c r="H520" s="169"/>
      <c r="I520" s="165"/>
      <c r="J520" s="216"/>
      <c r="K520" s="216"/>
      <c r="M520" s="216"/>
    </row>
    <row r="521" spans="1:13" x14ac:dyDescent="0.6">
      <c r="A521" s="218"/>
      <c r="B521" s="36"/>
      <c r="C521" s="4"/>
      <c r="D521" s="4"/>
      <c r="E521" s="4"/>
      <c r="F521" s="11"/>
      <c r="G521" s="227"/>
      <c r="H521" s="169"/>
      <c r="I521" s="165"/>
      <c r="J521" s="216"/>
      <c r="K521" s="216"/>
      <c r="M521" s="216"/>
    </row>
    <row r="522" spans="1:13" x14ac:dyDescent="0.6">
      <c r="A522" s="218"/>
      <c r="B522" s="36"/>
      <c r="C522" s="4"/>
      <c r="D522" s="4"/>
      <c r="E522" s="4"/>
      <c r="F522" s="11"/>
      <c r="G522" s="227"/>
      <c r="H522" s="169"/>
      <c r="I522" s="165"/>
      <c r="J522" s="216"/>
      <c r="K522" s="216"/>
      <c r="M522" s="216"/>
    </row>
    <row r="523" spans="1:13" x14ac:dyDescent="0.6">
      <c r="A523" s="218"/>
      <c r="B523" s="36"/>
      <c r="C523" s="4"/>
      <c r="D523" s="4"/>
      <c r="E523" s="4"/>
      <c r="F523" s="11"/>
      <c r="G523" s="227"/>
      <c r="H523" s="169"/>
      <c r="I523" s="165"/>
      <c r="J523" s="216"/>
      <c r="K523" s="216"/>
      <c r="M523" s="216"/>
    </row>
    <row r="524" spans="1:13" x14ac:dyDescent="0.6">
      <c r="A524" s="218"/>
      <c r="B524" s="36"/>
      <c r="C524" s="4"/>
      <c r="D524" s="4"/>
      <c r="E524" s="4"/>
      <c r="F524" s="11"/>
      <c r="G524" s="227"/>
      <c r="H524" s="169"/>
      <c r="I524" s="165"/>
      <c r="J524" s="216"/>
      <c r="K524" s="216"/>
      <c r="M524" s="216"/>
    </row>
    <row r="525" spans="1:13" x14ac:dyDescent="0.6">
      <c r="A525" s="218"/>
      <c r="B525" s="36"/>
      <c r="C525" s="4"/>
      <c r="D525" s="4"/>
      <c r="E525" s="4"/>
      <c r="F525" s="11"/>
      <c r="G525" s="227"/>
      <c r="H525" s="169"/>
      <c r="I525" s="165"/>
      <c r="J525" s="216"/>
      <c r="K525" s="216"/>
      <c r="M525" s="216"/>
    </row>
    <row r="526" spans="1:13" x14ac:dyDescent="0.6">
      <c r="A526" s="218"/>
      <c r="B526" s="36"/>
      <c r="C526" s="4"/>
      <c r="D526" s="4"/>
      <c r="E526" s="4"/>
      <c r="F526" s="11"/>
      <c r="G526" s="227"/>
      <c r="H526" s="169"/>
      <c r="I526" s="165"/>
      <c r="J526" s="216"/>
      <c r="K526" s="216"/>
      <c r="M526" s="216"/>
    </row>
    <row r="527" spans="1:13" x14ac:dyDescent="0.6">
      <c r="A527" s="218"/>
      <c r="B527" s="36"/>
      <c r="C527" s="4"/>
      <c r="D527" s="4"/>
      <c r="E527" s="4"/>
      <c r="F527" s="11"/>
      <c r="G527" s="227"/>
      <c r="H527" s="169"/>
      <c r="I527" s="165"/>
      <c r="J527" s="216"/>
      <c r="K527" s="216"/>
      <c r="M527" s="216"/>
    </row>
    <row r="528" spans="1:13" x14ac:dyDescent="0.6">
      <c r="A528" s="218"/>
      <c r="B528" s="36"/>
      <c r="C528" s="4"/>
      <c r="D528" s="4"/>
      <c r="E528" s="4"/>
      <c r="F528" s="11"/>
      <c r="G528" s="227"/>
      <c r="H528" s="169"/>
      <c r="I528" s="165"/>
      <c r="J528" s="216"/>
      <c r="K528" s="216"/>
      <c r="M528" s="216"/>
    </row>
    <row r="529" spans="1:13" x14ac:dyDescent="0.6">
      <c r="A529" s="218"/>
      <c r="B529" s="36"/>
      <c r="C529" s="4"/>
      <c r="D529" s="4"/>
      <c r="E529" s="4"/>
      <c r="F529" s="11"/>
      <c r="G529" s="227"/>
      <c r="H529" s="169"/>
      <c r="I529" s="165"/>
      <c r="J529" s="216"/>
      <c r="K529" s="216"/>
      <c r="M529" s="216"/>
    </row>
    <row r="530" spans="1:13" x14ac:dyDescent="0.6">
      <c r="A530" s="218"/>
      <c r="B530" s="36"/>
      <c r="C530" s="4"/>
      <c r="D530" s="4"/>
      <c r="E530" s="4"/>
      <c r="F530" s="11"/>
      <c r="G530" s="227"/>
      <c r="H530" s="169"/>
      <c r="I530" s="165"/>
      <c r="J530" s="216"/>
      <c r="K530" s="216"/>
      <c r="M530" s="216"/>
    </row>
    <row r="531" spans="1:13" x14ac:dyDescent="0.6">
      <c r="A531" s="218"/>
      <c r="B531" s="36"/>
      <c r="C531" s="4"/>
      <c r="D531" s="4"/>
      <c r="E531" s="4"/>
      <c r="F531" s="11"/>
      <c r="G531" s="227"/>
      <c r="H531" s="169"/>
      <c r="I531" s="165"/>
      <c r="J531" s="216"/>
      <c r="K531" s="216"/>
      <c r="M531" s="216"/>
    </row>
    <row r="532" spans="1:13" x14ac:dyDescent="0.6">
      <c r="A532" s="218"/>
      <c r="B532" s="36"/>
      <c r="C532" s="4"/>
      <c r="D532" s="4"/>
      <c r="E532" s="4"/>
      <c r="F532" s="11"/>
      <c r="G532" s="227"/>
      <c r="H532" s="169"/>
      <c r="I532" s="165"/>
      <c r="J532" s="216"/>
      <c r="K532" s="216"/>
      <c r="M532" s="216"/>
    </row>
    <row r="533" spans="1:13" x14ac:dyDescent="0.6">
      <c r="A533" s="218"/>
      <c r="B533" s="36"/>
      <c r="C533" s="4"/>
      <c r="D533" s="4"/>
      <c r="E533" s="4"/>
      <c r="F533" s="11"/>
      <c r="G533" s="227"/>
      <c r="H533" s="169"/>
      <c r="I533" s="165"/>
      <c r="J533" s="216"/>
      <c r="K533" s="216"/>
      <c r="M533" s="216"/>
    </row>
    <row r="534" spans="1:13" x14ac:dyDescent="0.6">
      <c r="A534" s="218"/>
      <c r="B534" s="36"/>
      <c r="C534" s="4"/>
      <c r="D534" s="4"/>
      <c r="E534" s="4"/>
      <c r="F534" s="11"/>
      <c r="G534" s="227"/>
      <c r="H534" s="169"/>
      <c r="I534" s="165"/>
      <c r="J534" s="216"/>
      <c r="K534" s="216"/>
      <c r="M534" s="216"/>
    </row>
    <row r="535" spans="1:13" x14ac:dyDescent="0.6">
      <c r="A535" s="218"/>
      <c r="B535" s="36"/>
      <c r="C535" s="4"/>
      <c r="D535" s="4"/>
      <c r="E535" s="4"/>
      <c r="F535" s="11"/>
      <c r="G535" s="227"/>
      <c r="H535" s="169"/>
      <c r="I535" s="165"/>
      <c r="J535" s="216"/>
      <c r="K535" s="216"/>
      <c r="M535" s="216"/>
    </row>
    <row r="536" spans="1:13" x14ac:dyDescent="0.6">
      <c r="A536" s="218"/>
      <c r="B536" s="36"/>
      <c r="C536" s="4"/>
      <c r="D536" s="4"/>
      <c r="E536" s="4"/>
      <c r="F536" s="11"/>
      <c r="G536" s="227"/>
      <c r="H536" s="169"/>
      <c r="I536" s="165"/>
      <c r="J536" s="216"/>
      <c r="K536" s="216"/>
      <c r="M536" s="216"/>
    </row>
    <row r="537" spans="1:13" x14ac:dyDescent="0.6">
      <c r="A537" s="218"/>
      <c r="B537" s="36"/>
      <c r="C537" s="4"/>
      <c r="D537" s="4"/>
      <c r="E537" s="4"/>
      <c r="F537" s="11"/>
      <c r="G537" s="227"/>
      <c r="H537" s="169"/>
      <c r="I537" s="165"/>
      <c r="J537" s="216"/>
      <c r="K537" s="216"/>
      <c r="M537" s="216"/>
    </row>
    <row r="538" spans="1:13" x14ac:dyDescent="0.6">
      <c r="A538" s="218"/>
      <c r="B538" s="36"/>
      <c r="C538" s="4"/>
      <c r="D538" s="4"/>
      <c r="E538" s="4"/>
      <c r="F538" s="11"/>
      <c r="G538" s="227"/>
      <c r="H538" s="169"/>
      <c r="I538" s="165"/>
      <c r="J538" s="216"/>
      <c r="K538" s="216"/>
      <c r="M538" s="216"/>
    </row>
    <row r="539" spans="1:13" x14ac:dyDescent="0.6">
      <c r="A539" s="218"/>
      <c r="B539" s="36"/>
      <c r="C539" s="4"/>
      <c r="D539" s="4"/>
      <c r="E539" s="4"/>
      <c r="F539" s="11"/>
      <c r="G539" s="227"/>
      <c r="H539" s="169"/>
      <c r="I539" s="165"/>
      <c r="J539" s="216"/>
      <c r="K539" s="216"/>
      <c r="M539" s="216"/>
    </row>
    <row r="540" spans="1:13" x14ac:dyDescent="0.6">
      <c r="A540" s="218"/>
      <c r="B540" s="36"/>
      <c r="C540" s="4"/>
      <c r="D540" s="4"/>
      <c r="E540" s="4"/>
      <c r="F540" s="11"/>
      <c r="G540" s="227"/>
      <c r="H540" s="169"/>
      <c r="I540" s="165"/>
      <c r="J540" s="216"/>
      <c r="K540" s="216"/>
      <c r="M540" s="216"/>
    </row>
    <row r="541" spans="1:13" x14ac:dyDescent="0.6">
      <c r="A541" s="218"/>
      <c r="B541" s="36"/>
      <c r="C541" s="4"/>
      <c r="D541" s="4"/>
      <c r="E541" s="4"/>
      <c r="F541" s="11"/>
      <c r="G541" s="227"/>
      <c r="H541" s="169"/>
      <c r="I541" s="165"/>
      <c r="J541" s="216"/>
      <c r="K541" s="216"/>
      <c r="M541" s="216"/>
    </row>
    <row r="542" spans="1:13" x14ac:dyDescent="0.6">
      <c r="A542" s="218"/>
      <c r="B542" s="36"/>
      <c r="C542" s="4"/>
      <c r="D542" s="4"/>
      <c r="E542" s="4"/>
      <c r="F542" s="11"/>
      <c r="G542" s="227"/>
      <c r="H542" s="169"/>
      <c r="I542" s="165"/>
      <c r="J542" s="216"/>
      <c r="K542" s="216"/>
      <c r="M542" s="216"/>
    </row>
    <row r="543" spans="1:13" x14ac:dyDescent="0.6">
      <c r="A543" s="218"/>
      <c r="B543" s="36"/>
      <c r="C543" s="4"/>
      <c r="D543" s="4"/>
      <c r="E543" s="4"/>
      <c r="F543" s="11"/>
      <c r="G543" s="227"/>
      <c r="H543" s="169"/>
      <c r="I543" s="165"/>
      <c r="J543" s="216"/>
      <c r="K543" s="216"/>
      <c r="M543" s="216"/>
    </row>
    <row r="544" spans="1:13" x14ac:dyDescent="0.6">
      <c r="A544" s="218"/>
      <c r="B544" s="36"/>
      <c r="C544" s="4"/>
      <c r="D544" s="4"/>
      <c r="E544" s="4"/>
      <c r="F544" s="11"/>
      <c r="G544" s="227"/>
      <c r="H544" s="169"/>
      <c r="I544" s="165"/>
      <c r="J544" s="216"/>
      <c r="K544" s="216"/>
      <c r="M544" s="216"/>
    </row>
    <row r="545" spans="1:13" x14ac:dyDescent="0.6">
      <c r="A545" s="218"/>
      <c r="B545" s="36"/>
      <c r="C545" s="4"/>
      <c r="D545" s="4"/>
      <c r="E545" s="4"/>
      <c r="F545" s="11"/>
      <c r="G545" s="227"/>
      <c r="H545" s="169"/>
      <c r="I545" s="165"/>
      <c r="J545" s="216"/>
      <c r="K545" s="216"/>
      <c r="M545" s="216"/>
    </row>
    <row r="546" spans="1:13" x14ac:dyDescent="0.6">
      <c r="A546" s="218"/>
      <c r="B546" s="36"/>
      <c r="C546" s="4"/>
      <c r="D546" s="4"/>
      <c r="E546" s="4"/>
      <c r="F546" s="11"/>
      <c r="G546" s="227"/>
      <c r="H546" s="169"/>
      <c r="I546" s="165"/>
      <c r="J546" s="216"/>
      <c r="K546" s="216"/>
      <c r="M546" s="216"/>
    </row>
    <row r="547" spans="1:13" x14ac:dyDescent="0.6">
      <c r="A547" s="218"/>
      <c r="B547" s="36"/>
      <c r="C547" s="4"/>
      <c r="D547" s="4"/>
      <c r="E547" s="4"/>
      <c r="F547" s="11"/>
      <c r="G547" s="227"/>
      <c r="H547" s="169"/>
      <c r="I547" s="165"/>
      <c r="J547" s="216"/>
      <c r="K547" s="216"/>
      <c r="M547" s="216"/>
    </row>
    <row r="548" spans="1:13" x14ac:dyDescent="0.6">
      <c r="A548" s="218"/>
      <c r="B548" s="36"/>
      <c r="C548" s="4"/>
      <c r="D548" s="4"/>
      <c r="E548" s="4"/>
      <c r="F548" s="11"/>
      <c r="G548" s="227"/>
      <c r="H548" s="169"/>
      <c r="I548" s="165"/>
      <c r="J548" s="216"/>
      <c r="K548" s="216"/>
      <c r="M548" s="216"/>
    </row>
    <row r="549" spans="1:13" x14ac:dyDescent="0.6">
      <c r="A549" s="218"/>
      <c r="B549" s="36"/>
      <c r="C549" s="4"/>
      <c r="D549" s="4"/>
      <c r="E549" s="4"/>
      <c r="F549" s="11"/>
      <c r="G549" s="227"/>
      <c r="H549" s="169"/>
      <c r="I549" s="165"/>
      <c r="J549" s="216"/>
      <c r="K549" s="216"/>
      <c r="M549" s="216"/>
    </row>
    <row r="550" spans="1:13" x14ac:dyDescent="0.6">
      <c r="A550" s="218"/>
      <c r="B550" s="36"/>
      <c r="C550" s="4"/>
      <c r="D550" s="4"/>
      <c r="E550" s="4"/>
      <c r="F550" s="11"/>
      <c r="G550" s="227"/>
      <c r="H550" s="169"/>
      <c r="I550" s="165"/>
      <c r="J550" s="216"/>
      <c r="K550" s="216"/>
      <c r="M550" s="216"/>
    </row>
    <row r="551" spans="1:13" x14ac:dyDescent="0.6">
      <c r="A551" s="218"/>
      <c r="B551" s="36"/>
      <c r="C551" s="4"/>
      <c r="D551" s="4"/>
      <c r="E551" s="4"/>
      <c r="F551" s="11"/>
      <c r="G551" s="227"/>
      <c r="H551" s="169"/>
      <c r="I551" s="165"/>
      <c r="J551" s="216"/>
      <c r="K551" s="216"/>
      <c r="M551" s="216"/>
    </row>
    <row r="552" spans="1:13" x14ac:dyDescent="0.6">
      <c r="A552" s="218"/>
      <c r="B552" s="36"/>
      <c r="C552" s="4"/>
      <c r="D552" s="4"/>
      <c r="E552" s="4"/>
      <c r="F552" s="11"/>
      <c r="G552" s="227"/>
      <c r="H552" s="169"/>
      <c r="I552" s="165"/>
      <c r="J552" s="216"/>
      <c r="K552" s="216"/>
      <c r="M552" s="216"/>
    </row>
    <row r="553" spans="1:13" x14ac:dyDescent="0.6">
      <c r="A553" s="218"/>
      <c r="B553" s="36"/>
      <c r="C553" s="4"/>
      <c r="D553" s="4"/>
      <c r="E553" s="4"/>
      <c r="F553" s="11"/>
      <c r="G553" s="227"/>
      <c r="H553" s="169"/>
      <c r="I553" s="165"/>
      <c r="J553" s="216"/>
      <c r="K553" s="216"/>
      <c r="M553" s="216"/>
    </row>
    <row r="554" spans="1:13" x14ac:dyDescent="0.6">
      <c r="A554" s="218"/>
      <c r="B554" s="36"/>
      <c r="C554" s="4"/>
      <c r="D554" s="4"/>
      <c r="E554" s="4"/>
      <c r="F554" s="11"/>
      <c r="G554" s="227"/>
      <c r="H554" s="169"/>
      <c r="I554" s="165"/>
      <c r="J554" s="216"/>
      <c r="K554" s="216"/>
      <c r="M554" s="216"/>
    </row>
    <row r="555" spans="1:13" x14ac:dyDescent="0.6">
      <c r="A555" s="218"/>
      <c r="B555" s="36"/>
      <c r="C555" s="4"/>
      <c r="D555" s="4"/>
      <c r="E555" s="4"/>
      <c r="F555" s="11"/>
      <c r="G555" s="227"/>
      <c r="H555" s="169"/>
      <c r="I555" s="165"/>
      <c r="J555" s="216"/>
      <c r="K555" s="216"/>
      <c r="M555" s="216"/>
    </row>
    <row r="556" spans="1:13" x14ac:dyDescent="0.6">
      <c r="A556" s="218"/>
      <c r="B556" s="36"/>
      <c r="C556" s="4"/>
      <c r="D556" s="4"/>
      <c r="E556" s="4"/>
      <c r="F556" s="11"/>
      <c r="G556" s="227"/>
      <c r="H556" s="169"/>
      <c r="I556" s="165"/>
      <c r="J556" s="216"/>
      <c r="K556" s="216"/>
      <c r="M556" s="216"/>
    </row>
    <row r="557" spans="1:13" x14ac:dyDescent="0.6">
      <c r="A557" s="218"/>
      <c r="B557" s="36"/>
      <c r="C557" s="4"/>
      <c r="D557" s="4"/>
      <c r="E557" s="4"/>
      <c r="F557" s="11"/>
      <c r="G557" s="227"/>
      <c r="H557" s="169"/>
      <c r="I557" s="165"/>
      <c r="J557" s="216"/>
      <c r="K557" s="216"/>
      <c r="M557" s="216"/>
    </row>
    <row r="558" spans="1:13" x14ac:dyDescent="0.6">
      <c r="A558" s="218"/>
      <c r="B558" s="36"/>
      <c r="C558" s="4"/>
      <c r="D558" s="4"/>
      <c r="E558" s="4"/>
      <c r="F558" s="11"/>
      <c r="G558" s="227"/>
      <c r="H558" s="169"/>
      <c r="I558" s="165"/>
      <c r="J558" s="216"/>
      <c r="K558" s="216"/>
      <c r="M558" s="216"/>
    </row>
    <row r="559" spans="1:13" x14ac:dyDescent="0.6">
      <c r="A559" s="218"/>
      <c r="B559" s="36"/>
      <c r="C559" s="4"/>
      <c r="D559" s="4"/>
      <c r="E559" s="4"/>
      <c r="F559" s="11"/>
      <c r="G559" s="227"/>
      <c r="H559" s="169"/>
      <c r="I559" s="165"/>
      <c r="J559" s="216"/>
      <c r="K559" s="216"/>
      <c r="M559" s="216"/>
    </row>
    <row r="560" spans="1:13" x14ac:dyDescent="0.6">
      <c r="A560" s="218"/>
      <c r="B560" s="36"/>
      <c r="C560" s="4"/>
      <c r="D560" s="4"/>
      <c r="E560" s="4"/>
      <c r="F560" s="11"/>
      <c r="G560" s="227"/>
      <c r="H560" s="169"/>
      <c r="I560" s="165"/>
      <c r="J560" s="216"/>
      <c r="K560" s="216"/>
      <c r="M560" s="216"/>
    </row>
    <row r="561" spans="1:13" x14ac:dyDescent="0.6">
      <c r="A561" s="218"/>
      <c r="B561" s="36"/>
      <c r="C561" s="4"/>
      <c r="D561" s="4"/>
      <c r="E561" s="4"/>
      <c r="F561" s="11"/>
      <c r="G561" s="227"/>
      <c r="H561" s="169"/>
      <c r="I561" s="165"/>
      <c r="J561" s="216"/>
      <c r="K561" s="216"/>
      <c r="M561" s="216"/>
    </row>
    <row r="562" spans="1:13" x14ac:dyDescent="0.6">
      <c r="A562" s="218"/>
      <c r="B562" s="36"/>
      <c r="C562" s="4"/>
      <c r="D562" s="4"/>
      <c r="E562" s="4"/>
      <c r="F562" s="11"/>
      <c r="G562" s="227"/>
      <c r="H562" s="169"/>
      <c r="I562" s="165"/>
      <c r="J562" s="216"/>
      <c r="K562" s="216"/>
      <c r="M562" s="216"/>
    </row>
    <row r="563" spans="1:13" x14ac:dyDescent="0.6">
      <c r="A563" s="218"/>
      <c r="B563" s="36"/>
      <c r="C563" s="4"/>
      <c r="D563" s="4"/>
      <c r="E563" s="4"/>
      <c r="F563" s="11"/>
      <c r="G563" s="227"/>
      <c r="H563" s="169"/>
      <c r="I563" s="165"/>
      <c r="J563" s="216"/>
      <c r="K563" s="216"/>
      <c r="M563" s="216"/>
    </row>
    <row r="564" spans="1:13" x14ac:dyDescent="0.6">
      <c r="A564" s="218"/>
      <c r="B564" s="36"/>
      <c r="C564" s="4"/>
      <c r="D564" s="4"/>
      <c r="E564" s="4"/>
      <c r="F564" s="11"/>
      <c r="G564" s="227"/>
      <c r="H564" s="169"/>
      <c r="I564" s="165"/>
      <c r="J564" s="216"/>
      <c r="K564" s="216"/>
      <c r="M564" s="216"/>
    </row>
    <row r="565" spans="1:13" x14ac:dyDescent="0.6">
      <c r="A565" s="218"/>
      <c r="B565" s="36"/>
      <c r="C565" s="4"/>
      <c r="D565" s="4"/>
      <c r="E565" s="4"/>
      <c r="F565" s="11"/>
      <c r="G565" s="227"/>
      <c r="H565" s="169"/>
      <c r="I565" s="165"/>
      <c r="J565" s="216"/>
      <c r="K565" s="216"/>
      <c r="M565" s="216"/>
    </row>
    <row r="566" spans="1:13" x14ac:dyDescent="0.6">
      <c r="A566" s="218"/>
      <c r="B566" s="36"/>
      <c r="C566" s="4"/>
      <c r="D566" s="4"/>
      <c r="E566" s="4"/>
      <c r="F566" s="11"/>
      <c r="G566" s="227"/>
      <c r="H566" s="169"/>
      <c r="I566" s="165"/>
      <c r="J566" s="216"/>
      <c r="K566" s="216"/>
      <c r="M566" s="216"/>
    </row>
    <row r="567" spans="1:13" x14ac:dyDescent="0.6">
      <c r="A567" s="218"/>
      <c r="B567" s="36"/>
      <c r="C567" s="4"/>
      <c r="D567" s="4"/>
      <c r="E567" s="4"/>
      <c r="F567" s="11"/>
      <c r="G567" s="227"/>
      <c r="H567" s="169"/>
      <c r="I567" s="165"/>
      <c r="J567" s="216"/>
      <c r="K567" s="216"/>
      <c r="M567" s="216"/>
    </row>
    <row r="568" spans="1:13" x14ac:dyDescent="0.6">
      <c r="A568" s="218"/>
      <c r="B568" s="36"/>
      <c r="C568" s="4"/>
      <c r="D568" s="4"/>
      <c r="E568" s="4"/>
      <c r="F568" s="11"/>
      <c r="G568" s="227"/>
      <c r="H568" s="169"/>
      <c r="I568" s="165"/>
      <c r="J568" s="216"/>
      <c r="K568" s="216"/>
      <c r="M568" s="216"/>
    </row>
    <row r="569" spans="1:13" x14ac:dyDescent="0.6">
      <c r="A569" s="218"/>
      <c r="B569" s="36"/>
      <c r="C569" s="4"/>
      <c r="D569" s="4"/>
      <c r="E569" s="4"/>
      <c r="F569" s="11"/>
      <c r="G569" s="227"/>
      <c r="H569" s="169"/>
      <c r="I569" s="165"/>
      <c r="J569" s="216"/>
      <c r="K569" s="216"/>
      <c r="M569" s="216"/>
    </row>
    <row r="570" spans="1:13" x14ac:dyDescent="0.6">
      <c r="A570" s="218"/>
      <c r="B570" s="36"/>
      <c r="C570" s="4"/>
      <c r="D570" s="4"/>
      <c r="E570" s="4"/>
      <c r="F570" s="11"/>
      <c r="G570" s="227"/>
      <c r="H570" s="169"/>
      <c r="I570" s="165"/>
      <c r="J570" s="216"/>
      <c r="K570" s="216"/>
      <c r="M570" s="216"/>
    </row>
    <row r="571" spans="1:13" x14ac:dyDescent="0.6">
      <c r="A571" s="218"/>
      <c r="B571" s="36"/>
      <c r="C571" s="4"/>
      <c r="D571" s="4"/>
      <c r="E571" s="4"/>
      <c r="F571" s="11"/>
      <c r="G571" s="227"/>
      <c r="H571" s="169"/>
      <c r="I571" s="165"/>
      <c r="J571" s="216"/>
      <c r="K571" s="216"/>
      <c r="M571" s="216"/>
    </row>
    <row r="572" spans="1:13" x14ac:dyDescent="0.6">
      <c r="A572" s="218"/>
      <c r="B572" s="36"/>
      <c r="C572" s="4"/>
      <c r="D572" s="4"/>
      <c r="E572" s="4"/>
      <c r="F572" s="11"/>
      <c r="G572" s="227"/>
      <c r="H572" s="169"/>
      <c r="I572" s="165"/>
      <c r="J572" s="216"/>
      <c r="K572" s="216"/>
      <c r="M572" s="216"/>
    </row>
    <row r="573" spans="1:13" x14ac:dyDescent="0.6">
      <c r="A573" s="218"/>
      <c r="B573" s="36"/>
      <c r="C573" s="4"/>
      <c r="D573" s="4"/>
      <c r="E573" s="4"/>
      <c r="F573" s="11"/>
      <c r="G573" s="227"/>
      <c r="H573" s="169"/>
      <c r="I573" s="165"/>
      <c r="J573" s="216"/>
      <c r="K573" s="216"/>
      <c r="M573" s="216"/>
    </row>
    <row r="574" spans="1:13" x14ac:dyDescent="0.6">
      <c r="A574" s="218"/>
      <c r="B574" s="36"/>
      <c r="C574" s="4"/>
      <c r="D574" s="4"/>
      <c r="E574" s="4"/>
      <c r="F574" s="11"/>
      <c r="G574" s="227"/>
      <c r="H574" s="169"/>
      <c r="I574" s="165"/>
      <c r="J574" s="216"/>
      <c r="K574" s="216"/>
      <c r="M574" s="216"/>
    </row>
    <row r="575" spans="1:13" x14ac:dyDescent="0.6">
      <c r="A575" s="218"/>
      <c r="B575" s="36"/>
      <c r="C575" s="4"/>
      <c r="D575" s="4"/>
      <c r="E575" s="4"/>
      <c r="F575" s="11"/>
      <c r="G575" s="227"/>
      <c r="H575" s="169"/>
      <c r="I575" s="165"/>
      <c r="J575" s="216"/>
      <c r="K575" s="216"/>
      <c r="M575" s="216"/>
    </row>
    <row r="576" spans="1:13" x14ac:dyDescent="0.6">
      <c r="A576" s="218"/>
      <c r="B576" s="36"/>
      <c r="C576" s="4"/>
      <c r="D576" s="4"/>
      <c r="E576" s="4"/>
      <c r="F576" s="11"/>
      <c r="G576" s="227"/>
      <c r="H576" s="169"/>
      <c r="I576" s="165"/>
      <c r="J576" s="216"/>
      <c r="K576" s="216"/>
      <c r="M576" s="216"/>
    </row>
    <row r="577" spans="1:13" x14ac:dyDescent="0.6">
      <c r="A577" s="218"/>
      <c r="B577" s="36"/>
      <c r="C577" s="4"/>
      <c r="D577" s="4"/>
      <c r="E577" s="4"/>
      <c r="F577" s="11"/>
      <c r="G577" s="227"/>
      <c r="H577" s="169"/>
      <c r="I577" s="165"/>
      <c r="J577" s="216"/>
      <c r="K577" s="216"/>
      <c r="M577" s="216"/>
    </row>
    <row r="578" spans="1:13" x14ac:dyDescent="0.6">
      <c r="A578" s="218"/>
      <c r="B578" s="36"/>
      <c r="C578" s="4"/>
      <c r="D578" s="4"/>
      <c r="E578" s="4"/>
      <c r="F578" s="11"/>
      <c r="G578" s="227"/>
      <c r="H578" s="169"/>
      <c r="I578" s="165"/>
      <c r="J578" s="216"/>
      <c r="K578" s="216"/>
      <c r="M578" s="216"/>
    </row>
    <row r="579" spans="1:13" x14ac:dyDescent="0.6">
      <c r="A579" s="218"/>
      <c r="B579" s="36"/>
      <c r="C579" s="4"/>
      <c r="D579" s="4"/>
      <c r="E579" s="4"/>
      <c r="F579" s="11"/>
      <c r="G579" s="227"/>
      <c r="H579" s="169"/>
      <c r="I579" s="165"/>
      <c r="J579" s="216"/>
      <c r="K579" s="216"/>
      <c r="M579" s="216"/>
    </row>
    <row r="580" spans="1:13" x14ac:dyDescent="0.6">
      <c r="A580" s="218"/>
      <c r="B580" s="36"/>
      <c r="C580" s="4"/>
      <c r="D580" s="4"/>
      <c r="E580" s="4"/>
      <c r="F580" s="11"/>
      <c r="G580" s="227"/>
      <c r="H580" s="169"/>
      <c r="I580" s="165"/>
      <c r="J580" s="216"/>
      <c r="K580" s="216"/>
      <c r="M580" s="216"/>
    </row>
    <row r="581" spans="1:13" x14ac:dyDescent="0.6">
      <c r="A581" s="218"/>
      <c r="B581" s="36"/>
      <c r="C581" s="4"/>
      <c r="D581" s="4"/>
      <c r="E581" s="4"/>
      <c r="F581" s="11"/>
      <c r="G581" s="227"/>
      <c r="H581" s="169"/>
      <c r="I581" s="165"/>
      <c r="J581" s="216"/>
      <c r="K581" s="216"/>
      <c r="M581" s="216"/>
    </row>
    <row r="582" spans="1:13" x14ac:dyDescent="0.6">
      <c r="A582" s="218"/>
      <c r="B582" s="36"/>
      <c r="C582" s="4"/>
      <c r="D582" s="4"/>
      <c r="E582" s="4"/>
      <c r="F582" s="11"/>
      <c r="G582" s="227"/>
      <c r="H582" s="169"/>
      <c r="I582" s="165"/>
      <c r="J582" s="216"/>
      <c r="K582" s="216"/>
      <c r="M582" s="216"/>
    </row>
    <row r="583" spans="1:13" x14ac:dyDescent="0.6">
      <c r="A583" s="218"/>
      <c r="B583" s="36"/>
      <c r="C583" s="4"/>
      <c r="D583" s="4"/>
      <c r="E583" s="4"/>
      <c r="F583" s="11"/>
      <c r="G583" s="227"/>
      <c r="H583" s="169"/>
      <c r="I583" s="165"/>
      <c r="J583" s="216"/>
      <c r="K583" s="216"/>
      <c r="M583" s="216"/>
    </row>
    <row r="584" spans="1:13" x14ac:dyDescent="0.6">
      <c r="A584" s="218"/>
      <c r="B584" s="36"/>
      <c r="C584" s="4"/>
      <c r="D584" s="4"/>
      <c r="E584" s="4"/>
      <c r="F584" s="11"/>
      <c r="G584" s="227"/>
      <c r="H584" s="169"/>
      <c r="I584" s="165"/>
      <c r="J584" s="216"/>
      <c r="K584" s="216"/>
      <c r="M584" s="216"/>
    </row>
    <row r="585" spans="1:13" x14ac:dyDescent="0.6">
      <c r="A585" s="218"/>
      <c r="B585" s="36"/>
      <c r="C585" s="4"/>
      <c r="D585" s="4"/>
      <c r="E585" s="4"/>
      <c r="F585" s="11"/>
      <c r="G585" s="227"/>
      <c r="H585" s="169"/>
      <c r="I585" s="165"/>
      <c r="J585" s="216"/>
      <c r="K585" s="216"/>
      <c r="M585" s="216"/>
    </row>
    <row r="586" spans="1:13" x14ac:dyDescent="0.6">
      <c r="A586" s="218"/>
      <c r="B586" s="36"/>
      <c r="C586" s="4"/>
      <c r="D586" s="4"/>
      <c r="E586" s="4"/>
      <c r="F586" s="11"/>
      <c r="G586" s="227"/>
      <c r="H586" s="169"/>
      <c r="I586" s="165"/>
      <c r="J586" s="216"/>
      <c r="K586" s="216"/>
      <c r="M586" s="216"/>
    </row>
    <row r="587" spans="1:13" x14ac:dyDescent="0.6">
      <c r="A587" s="218"/>
      <c r="B587" s="36"/>
      <c r="C587" s="4"/>
      <c r="D587" s="4"/>
      <c r="E587" s="4"/>
      <c r="F587" s="11"/>
      <c r="G587" s="227"/>
      <c r="H587" s="169"/>
      <c r="I587" s="165"/>
      <c r="J587" s="216"/>
      <c r="K587" s="216"/>
      <c r="M587" s="216"/>
    </row>
    <row r="588" spans="1:13" x14ac:dyDescent="0.6">
      <c r="A588" s="218"/>
      <c r="B588" s="36"/>
      <c r="C588" s="4"/>
      <c r="D588" s="4"/>
      <c r="E588" s="4"/>
      <c r="F588" s="11"/>
      <c r="G588" s="227"/>
      <c r="H588" s="169"/>
      <c r="I588" s="165"/>
      <c r="J588" s="216"/>
      <c r="K588" s="216"/>
      <c r="M588" s="216"/>
    </row>
    <row r="589" spans="1:13" x14ac:dyDescent="0.6">
      <c r="A589" s="218"/>
      <c r="B589" s="36"/>
      <c r="C589" s="4"/>
      <c r="D589" s="4"/>
      <c r="E589" s="4"/>
      <c r="F589" s="11"/>
      <c r="G589" s="227"/>
      <c r="H589" s="169"/>
      <c r="I589" s="165"/>
      <c r="J589" s="216"/>
      <c r="K589" s="216"/>
      <c r="M589" s="216"/>
    </row>
    <row r="590" spans="1:13" x14ac:dyDescent="0.6">
      <c r="A590" s="218"/>
      <c r="B590" s="36"/>
      <c r="C590" s="4"/>
      <c r="D590" s="4"/>
      <c r="E590" s="4"/>
      <c r="F590" s="11"/>
      <c r="G590" s="227"/>
      <c r="H590" s="169"/>
      <c r="I590" s="165"/>
      <c r="J590" s="216"/>
      <c r="K590" s="216"/>
      <c r="M590" s="216"/>
    </row>
    <row r="591" spans="1:13" x14ac:dyDescent="0.6">
      <c r="A591" s="218"/>
      <c r="B591" s="36"/>
      <c r="C591" s="4"/>
      <c r="D591" s="4"/>
      <c r="E591" s="4"/>
      <c r="F591" s="11"/>
      <c r="G591" s="227"/>
      <c r="H591" s="169"/>
      <c r="I591" s="165"/>
      <c r="J591" s="216"/>
      <c r="K591" s="216"/>
      <c r="M591" s="216"/>
    </row>
    <row r="592" spans="1:13" x14ac:dyDescent="0.6">
      <c r="A592" s="218"/>
      <c r="B592" s="36"/>
      <c r="C592" s="4"/>
      <c r="D592" s="4"/>
      <c r="E592" s="4"/>
      <c r="F592" s="11"/>
      <c r="G592" s="227"/>
      <c r="H592" s="169"/>
      <c r="I592" s="165"/>
      <c r="J592" s="216"/>
      <c r="K592" s="216"/>
      <c r="M592" s="216"/>
    </row>
    <row r="593" spans="1:13" x14ac:dyDescent="0.6">
      <c r="A593" s="218"/>
      <c r="B593" s="36"/>
      <c r="C593" s="4"/>
      <c r="D593" s="4"/>
      <c r="E593" s="4"/>
      <c r="F593" s="11"/>
      <c r="G593" s="227"/>
      <c r="H593" s="169"/>
      <c r="I593" s="165"/>
      <c r="J593" s="216"/>
      <c r="K593" s="216"/>
      <c r="M593" s="216"/>
    </row>
    <row r="594" spans="1:13" x14ac:dyDescent="0.6">
      <c r="A594" s="218"/>
      <c r="B594" s="36"/>
      <c r="C594" s="4"/>
      <c r="D594" s="4"/>
      <c r="E594" s="4"/>
      <c r="F594" s="11"/>
      <c r="G594" s="227"/>
      <c r="H594" s="169"/>
      <c r="I594" s="165"/>
      <c r="J594" s="216"/>
      <c r="K594" s="216"/>
      <c r="M594" s="216"/>
    </row>
    <row r="595" spans="1:13" x14ac:dyDescent="0.6">
      <c r="A595" s="218"/>
      <c r="B595" s="36"/>
      <c r="C595" s="4"/>
      <c r="D595" s="4"/>
      <c r="E595" s="4"/>
      <c r="F595" s="11"/>
      <c r="G595" s="227"/>
      <c r="H595" s="169"/>
      <c r="I595" s="165"/>
      <c r="J595" s="216"/>
      <c r="K595" s="216"/>
      <c r="M595" s="216"/>
    </row>
    <row r="596" spans="1:13" x14ac:dyDescent="0.6">
      <c r="A596" s="218"/>
      <c r="B596" s="36"/>
      <c r="C596" s="4"/>
      <c r="D596" s="4"/>
      <c r="E596" s="4"/>
      <c r="F596" s="11"/>
      <c r="G596" s="227"/>
      <c r="H596" s="169"/>
      <c r="I596" s="165"/>
      <c r="J596" s="216"/>
      <c r="K596" s="216"/>
      <c r="M596" s="216"/>
    </row>
    <row r="597" spans="1:13" x14ac:dyDescent="0.6">
      <c r="A597" s="218"/>
      <c r="B597" s="36"/>
      <c r="C597" s="4"/>
      <c r="D597" s="4"/>
      <c r="E597" s="4"/>
      <c r="F597" s="11"/>
      <c r="G597" s="227"/>
      <c r="H597" s="169"/>
      <c r="I597" s="165"/>
      <c r="J597" s="216"/>
      <c r="K597" s="216"/>
      <c r="M597" s="216"/>
    </row>
    <row r="598" spans="1:13" x14ac:dyDescent="0.6">
      <c r="A598" s="218"/>
      <c r="B598" s="36"/>
      <c r="C598" s="4"/>
      <c r="D598" s="4"/>
      <c r="E598" s="4"/>
      <c r="F598" s="11"/>
      <c r="G598" s="227"/>
      <c r="H598" s="169"/>
      <c r="I598" s="165"/>
      <c r="J598" s="216"/>
      <c r="K598" s="216"/>
      <c r="M598" s="216"/>
    </row>
    <row r="599" spans="1:13" x14ac:dyDescent="0.6">
      <c r="A599" s="218"/>
      <c r="B599" s="36"/>
      <c r="C599" s="4"/>
      <c r="D599" s="4"/>
      <c r="E599" s="4"/>
      <c r="F599" s="11"/>
      <c r="G599" s="227"/>
      <c r="H599" s="169"/>
      <c r="I599" s="165"/>
      <c r="J599" s="216"/>
      <c r="K599" s="216"/>
      <c r="M599" s="216"/>
    </row>
    <row r="600" spans="1:13" x14ac:dyDescent="0.6">
      <c r="A600" s="218"/>
      <c r="B600" s="36"/>
      <c r="C600" s="4"/>
      <c r="D600" s="4"/>
      <c r="E600" s="4"/>
      <c r="F600" s="11"/>
      <c r="G600" s="227"/>
      <c r="H600" s="169"/>
      <c r="I600" s="165"/>
      <c r="J600" s="216"/>
      <c r="K600" s="216"/>
      <c r="M600" s="216"/>
    </row>
    <row r="601" spans="1:13" x14ac:dyDescent="0.6">
      <c r="A601" s="218"/>
      <c r="B601" s="36"/>
      <c r="C601" s="4"/>
      <c r="D601" s="4"/>
      <c r="E601" s="4"/>
      <c r="F601" s="11"/>
      <c r="G601" s="227"/>
      <c r="H601" s="169"/>
      <c r="I601" s="165"/>
      <c r="J601" s="216"/>
      <c r="K601" s="216"/>
      <c r="M601" s="216"/>
    </row>
    <row r="602" spans="1:13" x14ac:dyDescent="0.6">
      <c r="A602" s="218"/>
      <c r="B602" s="36"/>
      <c r="C602" s="4"/>
      <c r="D602" s="4"/>
      <c r="E602" s="4"/>
      <c r="F602" s="11"/>
      <c r="G602" s="227"/>
      <c r="H602" s="169"/>
      <c r="I602" s="165"/>
      <c r="J602" s="216"/>
      <c r="K602" s="216"/>
      <c r="M602" s="216"/>
    </row>
    <row r="603" spans="1:13" x14ac:dyDescent="0.6">
      <c r="A603" s="218"/>
      <c r="B603" s="36"/>
      <c r="C603" s="4"/>
      <c r="D603" s="4"/>
      <c r="E603" s="4"/>
      <c r="F603" s="11"/>
      <c r="G603" s="227"/>
      <c r="H603" s="169"/>
      <c r="I603" s="165"/>
      <c r="J603" s="216"/>
      <c r="K603" s="216"/>
      <c r="M603" s="216"/>
    </row>
    <row r="604" spans="1:13" x14ac:dyDescent="0.6">
      <c r="A604" s="218"/>
      <c r="B604" s="36"/>
      <c r="C604" s="4"/>
      <c r="D604" s="4"/>
      <c r="E604" s="4"/>
      <c r="F604" s="11"/>
      <c r="G604" s="227"/>
      <c r="H604" s="169"/>
      <c r="I604" s="165"/>
      <c r="J604" s="216"/>
      <c r="K604" s="216"/>
      <c r="M604" s="216"/>
    </row>
    <row r="605" spans="1:13" x14ac:dyDescent="0.6">
      <c r="A605" s="218"/>
      <c r="B605" s="36"/>
      <c r="C605" s="4"/>
      <c r="D605" s="4"/>
      <c r="E605" s="4"/>
      <c r="F605" s="11"/>
      <c r="G605" s="227"/>
      <c r="H605" s="169"/>
      <c r="I605" s="165"/>
      <c r="J605" s="216"/>
      <c r="K605" s="216"/>
      <c r="M605" s="216"/>
    </row>
    <row r="606" spans="1:13" x14ac:dyDescent="0.6">
      <c r="A606" s="218"/>
      <c r="B606" s="36"/>
      <c r="C606" s="4"/>
      <c r="D606" s="4"/>
      <c r="E606" s="4"/>
      <c r="F606" s="11"/>
      <c r="G606" s="227"/>
      <c r="H606" s="169"/>
      <c r="I606" s="165"/>
      <c r="J606" s="216"/>
      <c r="K606" s="216"/>
      <c r="M606" s="216"/>
    </row>
    <row r="607" spans="1:13" x14ac:dyDescent="0.6">
      <c r="A607" s="218"/>
      <c r="B607" s="36"/>
      <c r="C607" s="4"/>
      <c r="D607" s="4"/>
      <c r="E607" s="4"/>
      <c r="F607" s="11"/>
      <c r="G607" s="227"/>
      <c r="H607" s="169"/>
      <c r="I607" s="165"/>
      <c r="J607" s="216"/>
      <c r="K607" s="216"/>
      <c r="M607" s="216"/>
    </row>
    <row r="608" spans="1:13" x14ac:dyDescent="0.6">
      <c r="A608" s="218"/>
      <c r="B608" s="36"/>
      <c r="C608" s="4"/>
      <c r="D608" s="4"/>
      <c r="E608" s="4"/>
      <c r="F608" s="11"/>
      <c r="G608" s="227"/>
      <c r="H608" s="169"/>
      <c r="I608" s="165"/>
      <c r="J608" s="216"/>
      <c r="K608" s="216"/>
      <c r="M608" s="216"/>
    </row>
    <row r="609" spans="1:13" x14ac:dyDescent="0.6">
      <c r="A609" s="218"/>
      <c r="B609" s="36"/>
      <c r="C609" s="4"/>
      <c r="D609" s="4"/>
      <c r="E609" s="4"/>
      <c r="F609" s="11"/>
      <c r="G609" s="227"/>
      <c r="H609" s="169"/>
      <c r="I609" s="165"/>
      <c r="J609" s="216"/>
      <c r="K609" s="216"/>
      <c r="M609" s="216"/>
    </row>
    <row r="610" spans="1:13" x14ac:dyDescent="0.6">
      <c r="A610" s="218"/>
      <c r="B610" s="36"/>
      <c r="C610" s="4"/>
      <c r="D610" s="4"/>
      <c r="E610" s="4"/>
      <c r="F610" s="11"/>
      <c r="G610" s="227"/>
      <c r="H610" s="169"/>
      <c r="I610" s="165"/>
      <c r="J610" s="216"/>
      <c r="K610" s="216"/>
      <c r="M610" s="216"/>
    </row>
    <row r="611" spans="1:13" x14ac:dyDescent="0.6">
      <c r="A611" s="218"/>
      <c r="B611" s="36"/>
      <c r="C611" s="4"/>
      <c r="D611" s="4"/>
      <c r="E611" s="4"/>
      <c r="F611" s="11"/>
      <c r="G611" s="227"/>
      <c r="H611" s="169"/>
      <c r="I611" s="165"/>
      <c r="J611" s="216"/>
      <c r="K611" s="216"/>
      <c r="M611" s="216"/>
    </row>
    <row r="612" spans="1:13" x14ac:dyDescent="0.6">
      <c r="A612" s="218"/>
      <c r="B612" s="36"/>
      <c r="C612" s="4"/>
      <c r="D612" s="4"/>
      <c r="E612" s="4"/>
      <c r="F612" s="11"/>
      <c r="G612" s="227"/>
      <c r="H612" s="169"/>
      <c r="I612" s="165"/>
      <c r="J612" s="216"/>
      <c r="K612" s="216"/>
      <c r="M612" s="216"/>
    </row>
    <row r="613" spans="1:13" x14ac:dyDescent="0.6">
      <c r="A613" s="218"/>
      <c r="B613" s="36"/>
      <c r="C613" s="4"/>
      <c r="D613" s="4"/>
      <c r="E613" s="4"/>
      <c r="F613" s="11"/>
      <c r="G613" s="227"/>
      <c r="H613" s="169"/>
      <c r="I613" s="165"/>
      <c r="J613" s="216"/>
      <c r="K613" s="216"/>
      <c r="M613" s="216"/>
    </row>
    <row r="614" spans="1:13" x14ac:dyDescent="0.6">
      <c r="A614" s="218"/>
      <c r="B614" s="36"/>
      <c r="C614" s="4"/>
      <c r="D614" s="4"/>
      <c r="E614" s="4"/>
      <c r="F614" s="11"/>
      <c r="G614" s="227"/>
      <c r="H614" s="169"/>
      <c r="I614" s="165"/>
      <c r="J614" s="216"/>
      <c r="K614" s="216"/>
      <c r="M614" s="216"/>
    </row>
    <row r="615" spans="1:13" x14ac:dyDescent="0.6">
      <c r="A615" s="218"/>
      <c r="B615" s="36"/>
      <c r="C615" s="4"/>
      <c r="D615" s="4"/>
      <c r="E615" s="4"/>
      <c r="F615" s="11"/>
      <c r="G615" s="227"/>
      <c r="H615" s="169"/>
      <c r="I615" s="165"/>
      <c r="J615" s="216"/>
      <c r="K615" s="216"/>
      <c r="M615" s="216"/>
    </row>
    <row r="616" spans="1:13" x14ac:dyDescent="0.6">
      <c r="A616" s="218"/>
      <c r="B616" s="36"/>
      <c r="C616" s="4"/>
      <c r="D616" s="4"/>
      <c r="E616" s="4"/>
      <c r="F616" s="11"/>
      <c r="G616" s="227"/>
      <c r="H616" s="169"/>
      <c r="I616" s="165"/>
      <c r="J616" s="216"/>
      <c r="K616" s="216"/>
      <c r="M616" s="216"/>
    </row>
    <row r="617" spans="1:13" x14ac:dyDescent="0.6">
      <c r="A617" s="218"/>
      <c r="B617" s="36"/>
      <c r="C617" s="4"/>
      <c r="D617" s="4"/>
      <c r="E617" s="4"/>
      <c r="F617" s="11"/>
      <c r="G617" s="227"/>
      <c r="H617" s="169"/>
      <c r="I617" s="165"/>
      <c r="J617" s="216"/>
      <c r="K617" s="216"/>
      <c r="M617" s="216"/>
    </row>
    <row r="618" spans="1:13" x14ac:dyDescent="0.6">
      <c r="A618" s="218"/>
      <c r="B618" s="36"/>
      <c r="C618" s="4"/>
      <c r="D618" s="4"/>
      <c r="E618" s="4"/>
      <c r="F618" s="11"/>
      <c r="G618" s="227"/>
      <c r="H618" s="169"/>
      <c r="I618" s="165"/>
      <c r="J618" s="216"/>
      <c r="K618" s="216"/>
      <c r="M618" s="216"/>
    </row>
    <row r="619" spans="1:13" x14ac:dyDescent="0.6">
      <c r="A619" s="218"/>
      <c r="B619" s="36"/>
      <c r="C619" s="4"/>
      <c r="D619" s="4"/>
      <c r="E619" s="4"/>
      <c r="F619" s="11"/>
      <c r="G619" s="227"/>
      <c r="H619" s="169"/>
      <c r="I619" s="165"/>
      <c r="J619" s="216"/>
      <c r="K619" s="216"/>
      <c r="M619" s="216"/>
    </row>
    <row r="620" spans="1:13" x14ac:dyDescent="0.6">
      <c r="A620" s="218"/>
      <c r="B620" s="36"/>
      <c r="C620" s="4"/>
      <c r="D620" s="4"/>
      <c r="E620" s="4"/>
      <c r="F620" s="11"/>
      <c r="G620" s="227"/>
      <c r="H620" s="169"/>
      <c r="I620" s="165"/>
      <c r="J620" s="216"/>
      <c r="K620" s="216"/>
      <c r="M620" s="216"/>
    </row>
    <row r="621" spans="1:13" x14ac:dyDescent="0.6">
      <c r="A621" s="218"/>
      <c r="B621" s="36"/>
      <c r="C621" s="4"/>
      <c r="D621" s="4"/>
      <c r="E621" s="4"/>
      <c r="F621" s="11"/>
      <c r="G621" s="227"/>
      <c r="H621" s="169"/>
      <c r="I621" s="165"/>
      <c r="J621" s="216"/>
      <c r="K621" s="216"/>
      <c r="M621" s="216"/>
    </row>
    <row r="622" spans="1:13" x14ac:dyDescent="0.6">
      <c r="A622" s="218"/>
      <c r="B622" s="36"/>
      <c r="C622" s="4"/>
      <c r="D622" s="4"/>
      <c r="E622" s="4"/>
      <c r="F622" s="11"/>
      <c r="G622" s="227"/>
      <c r="H622" s="169"/>
      <c r="I622" s="165"/>
      <c r="J622" s="216"/>
      <c r="K622" s="216"/>
      <c r="M622" s="216"/>
    </row>
    <row r="623" spans="1:13" x14ac:dyDescent="0.6">
      <c r="A623" s="218"/>
      <c r="B623" s="36"/>
      <c r="C623" s="4"/>
      <c r="D623" s="4"/>
      <c r="E623" s="4"/>
      <c r="F623" s="11"/>
      <c r="G623" s="227"/>
      <c r="H623" s="169"/>
      <c r="I623" s="165"/>
      <c r="J623" s="216"/>
      <c r="K623" s="216"/>
      <c r="M623" s="216"/>
    </row>
    <row r="624" spans="1:13" x14ac:dyDescent="0.6">
      <c r="A624" s="218"/>
      <c r="B624" s="36"/>
      <c r="C624" s="4"/>
      <c r="D624" s="4"/>
      <c r="E624" s="4"/>
      <c r="F624" s="11"/>
      <c r="G624" s="227"/>
      <c r="H624" s="169"/>
      <c r="I624" s="165"/>
      <c r="J624" s="216"/>
      <c r="K624" s="216"/>
      <c r="M624" s="216"/>
    </row>
    <row r="625" spans="1:13" x14ac:dyDescent="0.6">
      <c r="A625" s="218"/>
      <c r="B625" s="36"/>
      <c r="C625" s="4"/>
      <c r="D625" s="4"/>
      <c r="E625" s="4"/>
      <c r="F625" s="11"/>
      <c r="G625" s="227"/>
      <c r="H625" s="169"/>
      <c r="I625" s="165"/>
      <c r="J625" s="216"/>
      <c r="K625" s="216"/>
      <c r="M625" s="216"/>
    </row>
    <row r="626" spans="1:13" x14ac:dyDescent="0.6">
      <c r="A626" s="218"/>
      <c r="B626" s="36"/>
      <c r="C626" s="4"/>
      <c r="D626" s="4"/>
      <c r="E626" s="4"/>
      <c r="F626" s="11"/>
      <c r="G626" s="227"/>
      <c r="H626" s="169"/>
      <c r="I626" s="165"/>
      <c r="J626" s="216"/>
      <c r="K626" s="216"/>
      <c r="M626" s="216"/>
    </row>
    <row r="627" spans="1:13" x14ac:dyDescent="0.6">
      <c r="A627" s="218"/>
      <c r="B627" s="36"/>
      <c r="C627" s="4"/>
      <c r="D627" s="4"/>
      <c r="E627" s="4"/>
      <c r="F627" s="11"/>
      <c r="G627" s="227"/>
      <c r="H627" s="169"/>
      <c r="I627" s="165"/>
      <c r="J627" s="216"/>
      <c r="K627" s="216"/>
      <c r="M627" s="216"/>
    </row>
    <row r="628" spans="1:13" x14ac:dyDescent="0.6">
      <c r="A628" s="218"/>
      <c r="B628" s="36"/>
      <c r="C628" s="4"/>
      <c r="D628" s="4"/>
      <c r="E628" s="4"/>
      <c r="F628" s="11"/>
      <c r="G628" s="227"/>
      <c r="H628" s="169"/>
      <c r="I628" s="165"/>
      <c r="J628" s="216"/>
      <c r="K628" s="216"/>
      <c r="M628" s="216"/>
    </row>
    <row r="629" spans="1:13" x14ac:dyDescent="0.6">
      <c r="A629" s="218"/>
      <c r="B629" s="36"/>
      <c r="C629" s="4"/>
      <c r="D629" s="4"/>
      <c r="E629" s="4"/>
      <c r="F629" s="11"/>
      <c r="G629" s="227"/>
      <c r="H629" s="169"/>
      <c r="I629" s="165"/>
      <c r="J629" s="216"/>
      <c r="K629" s="216"/>
      <c r="M629" s="216"/>
    </row>
    <row r="630" spans="1:13" x14ac:dyDescent="0.6">
      <c r="A630" s="218"/>
      <c r="B630" s="36"/>
      <c r="C630" s="4"/>
      <c r="D630" s="4"/>
      <c r="E630" s="4"/>
      <c r="F630" s="11"/>
      <c r="G630" s="227"/>
      <c r="H630" s="169"/>
      <c r="I630" s="165"/>
      <c r="J630" s="216"/>
      <c r="K630" s="216"/>
      <c r="M630" s="216"/>
    </row>
    <row r="631" spans="1:13" x14ac:dyDescent="0.6">
      <c r="A631" s="218"/>
      <c r="B631" s="36"/>
      <c r="C631" s="4"/>
      <c r="D631" s="4"/>
      <c r="E631" s="4"/>
      <c r="F631" s="11"/>
      <c r="G631" s="227"/>
      <c r="H631" s="169"/>
      <c r="I631" s="165"/>
      <c r="J631" s="216"/>
      <c r="K631" s="216"/>
      <c r="M631" s="216"/>
    </row>
    <row r="632" spans="1:13" x14ac:dyDescent="0.6">
      <c r="A632" s="218"/>
      <c r="B632" s="36"/>
      <c r="C632" s="4"/>
      <c r="D632" s="4"/>
      <c r="E632" s="4"/>
      <c r="F632" s="11"/>
      <c r="G632" s="227"/>
      <c r="H632" s="169"/>
      <c r="I632" s="165"/>
      <c r="J632" s="216"/>
      <c r="K632" s="216"/>
      <c r="M632" s="216"/>
    </row>
    <row r="633" spans="1:13" x14ac:dyDescent="0.6">
      <c r="A633" s="218"/>
      <c r="B633" s="36"/>
      <c r="C633" s="4"/>
      <c r="D633" s="4"/>
      <c r="E633" s="4"/>
      <c r="F633" s="11"/>
      <c r="G633" s="227"/>
      <c r="H633" s="169"/>
      <c r="I633" s="165"/>
      <c r="J633" s="216"/>
      <c r="K633" s="216"/>
      <c r="M633" s="216"/>
    </row>
    <row r="634" spans="1:13" x14ac:dyDescent="0.6">
      <c r="A634" s="218"/>
      <c r="B634" s="36"/>
      <c r="C634" s="4"/>
      <c r="D634" s="4"/>
      <c r="E634" s="4"/>
      <c r="F634" s="11"/>
      <c r="G634" s="227"/>
      <c r="H634" s="169"/>
      <c r="I634" s="165"/>
      <c r="J634" s="216"/>
      <c r="K634" s="216"/>
      <c r="M634" s="216"/>
    </row>
    <row r="635" spans="1:13" x14ac:dyDescent="0.6">
      <c r="A635" s="218"/>
      <c r="B635" s="36"/>
      <c r="C635" s="4"/>
      <c r="D635" s="4"/>
      <c r="E635" s="4"/>
      <c r="F635" s="11"/>
      <c r="G635" s="227"/>
      <c r="H635" s="169"/>
      <c r="I635" s="165"/>
      <c r="J635" s="216"/>
      <c r="K635" s="216"/>
      <c r="M635" s="216"/>
    </row>
    <row r="636" spans="1:13" x14ac:dyDescent="0.6">
      <c r="A636" s="218"/>
      <c r="B636" s="36"/>
      <c r="C636" s="4"/>
      <c r="D636" s="4"/>
      <c r="E636" s="4"/>
      <c r="F636" s="11"/>
      <c r="G636" s="227"/>
      <c r="H636" s="169"/>
      <c r="I636" s="165"/>
      <c r="J636" s="216"/>
      <c r="K636" s="216"/>
      <c r="M636" s="216"/>
    </row>
    <row r="637" spans="1:13" x14ac:dyDescent="0.6">
      <c r="A637" s="218"/>
      <c r="B637" s="36"/>
      <c r="C637" s="4"/>
      <c r="D637" s="4"/>
      <c r="E637" s="4"/>
      <c r="F637" s="11"/>
      <c r="G637" s="227"/>
      <c r="H637" s="169"/>
      <c r="I637" s="165"/>
      <c r="J637" s="216"/>
      <c r="K637" s="216"/>
      <c r="M637" s="216"/>
    </row>
    <row r="638" spans="1:13" x14ac:dyDescent="0.6">
      <c r="A638" s="218"/>
      <c r="B638" s="36"/>
      <c r="C638" s="4"/>
      <c r="D638" s="4"/>
      <c r="E638" s="4"/>
      <c r="F638" s="11"/>
      <c r="G638" s="227"/>
      <c r="H638" s="169"/>
      <c r="I638" s="165"/>
      <c r="J638" s="216"/>
      <c r="K638" s="216"/>
      <c r="M638" s="216"/>
    </row>
    <row r="639" spans="1:13" x14ac:dyDescent="0.6">
      <c r="A639" s="218"/>
      <c r="B639" s="36"/>
      <c r="C639" s="4"/>
      <c r="D639" s="4"/>
      <c r="E639" s="4"/>
      <c r="F639" s="11"/>
      <c r="G639" s="227"/>
      <c r="H639" s="169"/>
      <c r="I639" s="165"/>
      <c r="J639" s="216"/>
      <c r="K639" s="216"/>
      <c r="M639" s="216"/>
    </row>
    <row r="640" spans="1:13" x14ac:dyDescent="0.6">
      <c r="A640" s="218"/>
      <c r="B640" s="36"/>
      <c r="C640" s="4"/>
      <c r="D640" s="4"/>
      <c r="E640" s="4"/>
      <c r="F640" s="11"/>
      <c r="G640" s="227"/>
      <c r="H640" s="169"/>
      <c r="I640" s="165"/>
      <c r="J640" s="216"/>
      <c r="K640" s="216"/>
      <c r="M640" s="216"/>
    </row>
    <row r="641" spans="1:13" x14ac:dyDescent="0.6">
      <c r="A641" s="218"/>
      <c r="B641" s="36"/>
      <c r="C641" s="4"/>
      <c r="D641" s="4"/>
      <c r="E641" s="4"/>
      <c r="F641" s="11"/>
      <c r="G641" s="227"/>
      <c r="H641" s="169"/>
      <c r="I641" s="165"/>
      <c r="J641" s="216"/>
      <c r="K641" s="216"/>
      <c r="M641" s="216"/>
    </row>
    <row r="642" spans="1:13" x14ac:dyDescent="0.6">
      <c r="A642" s="218"/>
      <c r="B642" s="36"/>
      <c r="C642" s="4"/>
      <c r="D642" s="4"/>
      <c r="E642" s="4"/>
      <c r="F642" s="11"/>
      <c r="G642" s="227"/>
      <c r="H642" s="169"/>
      <c r="I642" s="165"/>
      <c r="J642" s="216"/>
      <c r="K642" s="216"/>
      <c r="M642" s="216"/>
    </row>
    <row r="643" spans="1:13" x14ac:dyDescent="0.6">
      <c r="A643" s="218"/>
      <c r="B643" s="36"/>
      <c r="C643" s="4"/>
      <c r="D643" s="4"/>
      <c r="E643" s="4"/>
      <c r="F643" s="11"/>
      <c r="G643" s="227"/>
      <c r="H643" s="169"/>
      <c r="I643" s="165"/>
      <c r="J643" s="216"/>
      <c r="K643" s="216"/>
      <c r="M643" s="216"/>
    </row>
    <row r="644" spans="1:13" x14ac:dyDescent="0.6">
      <c r="A644" s="218"/>
      <c r="B644" s="36"/>
      <c r="C644" s="4"/>
      <c r="D644" s="4"/>
      <c r="E644" s="4"/>
      <c r="F644" s="11"/>
      <c r="G644" s="227"/>
      <c r="H644" s="169"/>
      <c r="I644" s="165"/>
      <c r="J644" s="216"/>
      <c r="K644" s="216"/>
      <c r="M644" s="216"/>
    </row>
    <row r="645" spans="1:13" x14ac:dyDescent="0.6">
      <c r="A645" s="218"/>
      <c r="B645" s="36"/>
      <c r="C645" s="4"/>
      <c r="D645" s="4"/>
      <c r="E645" s="4"/>
      <c r="F645" s="11"/>
      <c r="G645" s="227"/>
      <c r="H645" s="169"/>
      <c r="I645" s="165"/>
      <c r="J645" s="216"/>
      <c r="K645" s="216"/>
      <c r="M645" s="216"/>
    </row>
    <row r="646" spans="1:13" x14ac:dyDescent="0.6">
      <c r="A646" s="218"/>
      <c r="B646" s="36"/>
      <c r="C646" s="4"/>
      <c r="D646" s="4"/>
      <c r="E646" s="4"/>
      <c r="F646" s="11"/>
      <c r="G646" s="227"/>
      <c r="H646" s="169"/>
      <c r="I646" s="165"/>
      <c r="J646" s="216"/>
      <c r="K646" s="216"/>
      <c r="M646" s="216"/>
    </row>
    <row r="647" spans="1:13" x14ac:dyDescent="0.6">
      <c r="A647" s="218"/>
      <c r="B647" s="36"/>
      <c r="C647" s="4"/>
      <c r="D647" s="4"/>
      <c r="E647" s="4"/>
      <c r="F647" s="11"/>
      <c r="G647" s="227"/>
      <c r="H647" s="169"/>
      <c r="I647" s="165"/>
      <c r="J647" s="216"/>
      <c r="K647" s="216"/>
      <c r="M647" s="216"/>
    </row>
    <row r="648" spans="1:13" x14ac:dyDescent="0.6">
      <c r="A648" s="218"/>
      <c r="B648" s="36"/>
      <c r="C648" s="4"/>
      <c r="D648" s="4"/>
      <c r="E648" s="4"/>
      <c r="F648" s="11"/>
      <c r="G648" s="227"/>
      <c r="H648" s="169"/>
      <c r="I648" s="165"/>
      <c r="J648" s="216"/>
      <c r="K648" s="216"/>
      <c r="M648" s="216"/>
    </row>
    <row r="649" spans="1:13" x14ac:dyDescent="0.6">
      <c r="A649" s="218"/>
      <c r="B649" s="36"/>
      <c r="C649" s="4"/>
      <c r="D649" s="4"/>
      <c r="E649" s="4"/>
      <c r="F649" s="11"/>
      <c r="G649" s="227"/>
      <c r="H649" s="169"/>
      <c r="I649" s="165"/>
      <c r="J649" s="216"/>
      <c r="K649" s="216"/>
      <c r="M649" s="216"/>
    </row>
    <row r="650" spans="1:13" x14ac:dyDescent="0.6">
      <c r="A650" s="218"/>
      <c r="B650" s="36"/>
      <c r="C650" s="4"/>
      <c r="D650" s="4"/>
      <c r="E650" s="4"/>
      <c r="F650" s="11"/>
      <c r="G650" s="227"/>
      <c r="H650" s="169"/>
      <c r="I650" s="165"/>
      <c r="J650" s="216"/>
      <c r="K650" s="216"/>
      <c r="M650" s="216"/>
    </row>
    <row r="651" spans="1:13" x14ac:dyDescent="0.6">
      <c r="A651" s="218"/>
      <c r="B651" s="36"/>
      <c r="C651" s="4"/>
      <c r="D651" s="4"/>
      <c r="E651" s="4"/>
      <c r="F651" s="11"/>
      <c r="G651" s="227"/>
      <c r="H651" s="169"/>
      <c r="I651" s="165"/>
      <c r="J651" s="216"/>
      <c r="K651" s="216"/>
      <c r="M651" s="216"/>
    </row>
    <row r="652" spans="1:13" x14ac:dyDescent="0.6">
      <c r="A652" s="218"/>
      <c r="B652" s="36"/>
      <c r="C652" s="4"/>
      <c r="D652" s="4"/>
      <c r="E652" s="4"/>
      <c r="F652" s="11"/>
      <c r="G652" s="227"/>
      <c r="H652" s="169"/>
      <c r="I652" s="165"/>
      <c r="J652" s="216"/>
      <c r="K652" s="216"/>
      <c r="M652" s="216"/>
    </row>
    <row r="653" spans="1:13" x14ac:dyDescent="0.6">
      <c r="A653" s="218"/>
      <c r="B653" s="36"/>
      <c r="C653" s="4"/>
      <c r="D653" s="4"/>
      <c r="E653" s="4"/>
      <c r="F653" s="11"/>
      <c r="G653" s="227"/>
      <c r="H653" s="169"/>
      <c r="I653" s="165"/>
      <c r="J653" s="216"/>
      <c r="K653" s="216"/>
      <c r="M653" s="216"/>
    </row>
    <row r="654" spans="1:13" x14ac:dyDescent="0.6">
      <c r="A654" s="218"/>
      <c r="B654" s="36"/>
      <c r="C654" s="4"/>
      <c r="D654" s="4"/>
      <c r="E654" s="4"/>
      <c r="F654" s="11"/>
      <c r="G654" s="227"/>
      <c r="H654" s="169"/>
      <c r="I654" s="165"/>
      <c r="J654" s="216"/>
      <c r="K654" s="216"/>
      <c r="M654" s="216"/>
    </row>
    <row r="655" spans="1:13" x14ac:dyDescent="0.6">
      <c r="A655" s="218"/>
      <c r="B655" s="36"/>
      <c r="C655" s="4"/>
      <c r="D655" s="4"/>
      <c r="E655" s="4"/>
      <c r="F655" s="11"/>
      <c r="G655" s="227"/>
      <c r="H655" s="169"/>
      <c r="I655" s="165"/>
      <c r="J655" s="216"/>
      <c r="K655" s="216"/>
      <c r="M655" s="216"/>
    </row>
    <row r="656" spans="1:13" x14ac:dyDescent="0.6">
      <c r="A656" s="218"/>
      <c r="B656" s="36"/>
      <c r="C656" s="4"/>
      <c r="D656" s="4"/>
      <c r="E656" s="4"/>
      <c r="F656" s="11"/>
      <c r="G656" s="227"/>
      <c r="H656" s="169"/>
      <c r="I656" s="165"/>
      <c r="J656" s="216"/>
      <c r="K656" s="216"/>
      <c r="M656" s="216"/>
    </row>
    <row r="657" spans="1:13" x14ac:dyDescent="0.6">
      <c r="A657" s="218"/>
      <c r="B657" s="36"/>
      <c r="C657" s="4"/>
      <c r="D657" s="4"/>
      <c r="E657" s="4"/>
      <c r="F657" s="11"/>
      <c r="G657" s="227"/>
      <c r="H657" s="169"/>
      <c r="I657" s="165"/>
      <c r="J657" s="216"/>
      <c r="K657" s="216"/>
      <c r="M657" s="216"/>
    </row>
    <row r="658" spans="1:13" x14ac:dyDescent="0.6">
      <c r="A658" s="218"/>
      <c r="B658" s="36"/>
      <c r="C658" s="4"/>
      <c r="D658" s="4"/>
      <c r="E658" s="4"/>
      <c r="F658" s="11"/>
      <c r="G658" s="227"/>
      <c r="H658" s="169"/>
      <c r="I658" s="165"/>
      <c r="J658" s="216"/>
      <c r="K658" s="216"/>
      <c r="M658" s="216"/>
    </row>
    <row r="659" spans="1:13" x14ac:dyDescent="0.6">
      <c r="A659" s="218"/>
      <c r="B659" s="36"/>
      <c r="C659" s="4"/>
      <c r="D659" s="4"/>
      <c r="E659" s="4"/>
      <c r="F659" s="11"/>
      <c r="G659" s="227"/>
      <c r="H659" s="169"/>
      <c r="I659" s="165"/>
      <c r="J659" s="216"/>
      <c r="K659" s="216"/>
      <c r="M659" s="216"/>
    </row>
    <row r="660" spans="1:13" x14ac:dyDescent="0.6">
      <c r="A660" s="218"/>
      <c r="B660" s="36"/>
      <c r="C660" s="4"/>
      <c r="D660" s="4"/>
      <c r="E660" s="4"/>
      <c r="F660" s="11"/>
      <c r="G660" s="227"/>
      <c r="H660" s="169"/>
      <c r="I660" s="165"/>
      <c r="J660" s="216"/>
      <c r="K660" s="216"/>
      <c r="M660" s="216"/>
    </row>
    <row r="661" spans="1:13" x14ac:dyDescent="0.6">
      <c r="A661" s="218"/>
      <c r="B661" s="36"/>
      <c r="C661" s="4"/>
      <c r="D661" s="4"/>
      <c r="E661" s="4"/>
      <c r="F661" s="11"/>
      <c r="G661" s="227"/>
      <c r="H661" s="169"/>
      <c r="I661" s="165"/>
      <c r="J661" s="216"/>
      <c r="K661" s="216"/>
      <c r="M661" s="216"/>
    </row>
    <row r="662" spans="1:13" x14ac:dyDescent="0.6">
      <c r="A662" s="218"/>
      <c r="B662" s="36"/>
      <c r="C662" s="4"/>
      <c r="D662" s="4"/>
      <c r="E662" s="4"/>
      <c r="F662" s="11"/>
      <c r="G662" s="227"/>
      <c r="H662" s="169"/>
      <c r="I662" s="165"/>
      <c r="J662" s="216"/>
      <c r="K662" s="216"/>
      <c r="M662" s="216"/>
    </row>
    <row r="663" spans="1:13" x14ac:dyDescent="0.6">
      <c r="A663" s="218"/>
      <c r="B663" s="36"/>
      <c r="C663" s="4"/>
      <c r="D663" s="4"/>
      <c r="E663" s="4"/>
      <c r="F663" s="11"/>
      <c r="G663" s="227"/>
      <c r="H663" s="169"/>
      <c r="I663" s="165"/>
      <c r="J663" s="216"/>
      <c r="K663" s="216"/>
      <c r="M663" s="216"/>
    </row>
    <row r="664" spans="1:13" x14ac:dyDescent="0.6">
      <c r="A664" s="218"/>
      <c r="B664" s="36"/>
      <c r="C664" s="4"/>
      <c r="D664" s="4"/>
      <c r="E664" s="4"/>
      <c r="F664" s="11"/>
      <c r="G664" s="227"/>
      <c r="H664" s="169"/>
      <c r="I664" s="165"/>
      <c r="J664" s="216"/>
      <c r="K664" s="216"/>
      <c r="M664" s="216"/>
    </row>
    <row r="665" spans="1:13" x14ac:dyDescent="0.6">
      <c r="A665" s="218"/>
      <c r="B665" s="36"/>
      <c r="C665" s="4"/>
      <c r="D665" s="4"/>
      <c r="E665" s="4"/>
      <c r="F665" s="11"/>
      <c r="G665" s="227"/>
      <c r="H665" s="169"/>
      <c r="I665" s="165"/>
      <c r="J665" s="216"/>
      <c r="K665" s="216"/>
      <c r="M665" s="216"/>
    </row>
    <row r="666" spans="1:13" x14ac:dyDescent="0.6">
      <c r="A666" s="218"/>
      <c r="B666" s="36"/>
      <c r="C666" s="4"/>
      <c r="D666" s="4"/>
      <c r="E666" s="4"/>
      <c r="F666" s="11"/>
      <c r="G666" s="227"/>
      <c r="H666" s="169"/>
      <c r="I666" s="165"/>
      <c r="J666" s="216"/>
      <c r="K666" s="216"/>
      <c r="M666" s="216"/>
    </row>
    <row r="667" spans="1:13" x14ac:dyDescent="0.6">
      <c r="A667" s="218"/>
      <c r="B667" s="36"/>
      <c r="C667" s="4"/>
      <c r="D667" s="4"/>
      <c r="E667" s="4"/>
      <c r="F667" s="11"/>
      <c r="G667" s="227"/>
      <c r="H667" s="169"/>
      <c r="I667" s="165"/>
      <c r="J667" s="216"/>
      <c r="K667" s="216"/>
      <c r="M667" s="216"/>
    </row>
    <row r="668" spans="1:13" x14ac:dyDescent="0.6">
      <c r="A668" s="218"/>
      <c r="B668" s="36"/>
      <c r="C668" s="4"/>
      <c r="D668" s="4"/>
      <c r="E668" s="4"/>
      <c r="F668" s="11"/>
      <c r="G668" s="227"/>
      <c r="H668" s="169"/>
      <c r="I668" s="165"/>
      <c r="J668" s="216"/>
      <c r="K668" s="216"/>
      <c r="M668" s="216"/>
    </row>
    <row r="669" spans="1:13" x14ac:dyDescent="0.6">
      <c r="A669" s="218"/>
      <c r="B669" s="36"/>
      <c r="C669" s="4"/>
      <c r="D669" s="4"/>
      <c r="E669" s="4"/>
      <c r="F669" s="11"/>
      <c r="G669" s="227"/>
      <c r="H669" s="169"/>
      <c r="I669" s="165"/>
      <c r="J669" s="216"/>
      <c r="K669" s="216"/>
      <c r="M669" s="216"/>
    </row>
    <row r="670" spans="1:13" x14ac:dyDescent="0.6">
      <c r="A670" s="218"/>
      <c r="B670" s="36"/>
      <c r="C670" s="4"/>
      <c r="D670" s="4"/>
      <c r="E670" s="4"/>
      <c r="F670" s="11"/>
      <c r="G670" s="227"/>
      <c r="H670" s="169"/>
      <c r="I670" s="165"/>
      <c r="J670" s="216"/>
      <c r="K670" s="216"/>
      <c r="M670" s="216"/>
    </row>
    <row r="671" spans="1:13" x14ac:dyDescent="0.6">
      <c r="A671" s="218"/>
      <c r="B671" s="36"/>
      <c r="C671" s="4"/>
      <c r="D671" s="4"/>
      <c r="E671" s="4"/>
      <c r="F671" s="11"/>
      <c r="G671" s="227"/>
      <c r="H671" s="169"/>
      <c r="I671" s="165"/>
      <c r="J671" s="216"/>
      <c r="K671" s="216"/>
      <c r="M671" s="216"/>
    </row>
    <row r="672" spans="1:13" x14ac:dyDescent="0.6">
      <c r="A672" s="218"/>
      <c r="B672" s="36"/>
      <c r="C672" s="4"/>
      <c r="D672" s="4"/>
      <c r="E672" s="4"/>
      <c r="F672" s="11"/>
      <c r="G672" s="227"/>
      <c r="H672" s="169"/>
      <c r="I672" s="165"/>
      <c r="J672" s="216"/>
      <c r="K672" s="216"/>
      <c r="M672" s="216"/>
    </row>
    <row r="673" spans="1:13" x14ac:dyDescent="0.6">
      <c r="A673" s="218"/>
      <c r="B673" s="36"/>
      <c r="C673" s="4"/>
      <c r="D673" s="4"/>
      <c r="E673" s="4"/>
      <c r="F673" s="11"/>
      <c r="G673" s="227"/>
      <c r="H673" s="169"/>
      <c r="I673" s="165"/>
      <c r="J673" s="216"/>
      <c r="K673" s="216"/>
      <c r="M673" s="216"/>
    </row>
    <row r="674" spans="1:13" x14ac:dyDescent="0.6">
      <c r="A674" s="218"/>
      <c r="B674" s="36"/>
      <c r="C674" s="4"/>
      <c r="D674" s="4"/>
      <c r="E674" s="4"/>
      <c r="F674" s="11"/>
      <c r="G674" s="227"/>
      <c r="H674" s="169"/>
      <c r="I674" s="165"/>
      <c r="J674" s="216"/>
      <c r="K674" s="216"/>
      <c r="M674" s="216"/>
    </row>
    <row r="675" spans="1:13" x14ac:dyDescent="0.6">
      <c r="A675" s="218"/>
      <c r="B675" s="36"/>
      <c r="C675" s="4"/>
      <c r="D675" s="4"/>
      <c r="E675" s="4"/>
      <c r="F675" s="11"/>
      <c r="G675" s="227"/>
      <c r="H675" s="169"/>
      <c r="I675" s="165"/>
      <c r="J675" s="216"/>
      <c r="K675" s="216"/>
      <c r="M675" s="216"/>
    </row>
    <row r="676" spans="1:13" x14ac:dyDescent="0.6">
      <c r="A676" s="218"/>
      <c r="B676" s="36"/>
      <c r="C676" s="4"/>
      <c r="D676" s="4"/>
      <c r="E676" s="4"/>
      <c r="F676" s="11"/>
      <c r="G676" s="227"/>
      <c r="H676" s="169"/>
      <c r="I676" s="165"/>
      <c r="J676" s="216"/>
      <c r="K676" s="216"/>
      <c r="M676" s="216"/>
    </row>
    <row r="677" spans="1:13" x14ac:dyDescent="0.6">
      <c r="A677" s="218"/>
      <c r="B677" s="36"/>
      <c r="C677" s="4"/>
      <c r="D677" s="4"/>
      <c r="E677" s="4"/>
      <c r="F677" s="11"/>
      <c r="G677" s="227"/>
      <c r="H677" s="169"/>
      <c r="I677" s="165"/>
      <c r="J677" s="216"/>
      <c r="K677" s="216"/>
      <c r="M677" s="216"/>
    </row>
    <row r="678" spans="1:13" x14ac:dyDescent="0.6">
      <c r="A678" s="218"/>
      <c r="B678" s="36"/>
      <c r="C678" s="4"/>
      <c r="D678" s="4"/>
      <c r="E678" s="4"/>
      <c r="F678" s="11"/>
      <c r="G678" s="227"/>
      <c r="H678" s="169"/>
      <c r="I678" s="165"/>
      <c r="J678" s="216"/>
      <c r="K678" s="216"/>
      <c r="M678" s="216"/>
    </row>
    <row r="679" spans="1:13" x14ac:dyDescent="0.6">
      <c r="A679" s="218"/>
      <c r="B679" s="36"/>
      <c r="C679" s="4"/>
      <c r="D679" s="4"/>
      <c r="E679" s="4"/>
      <c r="F679" s="11"/>
      <c r="G679" s="227"/>
      <c r="H679" s="169"/>
      <c r="I679" s="165"/>
      <c r="J679" s="216"/>
      <c r="K679" s="216"/>
      <c r="M679" s="216"/>
    </row>
    <row r="680" spans="1:13" x14ac:dyDescent="0.6">
      <c r="A680" s="218"/>
      <c r="B680" s="36"/>
      <c r="C680" s="4"/>
      <c r="D680" s="4"/>
      <c r="E680" s="4"/>
      <c r="F680" s="11"/>
      <c r="G680" s="227"/>
      <c r="H680" s="169"/>
      <c r="I680" s="165"/>
      <c r="J680" s="216"/>
      <c r="K680" s="216"/>
      <c r="M680" s="216"/>
    </row>
    <row r="681" spans="1:13" x14ac:dyDescent="0.6">
      <c r="A681" s="218"/>
      <c r="B681" s="36"/>
      <c r="C681" s="4"/>
      <c r="D681" s="4"/>
      <c r="E681" s="4"/>
      <c r="F681" s="11"/>
      <c r="G681" s="227"/>
      <c r="H681" s="169"/>
      <c r="I681" s="165"/>
      <c r="J681" s="216"/>
      <c r="K681" s="216"/>
      <c r="M681" s="216"/>
    </row>
    <row r="682" spans="1:13" x14ac:dyDescent="0.6">
      <c r="A682" s="218"/>
      <c r="B682" s="36"/>
      <c r="C682" s="4"/>
      <c r="D682" s="4"/>
      <c r="E682" s="4"/>
      <c r="F682" s="11"/>
      <c r="G682" s="227"/>
      <c r="H682" s="169"/>
      <c r="I682" s="165"/>
      <c r="J682" s="216"/>
      <c r="K682" s="216"/>
      <c r="M682" s="216"/>
    </row>
    <row r="683" spans="1:13" x14ac:dyDescent="0.6">
      <c r="A683" s="218"/>
      <c r="B683" s="36"/>
      <c r="C683" s="4"/>
      <c r="D683" s="4"/>
      <c r="E683" s="4"/>
      <c r="F683" s="11"/>
      <c r="G683" s="227"/>
      <c r="H683" s="169"/>
      <c r="I683" s="165"/>
      <c r="J683" s="216"/>
      <c r="K683" s="216"/>
      <c r="M683" s="216"/>
    </row>
    <row r="684" spans="1:13" x14ac:dyDescent="0.6">
      <c r="A684" s="218"/>
      <c r="B684" s="36"/>
      <c r="C684" s="4"/>
      <c r="D684" s="4"/>
      <c r="E684" s="4"/>
      <c r="F684" s="11"/>
      <c r="G684" s="227"/>
      <c r="H684" s="169"/>
      <c r="I684" s="165"/>
      <c r="J684" s="216"/>
      <c r="K684" s="216"/>
      <c r="M684" s="216"/>
    </row>
    <row r="685" spans="1:13" x14ac:dyDescent="0.6">
      <c r="A685" s="218"/>
      <c r="B685" s="36"/>
      <c r="C685" s="4"/>
      <c r="D685" s="4"/>
      <c r="E685" s="4"/>
      <c r="F685" s="11"/>
      <c r="G685" s="227"/>
      <c r="H685" s="169"/>
      <c r="I685" s="165"/>
      <c r="J685" s="216"/>
      <c r="K685" s="216"/>
      <c r="M685" s="216"/>
    </row>
    <row r="686" spans="1:13" x14ac:dyDescent="0.6">
      <c r="A686" s="218"/>
      <c r="B686" s="36"/>
      <c r="C686" s="4"/>
      <c r="D686" s="4"/>
      <c r="E686" s="4"/>
      <c r="F686" s="11"/>
      <c r="G686" s="227"/>
      <c r="H686" s="169"/>
      <c r="I686" s="165"/>
      <c r="J686" s="216"/>
      <c r="K686" s="216"/>
      <c r="M686" s="216"/>
    </row>
    <row r="687" spans="1:13" x14ac:dyDescent="0.6">
      <c r="A687" s="218"/>
      <c r="B687" s="36"/>
      <c r="C687" s="4"/>
      <c r="D687" s="4"/>
      <c r="E687" s="4"/>
      <c r="F687" s="11"/>
      <c r="G687" s="227"/>
      <c r="H687" s="169"/>
      <c r="I687" s="165"/>
      <c r="J687" s="216"/>
      <c r="K687" s="216"/>
      <c r="M687" s="216"/>
    </row>
    <row r="688" spans="1:13" x14ac:dyDescent="0.6">
      <c r="A688" s="218"/>
      <c r="B688" s="36"/>
      <c r="C688" s="4"/>
      <c r="D688" s="4"/>
      <c r="E688" s="4"/>
      <c r="F688" s="11"/>
      <c r="G688" s="227"/>
      <c r="H688" s="169"/>
      <c r="I688" s="165"/>
      <c r="J688" s="216"/>
      <c r="K688" s="216"/>
      <c r="M688" s="216"/>
    </row>
    <row r="689" spans="1:13" x14ac:dyDescent="0.6">
      <c r="A689" s="218"/>
      <c r="B689" s="36"/>
      <c r="C689" s="4"/>
      <c r="D689" s="4"/>
      <c r="E689" s="4"/>
      <c r="F689" s="11"/>
      <c r="G689" s="227"/>
      <c r="H689" s="169"/>
      <c r="I689" s="165"/>
      <c r="J689" s="216"/>
      <c r="K689" s="216"/>
      <c r="M689" s="216"/>
    </row>
    <row r="690" spans="1:13" x14ac:dyDescent="0.6">
      <c r="A690" s="218"/>
      <c r="B690" s="36"/>
      <c r="C690" s="4"/>
      <c r="D690" s="4"/>
      <c r="E690" s="4"/>
      <c r="F690" s="11"/>
      <c r="G690" s="227"/>
      <c r="H690" s="169"/>
      <c r="I690" s="165"/>
      <c r="J690" s="216"/>
      <c r="K690" s="216"/>
      <c r="M690" s="216"/>
    </row>
    <row r="691" spans="1:13" x14ac:dyDescent="0.6">
      <c r="A691" s="218"/>
      <c r="B691" s="36"/>
      <c r="C691" s="4"/>
      <c r="D691" s="4"/>
      <c r="E691" s="4"/>
      <c r="F691" s="11"/>
      <c r="G691" s="227"/>
      <c r="H691" s="169"/>
      <c r="I691" s="165"/>
      <c r="J691" s="216"/>
      <c r="K691" s="216"/>
      <c r="M691" s="216"/>
    </row>
    <row r="692" spans="1:13" x14ac:dyDescent="0.6">
      <c r="A692" s="218"/>
      <c r="B692" s="36"/>
      <c r="C692" s="4"/>
      <c r="D692" s="4"/>
      <c r="E692" s="4"/>
      <c r="F692" s="11"/>
      <c r="G692" s="227"/>
      <c r="H692" s="169"/>
      <c r="I692" s="165"/>
      <c r="J692" s="216"/>
      <c r="K692" s="216"/>
      <c r="M692" s="216"/>
    </row>
    <row r="693" spans="1:13" x14ac:dyDescent="0.6">
      <c r="A693" s="218"/>
      <c r="B693" s="36"/>
      <c r="C693" s="4"/>
      <c r="D693" s="4"/>
      <c r="E693" s="4"/>
      <c r="F693" s="11"/>
      <c r="G693" s="227"/>
      <c r="H693" s="169"/>
      <c r="I693" s="165"/>
      <c r="J693" s="216"/>
      <c r="K693" s="216"/>
      <c r="M693" s="216"/>
    </row>
    <row r="694" spans="1:13" x14ac:dyDescent="0.6">
      <c r="A694" s="218"/>
      <c r="B694" s="36"/>
      <c r="C694" s="4"/>
      <c r="D694" s="4"/>
      <c r="E694" s="4"/>
      <c r="F694" s="11"/>
      <c r="G694" s="227"/>
      <c r="H694" s="169"/>
      <c r="I694" s="165"/>
      <c r="J694" s="216"/>
      <c r="K694" s="216"/>
      <c r="M694" s="216"/>
    </row>
    <row r="695" spans="1:13" x14ac:dyDescent="0.6">
      <c r="A695" s="218"/>
      <c r="B695" s="36"/>
      <c r="C695" s="4"/>
      <c r="D695" s="4"/>
      <c r="E695" s="4"/>
      <c r="F695" s="11"/>
      <c r="G695" s="227"/>
      <c r="H695" s="169"/>
      <c r="I695" s="165"/>
      <c r="J695" s="216"/>
      <c r="K695" s="216"/>
      <c r="M695" s="216"/>
    </row>
    <row r="696" spans="1:13" x14ac:dyDescent="0.6">
      <c r="A696" s="218"/>
      <c r="B696" s="36"/>
      <c r="C696" s="4"/>
      <c r="D696" s="4"/>
      <c r="E696" s="4"/>
      <c r="F696" s="11"/>
      <c r="G696" s="227"/>
      <c r="H696" s="169"/>
      <c r="I696" s="165"/>
      <c r="J696" s="216"/>
      <c r="K696" s="216"/>
      <c r="M696" s="216"/>
    </row>
    <row r="697" spans="1:13" x14ac:dyDescent="0.6">
      <c r="A697" s="218"/>
      <c r="B697" s="36"/>
      <c r="C697" s="4"/>
      <c r="D697" s="4"/>
      <c r="E697" s="4"/>
      <c r="F697" s="11"/>
      <c r="G697" s="227"/>
      <c r="H697" s="169"/>
      <c r="I697" s="165"/>
      <c r="J697" s="216"/>
      <c r="K697" s="216"/>
      <c r="M697" s="216"/>
    </row>
    <row r="698" spans="1:13" x14ac:dyDescent="0.6">
      <c r="A698" s="218"/>
      <c r="B698" s="36"/>
      <c r="C698" s="4"/>
      <c r="D698" s="4"/>
      <c r="E698" s="4"/>
      <c r="F698" s="11"/>
      <c r="G698" s="227"/>
      <c r="H698" s="169"/>
      <c r="I698" s="165"/>
      <c r="J698" s="216"/>
      <c r="K698" s="216"/>
      <c r="M698" s="216"/>
    </row>
    <row r="699" spans="1:13" x14ac:dyDescent="0.6">
      <c r="A699" s="218"/>
      <c r="B699" s="36"/>
      <c r="C699" s="4"/>
      <c r="D699" s="4"/>
      <c r="E699" s="4"/>
      <c r="F699" s="11"/>
      <c r="G699" s="227"/>
      <c r="H699" s="169"/>
      <c r="I699" s="165"/>
      <c r="J699" s="216"/>
      <c r="K699" s="216"/>
      <c r="M699" s="216"/>
    </row>
    <row r="700" spans="1:13" x14ac:dyDescent="0.6">
      <c r="A700" s="218"/>
      <c r="B700" s="36"/>
      <c r="C700" s="4"/>
      <c r="D700" s="4"/>
      <c r="E700" s="4"/>
      <c r="F700" s="11"/>
      <c r="G700" s="227"/>
      <c r="H700" s="169"/>
      <c r="I700" s="165"/>
      <c r="J700" s="216"/>
      <c r="K700" s="216"/>
      <c r="M700" s="216"/>
    </row>
    <row r="701" spans="1:13" x14ac:dyDescent="0.6">
      <c r="A701" s="218"/>
      <c r="B701" s="36"/>
      <c r="C701" s="4"/>
      <c r="D701" s="4"/>
      <c r="E701" s="4"/>
      <c r="F701" s="11"/>
      <c r="G701" s="227"/>
      <c r="H701" s="169"/>
      <c r="I701" s="165"/>
      <c r="J701" s="216"/>
      <c r="K701" s="216"/>
      <c r="M701" s="216"/>
    </row>
    <row r="702" spans="1:13" x14ac:dyDescent="0.6">
      <c r="A702" s="218"/>
      <c r="B702" s="36"/>
      <c r="C702" s="4"/>
      <c r="D702" s="4"/>
      <c r="E702" s="4"/>
      <c r="F702" s="11"/>
      <c r="G702" s="227"/>
      <c r="H702" s="169"/>
      <c r="I702" s="165"/>
      <c r="J702" s="216"/>
      <c r="K702" s="216"/>
      <c r="M702" s="216"/>
    </row>
    <row r="703" spans="1:13" x14ac:dyDescent="0.6">
      <c r="A703" s="218"/>
      <c r="B703" s="36"/>
      <c r="C703" s="4"/>
      <c r="D703" s="4"/>
      <c r="E703" s="4"/>
      <c r="F703" s="11"/>
      <c r="G703" s="227"/>
      <c r="H703" s="169"/>
      <c r="I703" s="165"/>
      <c r="J703" s="216"/>
      <c r="K703" s="216"/>
      <c r="M703" s="216"/>
    </row>
    <row r="704" spans="1:13" x14ac:dyDescent="0.6">
      <c r="A704" s="218"/>
      <c r="B704" s="36"/>
      <c r="C704" s="4"/>
      <c r="D704" s="4"/>
      <c r="E704" s="4"/>
      <c r="F704" s="11"/>
      <c r="G704" s="227"/>
      <c r="H704" s="169"/>
      <c r="I704" s="165"/>
      <c r="J704" s="216"/>
      <c r="K704" s="216"/>
      <c r="M704" s="216"/>
    </row>
    <row r="705" spans="1:13" x14ac:dyDescent="0.6">
      <c r="A705" s="218"/>
      <c r="B705" s="36"/>
      <c r="C705" s="4"/>
      <c r="D705" s="4"/>
      <c r="E705" s="4"/>
      <c r="F705" s="11"/>
      <c r="G705" s="227"/>
      <c r="H705" s="169"/>
      <c r="I705" s="165"/>
      <c r="J705" s="216"/>
      <c r="K705" s="216"/>
      <c r="M705" s="216"/>
    </row>
    <row r="706" spans="1:13" x14ac:dyDescent="0.6">
      <c r="A706" s="218"/>
      <c r="B706" s="36"/>
      <c r="C706" s="4"/>
      <c r="D706" s="4"/>
      <c r="E706" s="4"/>
      <c r="F706" s="11"/>
      <c r="G706" s="227"/>
      <c r="H706" s="169"/>
      <c r="I706" s="165"/>
      <c r="J706" s="216"/>
      <c r="K706" s="216"/>
      <c r="M706" s="216"/>
    </row>
    <row r="707" spans="1:13" x14ac:dyDescent="0.6">
      <c r="A707" s="218"/>
      <c r="B707" s="36"/>
      <c r="C707" s="4"/>
      <c r="D707" s="4"/>
      <c r="E707" s="4"/>
      <c r="F707" s="11"/>
      <c r="G707" s="227"/>
      <c r="H707" s="169"/>
      <c r="I707" s="165"/>
      <c r="J707" s="216"/>
      <c r="K707" s="216"/>
      <c r="M707" s="216"/>
    </row>
    <row r="708" spans="1:13" x14ac:dyDescent="0.6">
      <c r="A708" s="218"/>
      <c r="B708" s="36"/>
      <c r="C708" s="4"/>
      <c r="D708" s="4"/>
      <c r="E708" s="4"/>
      <c r="F708" s="11"/>
      <c r="G708" s="227"/>
      <c r="H708" s="169"/>
      <c r="I708" s="165"/>
      <c r="J708" s="216"/>
      <c r="K708" s="216"/>
      <c r="M708" s="216"/>
    </row>
    <row r="709" spans="1:13" x14ac:dyDescent="0.6">
      <c r="A709" s="218"/>
      <c r="B709" s="36"/>
      <c r="C709" s="4"/>
      <c r="D709" s="4"/>
      <c r="E709" s="4"/>
      <c r="F709" s="11"/>
      <c r="G709" s="227"/>
      <c r="H709" s="169"/>
      <c r="I709" s="165"/>
      <c r="J709" s="216"/>
      <c r="K709" s="216"/>
      <c r="M709" s="216"/>
    </row>
    <row r="710" spans="1:13" x14ac:dyDescent="0.6">
      <c r="A710" s="218"/>
      <c r="B710" s="36"/>
      <c r="C710" s="4"/>
      <c r="D710" s="4"/>
      <c r="E710" s="4"/>
      <c r="F710" s="11"/>
      <c r="G710" s="227"/>
      <c r="H710" s="169"/>
      <c r="I710" s="165"/>
      <c r="J710" s="216"/>
      <c r="K710" s="216"/>
      <c r="M710" s="216"/>
    </row>
    <row r="711" spans="1:13" x14ac:dyDescent="0.6">
      <c r="A711" s="218"/>
      <c r="B711" s="36"/>
      <c r="C711" s="4"/>
      <c r="D711" s="4"/>
      <c r="E711" s="4"/>
      <c r="F711" s="11"/>
      <c r="G711" s="227"/>
      <c r="H711" s="169"/>
      <c r="I711" s="165"/>
      <c r="J711" s="216"/>
      <c r="K711" s="216"/>
      <c r="M711" s="216"/>
    </row>
    <row r="712" spans="1:13" x14ac:dyDescent="0.6">
      <c r="A712" s="218"/>
      <c r="B712" s="36"/>
      <c r="C712" s="4"/>
      <c r="D712" s="4"/>
      <c r="E712" s="4"/>
      <c r="F712" s="11"/>
      <c r="G712" s="227"/>
      <c r="H712" s="169"/>
      <c r="I712" s="165"/>
      <c r="J712" s="216"/>
      <c r="K712" s="216"/>
      <c r="M712" s="216"/>
    </row>
    <row r="713" spans="1:13" x14ac:dyDescent="0.6">
      <c r="A713" s="218"/>
      <c r="B713" s="36"/>
      <c r="C713" s="4"/>
      <c r="D713" s="4"/>
      <c r="E713" s="4"/>
      <c r="F713" s="11"/>
      <c r="G713" s="227"/>
      <c r="H713" s="169"/>
      <c r="I713" s="165"/>
      <c r="J713" s="216"/>
      <c r="K713" s="216"/>
      <c r="M713" s="216"/>
    </row>
    <row r="714" spans="1:13" x14ac:dyDescent="0.6">
      <c r="A714" s="218"/>
      <c r="B714" s="36"/>
      <c r="C714" s="4"/>
      <c r="D714" s="4"/>
      <c r="E714" s="4"/>
      <c r="F714" s="11"/>
      <c r="G714" s="227"/>
      <c r="H714" s="169"/>
      <c r="I714" s="165"/>
      <c r="J714" s="216"/>
      <c r="K714" s="216"/>
      <c r="M714" s="216"/>
    </row>
    <row r="715" spans="1:13" x14ac:dyDescent="0.6">
      <c r="A715" s="218"/>
      <c r="B715" s="36"/>
      <c r="C715" s="4"/>
      <c r="D715" s="4"/>
      <c r="E715" s="4"/>
      <c r="F715" s="11"/>
      <c r="G715" s="227"/>
      <c r="H715" s="169"/>
      <c r="I715" s="165"/>
      <c r="J715" s="216"/>
      <c r="K715" s="216"/>
      <c r="M715" s="216"/>
    </row>
    <row r="716" spans="1:13" x14ac:dyDescent="0.6">
      <c r="A716" s="218"/>
      <c r="B716" s="36"/>
      <c r="C716" s="4"/>
      <c r="D716" s="4"/>
      <c r="E716" s="4"/>
      <c r="F716" s="11"/>
      <c r="G716" s="227"/>
      <c r="H716" s="169"/>
      <c r="I716" s="165"/>
      <c r="J716" s="216"/>
      <c r="K716" s="216"/>
      <c r="M716" s="216"/>
    </row>
    <row r="717" spans="1:13" x14ac:dyDescent="0.6">
      <c r="A717" s="218"/>
      <c r="B717" s="36"/>
      <c r="C717" s="4"/>
      <c r="D717" s="4"/>
      <c r="E717" s="4"/>
      <c r="F717" s="11"/>
      <c r="G717" s="227"/>
      <c r="H717" s="169"/>
      <c r="I717" s="165"/>
      <c r="J717" s="216"/>
      <c r="K717" s="216"/>
      <c r="M717" s="216"/>
    </row>
    <row r="718" spans="1:13" x14ac:dyDescent="0.6">
      <c r="A718" s="218"/>
      <c r="B718" s="36"/>
      <c r="C718" s="4"/>
      <c r="D718" s="4"/>
      <c r="E718" s="4"/>
      <c r="F718" s="11"/>
      <c r="G718" s="227"/>
      <c r="H718" s="169"/>
      <c r="I718" s="165"/>
      <c r="J718" s="216"/>
      <c r="K718" s="216"/>
      <c r="M718" s="216"/>
    </row>
    <row r="719" spans="1:13" x14ac:dyDescent="0.6">
      <c r="A719" s="218"/>
      <c r="B719" s="36"/>
      <c r="C719" s="4"/>
      <c r="D719" s="4"/>
      <c r="E719" s="4"/>
      <c r="F719" s="11"/>
      <c r="G719" s="227"/>
      <c r="H719" s="169"/>
      <c r="I719" s="165"/>
      <c r="J719" s="216"/>
      <c r="K719" s="216"/>
      <c r="M719" s="216"/>
    </row>
    <row r="720" spans="1:13" x14ac:dyDescent="0.6">
      <c r="A720" s="218"/>
      <c r="B720" s="36"/>
      <c r="C720" s="4"/>
      <c r="D720" s="4"/>
      <c r="E720" s="4"/>
      <c r="F720" s="11"/>
      <c r="G720" s="227"/>
      <c r="H720" s="169"/>
      <c r="I720" s="165"/>
      <c r="J720" s="216"/>
      <c r="K720" s="216"/>
      <c r="M720" s="216"/>
    </row>
    <row r="721" spans="1:13" x14ac:dyDescent="0.6">
      <c r="A721" s="218"/>
      <c r="B721" s="36"/>
      <c r="C721" s="4"/>
      <c r="D721" s="4"/>
      <c r="E721" s="4"/>
      <c r="F721" s="11"/>
      <c r="G721" s="227"/>
      <c r="H721" s="169"/>
      <c r="I721" s="165"/>
      <c r="J721" s="216"/>
      <c r="K721" s="216"/>
      <c r="M721" s="216"/>
    </row>
    <row r="722" spans="1:13" x14ac:dyDescent="0.6">
      <c r="A722" s="218"/>
      <c r="B722" s="36"/>
      <c r="C722" s="4"/>
      <c r="D722" s="4"/>
      <c r="E722" s="4"/>
      <c r="F722" s="11"/>
      <c r="G722" s="227"/>
      <c r="H722" s="169"/>
      <c r="I722" s="165"/>
      <c r="J722" s="216"/>
      <c r="K722" s="216"/>
      <c r="M722" s="216"/>
    </row>
    <row r="723" spans="1:13" x14ac:dyDescent="0.6">
      <c r="A723" s="218"/>
      <c r="B723" s="36"/>
      <c r="C723" s="4"/>
      <c r="D723" s="4"/>
      <c r="E723" s="4"/>
      <c r="F723" s="11"/>
      <c r="G723" s="227"/>
      <c r="H723" s="169"/>
      <c r="I723" s="165"/>
      <c r="J723" s="216"/>
      <c r="K723" s="216"/>
      <c r="M723" s="216"/>
    </row>
    <row r="724" spans="1:13" x14ac:dyDescent="0.6">
      <c r="A724" s="218"/>
      <c r="B724" s="36"/>
      <c r="C724" s="4"/>
      <c r="D724" s="4"/>
      <c r="E724" s="4"/>
      <c r="F724" s="11"/>
      <c r="G724" s="227"/>
      <c r="H724" s="169"/>
      <c r="I724" s="165"/>
      <c r="J724" s="216"/>
      <c r="K724" s="216"/>
      <c r="M724" s="216"/>
    </row>
    <row r="725" spans="1:13" x14ac:dyDescent="0.6">
      <c r="A725" s="218"/>
      <c r="B725" s="36"/>
      <c r="C725" s="4"/>
      <c r="D725" s="4"/>
      <c r="E725" s="4"/>
      <c r="F725" s="11"/>
      <c r="G725" s="227"/>
      <c r="H725" s="169"/>
      <c r="I725" s="165"/>
      <c r="J725" s="216"/>
      <c r="K725" s="216"/>
      <c r="M725" s="216"/>
    </row>
    <row r="726" spans="1:13" x14ac:dyDescent="0.6">
      <c r="A726" s="218"/>
      <c r="B726" s="36"/>
      <c r="C726" s="4"/>
      <c r="D726" s="4"/>
      <c r="E726" s="4"/>
      <c r="F726" s="11"/>
      <c r="G726" s="227"/>
      <c r="H726" s="169"/>
      <c r="I726" s="165"/>
      <c r="J726" s="216"/>
      <c r="K726" s="216"/>
      <c r="M726" s="216"/>
    </row>
    <row r="727" spans="1:13" x14ac:dyDescent="0.6">
      <c r="A727" s="218"/>
      <c r="B727" s="36"/>
      <c r="C727" s="4"/>
      <c r="D727" s="4"/>
      <c r="E727" s="4"/>
      <c r="F727" s="11"/>
      <c r="G727" s="227"/>
      <c r="H727" s="169"/>
      <c r="I727" s="165"/>
      <c r="J727" s="216"/>
      <c r="K727" s="216"/>
      <c r="M727" s="216"/>
    </row>
    <row r="728" spans="1:13" x14ac:dyDescent="0.6">
      <c r="A728" s="218"/>
      <c r="B728" s="36"/>
      <c r="C728" s="4"/>
      <c r="D728" s="4"/>
      <c r="E728" s="4"/>
      <c r="F728" s="11"/>
      <c r="G728" s="227"/>
      <c r="H728" s="169"/>
      <c r="I728" s="165"/>
      <c r="J728" s="216"/>
      <c r="K728" s="216"/>
      <c r="M728" s="216"/>
    </row>
    <row r="729" spans="1:13" x14ac:dyDescent="0.6">
      <c r="A729" s="218"/>
      <c r="B729" s="36"/>
      <c r="C729" s="4"/>
      <c r="D729" s="4"/>
      <c r="E729" s="4"/>
      <c r="F729" s="11"/>
      <c r="G729" s="227"/>
      <c r="H729" s="169"/>
      <c r="I729" s="165"/>
      <c r="J729" s="216"/>
      <c r="K729" s="216"/>
      <c r="M729" s="216"/>
    </row>
    <row r="730" spans="1:13" x14ac:dyDescent="0.6">
      <c r="A730" s="218"/>
      <c r="B730" s="36"/>
      <c r="C730" s="4"/>
      <c r="D730" s="4"/>
      <c r="E730" s="4"/>
      <c r="F730" s="11"/>
      <c r="G730" s="227"/>
      <c r="H730" s="169"/>
      <c r="I730" s="165"/>
      <c r="J730" s="216"/>
      <c r="K730" s="216"/>
      <c r="M730" s="216"/>
    </row>
    <row r="731" spans="1:13" x14ac:dyDescent="0.6">
      <c r="A731" s="218"/>
      <c r="B731" s="36"/>
      <c r="C731" s="4"/>
      <c r="D731" s="4"/>
      <c r="E731" s="4"/>
      <c r="F731" s="11"/>
      <c r="G731" s="227"/>
      <c r="H731" s="169"/>
      <c r="I731" s="165"/>
      <c r="J731" s="216"/>
      <c r="K731" s="216"/>
      <c r="M731" s="216"/>
    </row>
    <row r="732" spans="1:13" x14ac:dyDescent="0.6">
      <c r="A732" s="218"/>
      <c r="B732" s="36"/>
      <c r="C732" s="4"/>
      <c r="D732" s="4"/>
      <c r="E732" s="4"/>
      <c r="F732" s="11"/>
      <c r="G732" s="227"/>
      <c r="H732" s="169"/>
      <c r="I732" s="165"/>
      <c r="J732" s="216"/>
      <c r="K732" s="216"/>
      <c r="M732" s="216"/>
    </row>
    <row r="733" spans="1:13" x14ac:dyDescent="0.6">
      <c r="A733" s="218"/>
      <c r="B733" s="36"/>
      <c r="C733" s="4"/>
      <c r="D733" s="4"/>
      <c r="E733" s="4"/>
      <c r="F733" s="11"/>
      <c r="G733" s="227"/>
      <c r="H733" s="169"/>
      <c r="I733" s="165"/>
      <c r="J733" s="216"/>
      <c r="K733" s="216"/>
      <c r="M733" s="216"/>
    </row>
    <row r="734" spans="1:13" x14ac:dyDescent="0.6">
      <c r="A734" s="218"/>
      <c r="B734" s="36"/>
      <c r="C734" s="4"/>
      <c r="D734" s="4"/>
      <c r="E734" s="4"/>
      <c r="F734" s="11"/>
      <c r="G734" s="227"/>
      <c r="H734" s="169"/>
      <c r="I734" s="165"/>
      <c r="J734" s="216"/>
      <c r="K734" s="216"/>
      <c r="M734" s="216"/>
    </row>
    <row r="735" spans="1:13" x14ac:dyDescent="0.6">
      <c r="A735" s="218"/>
      <c r="B735" s="36"/>
      <c r="C735" s="4"/>
      <c r="D735" s="4"/>
      <c r="E735" s="4"/>
      <c r="F735" s="11"/>
      <c r="G735" s="227"/>
      <c r="H735" s="169"/>
      <c r="I735" s="165"/>
      <c r="J735" s="216"/>
      <c r="K735" s="216"/>
      <c r="M735" s="216"/>
    </row>
    <row r="736" spans="1:13" x14ac:dyDescent="0.6">
      <c r="A736" s="218"/>
      <c r="B736" s="36"/>
      <c r="C736" s="4"/>
      <c r="D736" s="4"/>
      <c r="E736" s="4"/>
      <c r="F736" s="11"/>
      <c r="G736" s="227"/>
      <c r="H736" s="169"/>
      <c r="I736" s="165"/>
      <c r="J736" s="216"/>
      <c r="K736" s="216"/>
      <c r="M736" s="216"/>
    </row>
    <row r="737" spans="1:13" x14ac:dyDescent="0.6">
      <c r="A737" s="218"/>
      <c r="B737" s="36"/>
      <c r="C737" s="4"/>
      <c r="D737" s="4"/>
      <c r="E737" s="4"/>
      <c r="F737" s="11"/>
      <c r="G737" s="227"/>
      <c r="H737" s="169"/>
      <c r="I737" s="165"/>
      <c r="J737" s="216"/>
      <c r="K737" s="216"/>
      <c r="M737" s="216"/>
    </row>
    <row r="738" spans="1:13" x14ac:dyDescent="0.6">
      <c r="A738" s="218"/>
      <c r="B738" s="36"/>
      <c r="C738" s="4"/>
      <c r="D738" s="4"/>
      <c r="E738" s="4"/>
      <c r="F738" s="11"/>
      <c r="G738" s="227"/>
      <c r="H738" s="169"/>
      <c r="I738" s="165"/>
      <c r="J738" s="216"/>
      <c r="K738" s="216"/>
      <c r="M738" s="216"/>
    </row>
    <row r="739" spans="1:13" x14ac:dyDescent="0.6">
      <c r="A739" s="218"/>
      <c r="B739" s="36"/>
      <c r="C739" s="4"/>
      <c r="D739" s="4"/>
      <c r="E739" s="4"/>
      <c r="F739" s="11"/>
      <c r="G739" s="227"/>
      <c r="H739" s="169"/>
      <c r="I739" s="165"/>
      <c r="J739" s="216"/>
      <c r="K739" s="216"/>
      <c r="M739" s="216"/>
    </row>
    <row r="740" spans="1:13" x14ac:dyDescent="0.6">
      <c r="A740" s="218"/>
      <c r="B740" s="36"/>
      <c r="C740" s="4"/>
      <c r="D740" s="4"/>
      <c r="E740" s="4"/>
      <c r="F740" s="11"/>
      <c r="G740" s="227"/>
      <c r="H740" s="169"/>
      <c r="I740" s="165"/>
      <c r="J740" s="216"/>
      <c r="K740" s="216"/>
      <c r="M740" s="216"/>
    </row>
    <row r="741" spans="1:13" x14ac:dyDescent="0.6">
      <c r="A741" s="218"/>
      <c r="B741" s="36"/>
      <c r="C741" s="4"/>
      <c r="D741" s="4"/>
      <c r="E741" s="4"/>
      <c r="F741" s="11"/>
      <c r="G741" s="227"/>
      <c r="H741" s="169"/>
      <c r="I741" s="165"/>
      <c r="J741" s="216"/>
      <c r="K741" s="216"/>
      <c r="M741" s="216"/>
    </row>
    <row r="742" spans="1:13" x14ac:dyDescent="0.6">
      <c r="A742" s="218"/>
      <c r="B742" s="36"/>
      <c r="C742" s="4"/>
      <c r="D742" s="4"/>
      <c r="E742" s="4"/>
      <c r="F742" s="11"/>
      <c r="G742" s="227"/>
      <c r="H742" s="169"/>
      <c r="I742" s="165"/>
      <c r="J742" s="216"/>
      <c r="K742" s="216"/>
      <c r="M742" s="216"/>
    </row>
    <row r="743" spans="1:13" x14ac:dyDescent="0.6">
      <c r="A743" s="218"/>
      <c r="B743" s="36"/>
      <c r="C743" s="4"/>
      <c r="D743" s="4"/>
      <c r="E743" s="4"/>
      <c r="F743" s="11"/>
      <c r="G743" s="227"/>
      <c r="H743" s="169"/>
      <c r="I743" s="165"/>
      <c r="J743" s="216"/>
      <c r="K743" s="216"/>
      <c r="M743" s="216"/>
    </row>
    <row r="744" spans="1:13" x14ac:dyDescent="0.6">
      <c r="A744" s="218"/>
      <c r="B744" s="36"/>
      <c r="C744" s="4"/>
      <c r="D744" s="4"/>
      <c r="E744" s="4"/>
      <c r="F744" s="11"/>
      <c r="G744" s="227"/>
      <c r="H744" s="169"/>
      <c r="I744" s="165"/>
      <c r="J744" s="216"/>
      <c r="K744" s="216"/>
      <c r="M744" s="216"/>
    </row>
    <row r="745" spans="1:13" x14ac:dyDescent="0.6">
      <c r="A745" s="218"/>
      <c r="B745" s="36"/>
      <c r="C745" s="4"/>
      <c r="D745" s="4"/>
      <c r="E745" s="4"/>
      <c r="F745" s="11"/>
      <c r="G745" s="227"/>
      <c r="H745" s="169"/>
      <c r="I745" s="165"/>
      <c r="J745" s="216"/>
      <c r="K745" s="216"/>
      <c r="M745" s="216"/>
    </row>
    <row r="746" spans="1:13" x14ac:dyDescent="0.6">
      <c r="A746" s="218"/>
      <c r="B746" s="36"/>
      <c r="C746" s="4"/>
      <c r="D746" s="4"/>
      <c r="E746" s="4"/>
      <c r="F746" s="11"/>
      <c r="G746" s="227"/>
      <c r="H746" s="169"/>
      <c r="I746" s="165"/>
      <c r="J746" s="216"/>
      <c r="K746" s="216"/>
      <c r="M746" s="216"/>
    </row>
    <row r="747" spans="1:13" x14ac:dyDescent="0.6">
      <c r="A747" s="218"/>
      <c r="B747" s="36"/>
      <c r="C747" s="4"/>
      <c r="D747" s="4"/>
      <c r="E747" s="4"/>
      <c r="F747" s="11"/>
      <c r="G747" s="227"/>
      <c r="H747" s="169"/>
      <c r="I747" s="165"/>
      <c r="J747" s="216"/>
      <c r="K747" s="216"/>
      <c r="M747" s="216"/>
    </row>
    <row r="748" spans="1:13" x14ac:dyDescent="0.6">
      <c r="A748" s="218"/>
      <c r="B748" s="36"/>
      <c r="C748" s="4"/>
      <c r="D748" s="4"/>
      <c r="E748" s="4"/>
      <c r="F748" s="11"/>
      <c r="G748" s="227"/>
      <c r="H748" s="169"/>
      <c r="I748" s="165"/>
      <c r="J748" s="216"/>
      <c r="K748" s="216"/>
      <c r="M748" s="216"/>
    </row>
    <row r="749" spans="1:13" x14ac:dyDescent="0.6">
      <c r="A749" s="218"/>
      <c r="B749" s="36"/>
      <c r="C749" s="4"/>
      <c r="D749" s="4"/>
      <c r="E749" s="4"/>
      <c r="F749" s="11"/>
      <c r="G749" s="227"/>
      <c r="H749" s="169"/>
      <c r="I749" s="165"/>
      <c r="J749" s="216"/>
      <c r="K749" s="216"/>
      <c r="M749" s="216"/>
    </row>
    <row r="750" spans="1:13" x14ac:dyDescent="0.6">
      <c r="A750" s="218"/>
      <c r="B750" s="36"/>
      <c r="C750" s="4"/>
      <c r="D750" s="4"/>
      <c r="E750" s="4"/>
      <c r="F750" s="11"/>
      <c r="G750" s="227"/>
      <c r="H750" s="169"/>
      <c r="I750" s="165"/>
      <c r="J750" s="216"/>
      <c r="K750" s="216"/>
      <c r="M750" s="216"/>
    </row>
    <row r="751" spans="1:13" x14ac:dyDescent="0.6">
      <c r="A751" s="218"/>
      <c r="B751" s="36"/>
      <c r="C751" s="4"/>
      <c r="D751" s="4"/>
      <c r="E751" s="4"/>
      <c r="F751" s="11"/>
      <c r="G751" s="227"/>
      <c r="H751" s="169"/>
      <c r="I751" s="165"/>
      <c r="J751" s="216"/>
      <c r="K751" s="216"/>
      <c r="M751" s="216"/>
    </row>
    <row r="752" spans="1:13" x14ac:dyDescent="0.6">
      <c r="A752" s="218"/>
      <c r="B752" s="36"/>
      <c r="C752" s="4"/>
      <c r="D752" s="4"/>
      <c r="E752" s="4"/>
      <c r="F752" s="11"/>
      <c r="G752" s="227"/>
      <c r="H752" s="169"/>
      <c r="I752" s="165"/>
      <c r="J752" s="216"/>
      <c r="K752" s="216"/>
      <c r="M752" s="216"/>
    </row>
    <row r="753" spans="1:13" x14ac:dyDescent="0.6">
      <c r="A753" s="218"/>
      <c r="B753" s="36"/>
      <c r="C753" s="4"/>
      <c r="D753" s="4"/>
      <c r="E753" s="4"/>
      <c r="F753" s="11"/>
      <c r="G753" s="227"/>
      <c r="H753" s="169"/>
      <c r="I753" s="165"/>
      <c r="J753" s="216"/>
      <c r="K753" s="216"/>
      <c r="M753" s="216"/>
    </row>
    <row r="754" spans="1:13" x14ac:dyDescent="0.6">
      <c r="A754" s="218"/>
      <c r="B754" s="36"/>
      <c r="C754" s="4"/>
      <c r="D754" s="4"/>
      <c r="E754" s="4"/>
      <c r="F754" s="11"/>
      <c r="G754" s="227"/>
      <c r="H754" s="169"/>
      <c r="I754" s="165"/>
      <c r="J754" s="216"/>
      <c r="K754" s="216"/>
      <c r="M754" s="216"/>
    </row>
    <row r="755" spans="1:13" x14ac:dyDescent="0.6">
      <c r="A755" s="218"/>
      <c r="B755" s="36"/>
      <c r="C755" s="4"/>
      <c r="D755" s="4"/>
      <c r="E755" s="4"/>
      <c r="F755" s="11"/>
      <c r="G755" s="227"/>
      <c r="H755" s="169"/>
      <c r="I755" s="165"/>
      <c r="J755" s="216"/>
      <c r="K755" s="216"/>
      <c r="M755" s="216"/>
    </row>
    <row r="756" spans="1:13" x14ac:dyDescent="0.6">
      <c r="A756" s="218"/>
      <c r="B756" s="36"/>
      <c r="C756" s="4"/>
      <c r="D756" s="4"/>
      <c r="E756" s="4"/>
      <c r="F756" s="11"/>
      <c r="G756" s="227"/>
      <c r="H756" s="169"/>
      <c r="I756" s="165"/>
      <c r="J756" s="216"/>
      <c r="K756" s="216"/>
      <c r="M756" s="216"/>
    </row>
    <row r="757" spans="1:13" x14ac:dyDescent="0.6">
      <c r="A757" s="218"/>
      <c r="B757" s="36"/>
      <c r="C757" s="4"/>
      <c r="D757" s="4"/>
      <c r="E757" s="4"/>
      <c r="F757" s="11"/>
      <c r="G757" s="227"/>
      <c r="H757" s="169"/>
      <c r="I757" s="165"/>
      <c r="J757" s="216"/>
      <c r="K757" s="216"/>
      <c r="M757" s="216"/>
    </row>
    <row r="758" spans="1:13" x14ac:dyDescent="0.6">
      <c r="A758" s="218"/>
      <c r="B758" s="36"/>
      <c r="C758" s="4"/>
      <c r="D758" s="4"/>
      <c r="E758" s="4"/>
      <c r="F758" s="11"/>
      <c r="G758" s="227"/>
      <c r="H758" s="169"/>
      <c r="I758" s="165"/>
      <c r="J758" s="216"/>
      <c r="K758" s="216"/>
      <c r="M758" s="216"/>
    </row>
    <row r="759" spans="1:13" x14ac:dyDescent="0.6">
      <c r="A759" s="218"/>
      <c r="B759" s="36"/>
      <c r="C759" s="4"/>
      <c r="D759" s="4"/>
      <c r="E759" s="4"/>
      <c r="F759" s="11"/>
      <c r="G759" s="227"/>
      <c r="H759" s="169"/>
      <c r="I759" s="165"/>
      <c r="J759" s="216"/>
      <c r="K759" s="216"/>
      <c r="M759" s="216"/>
    </row>
    <row r="760" spans="1:13" x14ac:dyDescent="0.6">
      <c r="A760" s="218"/>
      <c r="B760" s="36"/>
      <c r="C760" s="4"/>
      <c r="D760" s="4"/>
      <c r="E760" s="4"/>
      <c r="F760" s="11"/>
      <c r="G760" s="227"/>
      <c r="H760" s="169"/>
      <c r="I760" s="165"/>
      <c r="J760" s="216"/>
      <c r="K760" s="216"/>
      <c r="M760" s="216"/>
    </row>
    <row r="761" spans="1:13" x14ac:dyDescent="0.6">
      <c r="A761" s="218"/>
      <c r="B761" s="36"/>
      <c r="C761" s="4"/>
      <c r="D761" s="4"/>
      <c r="E761" s="4"/>
      <c r="F761" s="11"/>
      <c r="G761" s="227"/>
      <c r="H761" s="169"/>
      <c r="I761" s="165"/>
      <c r="J761" s="216"/>
      <c r="K761" s="216"/>
      <c r="M761" s="216"/>
    </row>
    <row r="762" spans="1:13" x14ac:dyDescent="0.6">
      <c r="A762" s="218"/>
      <c r="B762" s="36"/>
      <c r="C762" s="4"/>
      <c r="D762" s="4"/>
      <c r="E762" s="4"/>
      <c r="F762" s="11"/>
      <c r="G762" s="227"/>
      <c r="H762" s="169"/>
      <c r="I762" s="165"/>
      <c r="J762" s="216"/>
      <c r="K762" s="216"/>
      <c r="M762" s="216"/>
    </row>
    <row r="763" spans="1:13" x14ac:dyDescent="0.6">
      <c r="A763" s="218"/>
      <c r="B763" s="36"/>
      <c r="C763" s="4"/>
      <c r="D763" s="4"/>
      <c r="E763" s="4"/>
      <c r="F763" s="11"/>
      <c r="G763" s="227"/>
      <c r="H763" s="169"/>
      <c r="I763" s="165"/>
      <c r="J763" s="216"/>
      <c r="K763" s="216"/>
      <c r="M763" s="216"/>
    </row>
    <row r="764" spans="1:13" x14ac:dyDescent="0.6">
      <c r="A764" s="218"/>
      <c r="B764" s="36"/>
      <c r="C764" s="4"/>
      <c r="D764" s="4"/>
      <c r="E764" s="4"/>
      <c r="F764" s="11"/>
      <c r="G764" s="227"/>
      <c r="H764" s="169"/>
      <c r="I764" s="165"/>
      <c r="J764" s="216"/>
      <c r="K764" s="216"/>
      <c r="M764" s="216"/>
    </row>
    <row r="765" spans="1:13" x14ac:dyDescent="0.6">
      <c r="A765" s="218"/>
      <c r="B765" s="36"/>
      <c r="C765" s="4"/>
      <c r="D765" s="4"/>
      <c r="E765" s="4"/>
      <c r="F765" s="11"/>
      <c r="G765" s="227"/>
      <c r="H765" s="169"/>
      <c r="I765" s="165"/>
      <c r="J765" s="216"/>
      <c r="K765" s="216"/>
      <c r="M765" s="216"/>
    </row>
    <row r="766" spans="1:13" x14ac:dyDescent="0.6">
      <c r="A766" s="218"/>
      <c r="B766" s="36"/>
      <c r="C766" s="4"/>
      <c r="D766" s="4"/>
      <c r="E766" s="4"/>
      <c r="F766" s="11"/>
      <c r="G766" s="227"/>
      <c r="H766" s="169"/>
      <c r="I766" s="165"/>
      <c r="J766" s="216"/>
      <c r="K766" s="216"/>
      <c r="M766" s="216"/>
    </row>
    <row r="767" spans="1:13" x14ac:dyDescent="0.6">
      <c r="A767" s="218"/>
      <c r="B767" s="36"/>
      <c r="C767" s="4"/>
      <c r="D767" s="4"/>
      <c r="E767" s="4"/>
      <c r="F767" s="11"/>
      <c r="G767" s="227"/>
      <c r="H767" s="169"/>
      <c r="I767" s="165"/>
      <c r="J767" s="216"/>
      <c r="K767" s="216"/>
      <c r="M767" s="216"/>
    </row>
    <row r="768" spans="1:13" x14ac:dyDescent="0.6">
      <c r="A768" s="218"/>
      <c r="B768" s="36"/>
      <c r="C768" s="4"/>
      <c r="D768" s="4"/>
      <c r="E768" s="4"/>
      <c r="F768" s="11"/>
      <c r="G768" s="227"/>
      <c r="H768" s="169"/>
      <c r="I768" s="165"/>
      <c r="J768" s="216"/>
      <c r="K768" s="216"/>
      <c r="M768" s="216"/>
    </row>
    <row r="769" spans="1:13" x14ac:dyDescent="0.6">
      <c r="A769" s="218"/>
      <c r="B769" s="36"/>
      <c r="C769" s="4"/>
      <c r="D769" s="4"/>
      <c r="E769" s="4"/>
      <c r="F769" s="11"/>
      <c r="G769" s="227"/>
      <c r="H769" s="169"/>
      <c r="I769" s="165"/>
      <c r="J769" s="216"/>
      <c r="K769" s="216"/>
      <c r="M769" s="216"/>
    </row>
    <row r="770" spans="1:13" x14ac:dyDescent="0.6">
      <c r="A770" s="218"/>
      <c r="B770" s="36"/>
      <c r="C770" s="4"/>
      <c r="D770" s="4"/>
      <c r="E770" s="4"/>
      <c r="F770" s="11"/>
      <c r="G770" s="227"/>
      <c r="H770" s="169"/>
      <c r="I770" s="165"/>
      <c r="J770" s="216"/>
      <c r="K770" s="216"/>
      <c r="M770" s="216"/>
    </row>
    <row r="771" spans="1:13" x14ac:dyDescent="0.6">
      <c r="A771" s="218"/>
      <c r="B771" s="36"/>
      <c r="C771" s="4"/>
      <c r="D771" s="4"/>
      <c r="E771" s="4"/>
      <c r="F771" s="11"/>
      <c r="G771" s="227"/>
      <c r="H771" s="169"/>
      <c r="I771" s="165"/>
      <c r="J771" s="216"/>
      <c r="K771" s="216"/>
      <c r="M771" s="216"/>
    </row>
    <row r="772" spans="1:13" x14ac:dyDescent="0.6">
      <c r="A772" s="218"/>
      <c r="B772" s="36"/>
      <c r="C772" s="4"/>
      <c r="D772" s="4"/>
      <c r="E772" s="4"/>
      <c r="F772" s="11"/>
      <c r="G772" s="227"/>
      <c r="H772" s="169"/>
      <c r="I772" s="165"/>
      <c r="J772" s="216"/>
      <c r="K772" s="216"/>
      <c r="M772" s="216"/>
    </row>
    <row r="773" spans="1:13" x14ac:dyDescent="0.6">
      <c r="A773" s="218"/>
      <c r="B773" s="36"/>
      <c r="C773" s="4"/>
      <c r="D773" s="4"/>
      <c r="E773" s="4"/>
      <c r="F773" s="11"/>
      <c r="G773" s="227"/>
      <c r="H773" s="169"/>
      <c r="I773" s="165"/>
      <c r="J773" s="216"/>
      <c r="K773" s="216"/>
      <c r="M773" s="216"/>
    </row>
    <row r="774" spans="1:13" x14ac:dyDescent="0.6">
      <c r="A774" s="218"/>
      <c r="B774" s="36"/>
      <c r="C774" s="4"/>
      <c r="D774" s="4"/>
      <c r="E774" s="4"/>
      <c r="F774" s="11"/>
      <c r="G774" s="227"/>
      <c r="H774" s="169"/>
      <c r="I774" s="165"/>
      <c r="J774" s="216"/>
      <c r="K774" s="216"/>
      <c r="M774" s="216"/>
    </row>
    <row r="775" spans="1:13" x14ac:dyDescent="0.6">
      <c r="A775" s="218"/>
      <c r="B775" s="36"/>
      <c r="C775" s="4"/>
      <c r="D775" s="4"/>
      <c r="E775" s="4"/>
      <c r="F775" s="11"/>
      <c r="G775" s="227"/>
      <c r="H775" s="169"/>
      <c r="I775" s="165"/>
      <c r="J775" s="216"/>
      <c r="K775" s="216"/>
      <c r="M775" s="216"/>
    </row>
    <row r="776" spans="1:13" x14ac:dyDescent="0.6">
      <c r="A776" s="218"/>
      <c r="B776" s="36"/>
      <c r="C776" s="4"/>
      <c r="D776" s="4"/>
      <c r="E776" s="4"/>
      <c r="F776" s="11"/>
      <c r="G776" s="227"/>
      <c r="H776" s="169"/>
      <c r="I776" s="165"/>
      <c r="J776" s="216"/>
      <c r="K776" s="216"/>
      <c r="M776" s="216"/>
    </row>
    <row r="777" spans="1:13" x14ac:dyDescent="0.6">
      <c r="A777" s="218"/>
      <c r="B777" s="36"/>
      <c r="C777" s="4"/>
      <c r="D777" s="4"/>
      <c r="E777" s="4"/>
      <c r="F777" s="11"/>
      <c r="G777" s="227"/>
      <c r="H777" s="169"/>
      <c r="I777" s="165"/>
      <c r="J777" s="216"/>
      <c r="K777" s="216"/>
      <c r="M777" s="216"/>
    </row>
    <row r="778" spans="1:13" x14ac:dyDescent="0.6">
      <c r="A778" s="218"/>
      <c r="B778" s="36"/>
      <c r="C778" s="4"/>
      <c r="D778" s="4"/>
      <c r="E778" s="4"/>
      <c r="F778" s="11"/>
      <c r="G778" s="227"/>
      <c r="H778" s="169"/>
      <c r="I778" s="165"/>
      <c r="J778" s="216"/>
      <c r="K778" s="216"/>
      <c r="M778" s="216"/>
    </row>
    <row r="779" spans="1:13" x14ac:dyDescent="0.6">
      <c r="A779" s="218"/>
      <c r="B779" s="36"/>
      <c r="C779" s="4"/>
      <c r="D779" s="4"/>
      <c r="E779" s="4"/>
      <c r="F779" s="11"/>
      <c r="G779" s="227"/>
      <c r="H779" s="169"/>
      <c r="I779" s="165"/>
      <c r="J779" s="216"/>
      <c r="K779" s="216"/>
      <c r="M779" s="216"/>
    </row>
    <row r="780" spans="1:13" x14ac:dyDescent="0.6">
      <c r="A780" s="218"/>
      <c r="B780" s="36"/>
      <c r="C780" s="4"/>
      <c r="D780" s="4"/>
      <c r="E780" s="4"/>
      <c r="F780" s="11"/>
      <c r="G780" s="227"/>
      <c r="H780" s="169"/>
      <c r="I780" s="165"/>
      <c r="J780" s="216"/>
      <c r="K780" s="216"/>
      <c r="M780" s="216"/>
    </row>
    <row r="781" spans="1:13" x14ac:dyDescent="0.6">
      <c r="A781" s="218"/>
      <c r="B781" s="36"/>
      <c r="C781" s="4"/>
      <c r="D781" s="4"/>
      <c r="E781" s="4"/>
      <c r="F781" s="11"/>
      <c r="G781" s="227"/>
      <c r="H781" s="169"/>
      <c r="I781" s="165"/>
      <c r="J781" s="216"/>
      <c r="K781" s="216"/>
      <c r="M781" s="216"/>
    </row>
    <row r="782" spans="1:13" x14ac:dyDescent="0.6">
      <c r="A782" s="218"/>
      <c r="B782" s="36"/>
      <c r="C782" s="4"/>
      <c r="D782" s="4"/>
      <c r="E782" s="4"/>
      <c r="F782" s="11"/>
      <c r="G782" s="227"/>
      <c r="H782" s="169"/>
      <c r="I782" s="165"/>
      <c r="J782" s="216"/>
      <c r="K782" s="216"/>
      <c r="M782" s="216"/>
    </row>
    <row r="783" spans="1:13" x14ac:dyDescent="0.6">
      <c r="A783" s="218"/>
      <c r="B783" s="36"/>
      <c r="C783" s="4"/>
      <c r="D783" s="4"/>
      <c r="E783" s="4"/>
      <c r="F783" s="11"/>
      <c r="G783" s="227"/>
      <c r="H783" s="169"/>
      <c r="I783" s="165"/>
      <c r="J783" s="216"/>
      <c r="K783" s="216"/>
      <c r="M783" s="216"/>
    </row>
    <row r="784" spans="1:13" x14ac:dyDescent="0.6">
      <c r="A784" s="218"/>
      <c r="B784" s="36"/>
      <c r="C784" s="4"/>
      <c r="D784" s="4"/>
      <c r="E784" s="4"/>
      <c r="F784" s="11"/>
      <c r="G784" s="227"/>
      <c r="H784" s="169"/>
      <c r="I784" s="165"/>
      <c r="J784" s="216"/>
      <c r="K784" s="216"/>
      <c r="M784" s="216"/>
    </row>
    <row r="785" spans="1:13" x14ac:dyDescent="0.6">
      <c r="A785" s="218"/>
      <c r="B785" s="36"/>
      <c r="C785" s="4"/>
      <c r="D785" s="4"/>
      <c r="E785" s="4"/>
      <c r="F785" s="11"/>
      <c r="G785" s="227"/>
      <c r="H785" s="169"/>
      <c r="I785" s="165"/>
      <c r="J785" s="216"/>
      <c r="K785" s="216"/>
      <c r="M785" s="216"/>
    </row>
    <row r="786" spans="1:13" x14ac:dyDescent="0.6">
      <c r="A786" s="218"/>
      <c r="B786" s="36"/>
      <c r="C786" s="4"/>
      <c r="D786" s="4"/>
      <c r="E786" s="4"/>
      <c r="F786" s="11"/>
      <c r="G786" s="227"/>
      <c r="H786" s="169"/>
      <c r="I786" s="165"/>
      <c r="J786" s="216"/>
      <c r="K786" s="216"/>
      <c r="M786" s="216"/>
    </row>
    <row r="787" spans="1:13" x14ac:dyDescent="0.6">
      <c r="A787" s="218"/>
      <c r="B787" s="36"/>
      <c r="C787" s="4"/>
      <c r="D787" s="4"/>
      <c r="E787" s="4"/>
      <c r="F787" s="11"/>
      <c r="G787" s="227"/>
      <c r="H787" s="169"/>
      <c r="I787" s="165"/>
      <c r="J787" s="216"/>
      <c r="K787" s="216"/>
      <c r="M787" s="216"/>
    </row>
    <row r="788" spans="1:13" x14ac:dyDescent="0.6">
      <c r="A788" s="218"/>
      <c r="B788" s="36"/>
      <c r="C788" s="4"/>
      <c r="D788" s="4"/>
      <c r="E788" s="4"/>
      <c r="F788" s="11"/>
      <c r="G788" s="227"/>
      <c r="H788" s="169"/>
      <c r="I788" s="165"/>
      <c r="J788" s="216"/>
      <c r="K788" s="216"/>
      <c r="M788" s="216"/>
    </row>
    <row r="789" spans="1:13" x14ac:dyDescent="0.6">
      <c r="A789" s="218"/>
      <c r="B789" s="36"/>
      <c r="C789" s="4"/>
      <c r="D789" s="4"/>
      <c r="E789" s="4"/>
      <c r="F789" s="11"/>
      <c r="G789" s="227"/>
      <c r="H789" s="169"/>
      <c r="I789" s="165"/>
      <c r="J789" s="216"/>
      <c r="K789" s="216"/>
      <c r="M789" s="216"/>
    </row>
    <row r="790" spans="1:13" x14ac:dyDescent="0.6">
      <c r="A790" s="218"/>
      <c r="B790" s="36"/>
      <c r="C790" s="4"/>
      <c r="D790" s="4"/>
      <c r="E790" s="4"/>
      <c r="F790" s="11"/>
      <c r="G790" s="227"/>
      <c r="H790" s="169"/>
      <c r="I790" s="165"/>
      <c r="J790" s="216"/>
      <c r="K790" s="216"/>
      <c r="M790" s="216"/>
    </row>
    <row r="791" spans="1:13" x14ac:dyDescent="0.6">
      <c r="A791" s="218"/>
      <c r="B791" s="36"/>
      <c r="C791" s="4"/>
      <c r="D791" s="4"/>
      <c r="E791" s="4"/>
      <c r="F791" s="11"/>
      <c r="G791" s="227"/>
      <c r="H791" s="169"/>
      <c r="I791" s="165"/>
      <c r="J791" s="216"/>
      <c r="K791" s="216"/>
      <c r="M791" s="216"/>
    </row>
    <row r="792" spans="1:13" x14ac:dyDescent="0.6">
      <c r="A792" s="218"/>
      <c r="B792" s="36"/>
      <c r="C792" s="4"/>
      <c r="D792" s="4"/>
      <c r="E792" s="4"/>
      <c r="F792" s="11"/>
      <c r="G792" s="227"/>
      <c r="H792" s="169"/>
      <c r="I792" s="165"/>
      <c r="J792" s="216"/>
      <c r="K792" s="216"/>
      <c r="M792" s="216"/>
    </row>
    <row r="793" spans="1:13" x14ac:dyDescent="0.6">
      <c r="A793" s="218"/>
      <c r="B793" s="36"/>
      <c r="C793" s="4"/>
      <c r="D793" s="4"/>
      <c r="E793" s="4"/>
      <c r="F793" s="11"/>
      <c r="G793" s="227"/>
      <c r="H793" s="169"/>
      <c r="I793" s="165"/>
      <c r="J793" s="216"/>
      <c r="K793" s="216"/>
      <c r="M793" s="216"/>
    </row>
    <row r="794" spans="1:13" x14ac:dyDescent="0.6">
      <c r="A794" s="218"/>
      <c r="B794" s="36"/>
      <c r="C794" s="4"/>
      <c r="D794" s="4"/>
      <c r="E794" s="4"/>
      <c r="F794" s="11"/>
      <c r="G794" s="227"/>
      <c r="H794" s="169"/>
      <c r="I794" s="165"/>
      <c r="J794" s="216"/>
      <c r="K794" s="216"/>
      <c r="M794" s="216"/>
    </row>
    <row r="795" spans="1:13" x14ac:dyDescent="0.6">
      <c r="A795" s="218"/>
      <c r="B795" s="36"/>
      <c r="C795" s="4"/>
      <c r="D795" s="4"/>
      <c r="E795" s="4"/>
      <c r="F795" s="11"/>
      <c r="G795" s="227"/>
      <c r="H795" s="169"/>
      <c r="I795" s="165"/>
      <c r="J795" s="216"/>
      <c r="K795" s="216"/>
      <c r="M795" s="216"/>
    </row>
    <row r="796" spans="1:13" x14ac:dyDescent="0.6">
      <c r="A796" s="218"/>
      <c r="B796" s="36"/>
      <c r="C796" s="4"/>
      <c r="D796" s="4"/>
      <c r="E796" s="4"/>
      <c r="F796" s="11"/>
      <c r="G796" s="227"/>
      <c r="H796" s="169"/>
      <c r="I796" s="165"/>
      <c r="J796" s="216"/>
      <c r="K796" s="216"/>
      <c r="M796" s="216"/>
    </row>
    <row r="797" spans="1:13" x14ac:dyDescent="0.6">
      <c r="A797" s="218"/>
      <c r="B797" s="36"/>
      <c r="C797" s="4"/>
      <c r="D797" s="4"/>
      <c r="E797" s="4"/>
      <c r="F797" s="11"/>
      <c r="G797" s="227"/>
      <c r="H797" s="169"/>
      <c r="I797" s="165"/>
      <c r="J797" s="216"/>
      <c r="K797" s="216"/>
      <c r="M797" s="216"/>
    </row>
    <row r="798" spans="1:13" x14ac:dyDescent="0.6">
      <c r="A798" s="218"/>
      <c r="B798" s="36"/>
      <c r="C798" s="4"/>
      <c r="D798" s="4"/>
      <c r="E798" s="4"/>
      <c r="F798" s="11"/>
      <c r="G798" s="227"/>
      <c r="H798" s="169"/>
      <c r="I798" s="165"/>
      <c r="J798" s="216"/>
      <c r="K798" s="216"/>
      <c r="M798" s="216"/>
    </row>
    <row r="799" spans="1:13" x14ac:dyDescent="0.6">
      <c r="A799" s="218"/>
      <c r="B799" s="36"/>
      <c r="C799" s="4"/>
      <c r="D799" s="4"/>
      <c r="E799" s="4"/>
      <c r="F799" s="11"/>
      <c r="G799" s="227"/>
      <c r="H799" s="169"/>
      <c r="I799" s="165"/>
      <c r="J799" s="216"/>
      <c r="K799" s="216"/>
      <c r="M799" s="216"/>
    </row>
    <row r="800" spans="1:13" x14ac:dyDescent="0.6">
      <c r="A800" s="218"/>
      <c r="B800" s="36"/>
      <c r="C800" s="4"/>
      <c r="D800" s="4"/>
      <c r="E800" s="4"/>
      <c r="F800" s="11"/>
      <c r="G800" s="227"/>
      <c r="H800" s="169"/>
      <c r="I800" s="165"/>
      <c r="J800" s="216"/>
      <c r="K800" s="216"/>
      <c r="M800" s="216"/>
    </row>
    <row r="801" spans="1:13" x14ac:dyDescent="0.6">
      <c r="A801" s="218"/>
      <c r="B801" s="36"/>
      <c r="C801" s="4"/>
      <c r="D801" s="4"/>
      <c r="E801" s="4"/>
      <c r="F801" s="11"/>
      <c r="G801" s="227"/>
      <c r="H801" s="169"/>
      <c r="I801" s="165"/>
      <c r="J801" s="216"/>
      <c r="K801" s="216"/>
      <c r="M801" s="216"/>
    </row>
    <row r="802" spans="1:13" x14ac:dyDescent="0.6">
      <c r="A802" s="218"/>
      <c r="B802" s="36"/>
      <c r="C802" s="4"/>
      <c r="D802" s="4"/>
      <c r="E802" s="4"/>
      <c r="F802" s="11"/>
      <c r="G802" s="227"/>
      <c r="H802" s="169"/>
      <c r="I802" s="165"/>
      <c r="J802" s="216"/>
      <c r="K802" s="216"/>
      <c r="M802" s="216"/>
    </row>
    <row r="803" spans="1:13" x14ac:dyDescent="0.6">
      <c r="A803" s="218"/>
      <c r="B803" s="36"/>
      <c r="C803" s="4"/>
      <c r="D803" s="4"/>
      <c r="E803" s="4"/>
      <c r="F803" s="11"/>
      <c r="G803" s="227"/>
      <c r="H803" s="169"/>
      <c r="I803" s="165"/>
      <c r="J803" s="216"/>
      <c r="K803" s="216"/>
      <c r="M803" s="216"/>
    </row>
    <row r="804" spans="1:13" x14ac:dyDescent="0.6">
      <c r="A804" s="218"/>
      <c r="B804" s="36"/>
      <c r="C804" s="4"/>
      <c r="D804" s="4"/>
      <c r="E804" s="4"/>
      <c r="F804" s="11"/>
      <c r="G804" s="227"/>
      <c r="H804" s="169"/>
      <c r="I804" s="165"/>
      <c r="J804" s="216"/>
      <c r="K804" s="216"/>
      <c r="M804" s="216"/>
    </row>
    <row r="805" spans="1:13" x14ac:dyDescent="0.6">
      <c r="A805" s="218"/>
      <c r="B805" s="36"/>
      <c r="C805" s="4"/>
      <c r="D805" s="4"/>
      <c r="E805" s="4"/>
      <c r="F805" s="11"/>
      <c r="G805" s="227"/>
      <c r="H805" s="169"/>
      <c r="I805" s="165"/>
      <c r="J805" s="216"/>
      <c r="K805" s="216"/>
      <c r="M805" s="216"/>
    </row>
    <row r="806" spans="1:13" x14ac:dyDescent="0.6">
      <c r="A806" s="218"/>
      <c r="B806" s="36"/>
      <c r="C806" s="4"/>
      <c r="D806" s="4"/>
      <c r="E806" s="4"/>
      <c r="F806" s="11"/>
      <c r="G806" s="227"/>
      <c r="H806" s="169"/>
      <c r="I806" s="165"/>
      <c r="J806" s="216"/>
      <c r="K806" s="216"/>
      <c r="M806" s="216"/>
    </row>
    <row r="807" spans="1:13" x14ac:dyDescent="0.6">
      <c r="A807" s="218"/>
      <c r="B807" s="36"/>
      <c r="C807" s="4"/>
      <c r="D807" s="4"/>
      <c r="E807" s="4"/>
      <c r="F807" s="11"/>
      <c r="G807" s="227"/>
      <c r="H807" s="169"/>
      <c r="I807" s="165"/>
      <c r="J807" s="216"/>
      <c r="K807" s="216"/>
      <c r="M807" s="216"/>
    </row>
    <row r="808" spans="1:13" x14ac:dyDescent="0.6">
      <c r="A808" s="218"/>
      <c r="B808" s="36"/>
      <c r="C808" s="4"/>
      <c r="D808" s="4"/>
      <c r="E808" s="4"/>
      <c r="F808" s="11"/>
      <c r="G808" s="227"/>
      <c r="H808" s="169"/>
      <c r="I808" s="165"/>
      <c r="J808" s="216"/>
      <c r="K808" s="216"/>
      <c r="M808" s="216"/>
    </row>
    <row r="809" spans="1:13" x14ac:dyDescent="0.6">
      <c r="A809" s="218"/>
      <c r="B809" s="36"/>
      <c r="C809" s="4"/>
      <c r="D809" s="4"/>
      <c r="E809" s="4"/>
      <c r="F809" s="11"/>
      <c r="G809" s="227"/>
      <c r="H809" s="169"/>
      <c r="I809" s="165"/>
      <c r="J809" s="216"/>
      <c r="K809" s="216"/>
      <c r="M809" s="216"/>
    </row>
    <row r="810" spans="1:13" x14ac:dyDescent="0.6">
      <c r="A810" s="218"/>
      <c r="B810" s="36"/>
      <c r="C810" s="4"/>
      <c r="D810" s="4"/>
      <c r="E810" s="4"/>
      <c r="F810" s="11"/>
      <c r="G810" s="227"/>
      <c r="H810" s="169"/>
      <c r="I810" s="165"/>
      <c r="J810" s="216"/>
      <c r="K810" s="216"/>
      <c r="M810" s="216"/>
    </row>
    <row r="811" spans="1:13" x14ac:dyDescent="0.6">
      <c r="A811" s="218"/>
      <c r="B811" s="36"/>
      <c r="C811" s="4"/>
      <c r="D811" s="4"/>
      <c r="E811" s="4"/>
      <c r="F811" s="11"/>
      <c r="G811" s="227"/>
      <c r="H811" s="169"/>
      <c r="I811" s="165"/>
      <c r="J811" s="216"/>
      <c r="K811" s="216"/>
      <c r="M811" s="216"/>
    </row>
    <row r="812" spans="1:13" x14ac:dyDescent="0.6">
      <c r="A812" s="218"/>
      <c r="B812" s="36"/>
      <c r="C812" s="4"/>
      <c r="D812" s="4"/>
      <c r="E812" s="4"/>
      <c r="F812" s="11"/>
      <c r="G812" s="227"/>
      <c r="H812" s="169"/>
      <c r="I812" s="165"/>
      <c r="J812" s="216"/>
      <c r="K812" s="216"/>
      <c r="M812" s="216"/>
    </row>
    <row r="813" spans="1:13" x14ac:dyDescent="0.6">
      <c r="A813" s="218"/>
      <c r="B813" s="36"/>
      <c r="C813" s="4"/>
      <c r="D813" s="4"/>
      <c r="E813" s="4"/>
      <c r="F813" s="11"/>
      <c r="G813" s="227"/>
      <c r="H813" s="169"/>
      <c r="I813" s="165"/>
      <c r="J813" s="216"/>
      <c r="K813" s="216"/>
      <c r="M813" s="216"/>
    </row>
    <row r="814" spans="1:13" x14ac:dyDescent="0.6">
      <c r="A814" s="218"/>
      <c r="B814" s="36"/>
      <c r="C814" s="4"/>
      <c r="D814" s="4"/>
      <c r="E814" s="4"/>
      <c r="F814" s="11"/>
      <c r="G814" s="227"/>
      <c r="H814" s="169"/>
      <c r="I814" s="165"/>
      <c r="J814" s="216"/>
      <c r="K814" s="216"/>
      <c r="M814" s="216"/>
    </row>
    <row r="815" spans="1:13" x14ac:dyDescent="0.6">
      <c r="A815" s="218"/>
      <c r="B815" s="36"/>
      <c r="C815" s="4"/>
      <c r="D815" s="4"/>
      <c r="E815" s="4"/>
      <c r="F815" s="11"/>
      <c r="G815" s="227"/>
      <c r="H815" s="169"/>
      <c r="I815" s="165"/>
      <c r="J815" s="216"/>
      <c r="K815" s="216"/>
      <c r="M815" s="216"/>
    </row>
    <row r="816" spans="1:13" x14ac:dyDescent="0.6">
      <c r="A816" s="218"/>
      <c r="B816" s="36"/>
      <c r="C816" s="4"/>
      <c r="D816" s="4"/>
      <c r="E816" s="4"/>
      <c r="F816" s="11"/>
      <c r="G816" s="227"/>
      <c r="H816" s="169"/>
      <c r="I816" s="165"/>
      <c r="J816" s="216"/>
      <c r="K816" s="216"/>
      <c r="M816" s="216"/>
    </row>
    <row r="817" spans="1:13" x14ac:dyDescent="0.6">
      <c r="A817" s="218"/>
      <c r="B817" s="36"/>
      <c r="C817" s="4"/>
      <c r="D817" s="4"/>
      <c r="E817" s="4"/>
      <c r="F817" s="11"/>
      <c r="G817" s="227"/>
      <c r="H817" s="169"/>
      <c r="I817" s="165"/>
      <c r="J817" s="216"/>
      <c r="K817" s="216"/>
      <c r="M817" s="216"/>
    </row>
    <row r="818" spans="1:13" x14ac:dyDescent="0.6">
      <c r="A818" s="218"/>
      <c r="B818" s="36"/>
      <c r="C818" s="4"/>
      <c r="D818" s="4"/>
      <c r="E818" s="4"/>
      <c r="F818" s="11"/>
      <c r="G818" s="227"/>
      <c r="H818" s="169"/>
      <c r="I818" s="165"/>
      <c r="J818" s="216"/>
      <c r="K818" s="216"/>
      <c r="M818" s="216"/>
    </row>
    <row r="819" spans="1:13" x14ac:dyDescent="0.6">
      <c r="A819" s="218"/>
      <c r="B819" s="36"/>
      <c r="C819" s="4"/>
      <c r="D819" s="4"/>
      <c r="E819" s="4"/>
      <c r="F819" s="11"/>
      <c r="G819" s="227"/>
      <c r="H819" s="169"/>
      <c r="I819" s="165"/>
      <c r="J819" s="216"/>
      <c r="K819" s="216"/>
      <c r="M819" s="216"/>
    </row>
    <row r="820" spans="1:13" x14ac:dyDescent="0.6">
      <c r="A820" s="218"/>
      <c r="B820" s="36"/>
      <c r="C820" s="4"/>
      <c r="D820" s="4"/>
      <c r="E820" s="4"/>
      <c r="F820" s="11"/>
      <c r="G820" s="227"/>
      <c r="H820" s="169"/>
      <c r="I820" s="165"/>
      <c r="J820" s="216"/>
      <c r="K820" s="216"/>
      <c r="M820" s="216"/>
    </row>
    <row r="821" spans="1:13" x14ac:dyDescent="0.6">
      <c r="A821" s="218"/>
      <c r="B821" s="36"/>
      <c r="C821" s="4"/>
      <c r="D821" s="4"/>
      <c r="E821" s="4"/>
      <c r="F821" s="11"/>
      <c r="G821" s="227"/>
      <c r="H821" s="169"/>
      <c r="I821" s="165"/>
      <c r="J821" s="216"/>
      <c r="K821" s="216"/>
      <c r="M821" s="216"/>
    </row>
    <row r="822" spans="1:13" x14ac:dyDescent="0.6">
      <c r="A822" s="218"/>
      <c r="B822" s="36"/>
      <c r="C822" s="4"/>
      <c r="D822" s="4"/>
      <c r="E822" s="4"/>
      <c r="F822" s="11"/>
      <c r="G822" s="227"/>
      <c r="H822" s="169"/>
      <c r="I822" s="165"/>
      <c r="J822" s="216"/>
      <c r="K822" s="216"/>
      <c r="M822" s="216"/>
    </row>
    <row r="823" spans="1:13" x14ac:dyDescent="0.6">
      <c r="A823" s="218"/>
      <c r="B823" s="36"/>
      <c r="C823" s="4"/>
      <c r="D823" s="4"/>
      <c r="E823" s="4"/>
      <c r="F823" s="11"/>
      <c r="G823" s="227"/>
      <c r="H823" s="169"/>
      <c r="I823" s="165"/>
      <c r="J823" s="216"/>
      <c r="K823" s="216"/>
      <c r="M823" s="216"/>
    </row>
    <row r="824" spans="1:13" x14ac:dyDescent="0.6">
      <c r="A824" s="218"/>
      <c r="B824" s="36"/>
      <c r="C824" s="4"/>
      <c r="D824" s="4"/>
      <c r="E824" s="4"/>
      <c r="F824" s="11"/>
      <c r="G824" s="227"/>
      <c r="H824" s="169"/>
      <c r="I824" s="165"/>
      <c r="J824" s="216"/>
      <c r="K824" s="216"/>
      <c r="M824" s="216"/>
    </row>
    <row r="825" spans="1:13" x14ac:dyDescent="0.6">
      <c r="A825" s="218"/>
      <c r="B825" s="36"/>
      <c r="C825" s="4"/>
      <c r="D825" s="4"/>
      <c r="E825" s="4"/>
      <c r="F825" s="11"/>
      <c r="G825" s="227"/>
      <c r="H825" s="169"/>
      <c r="I825" s="165"/>
      <c r="J825" s="216"/>
      <c r="K825" s="216"/>
      <c r="M825" s="216"/>
    </row>
    <row r="826" spans="1:13" x14ac:dyDescent="0.6">
      <c r="A826" s="218"/>
      <c r="B826" s="36"/>
      <c r="C826" s="4"/>
      <c r="D826" s="4"/>
      <c r="E826" s="4"/>
      <c r="F826" s="11"/>
      <c r="G826" s="227"/>
      <c r="H826" s="169"/>
      <c r="I826" s="165"/>
      <c r="J826" s="216"/>
      <c r="K826" s="216"/>
      <c r="M826" s="216"/>
    </row>
    <row r="827" spans="1:13" x14ac:dyDescent="0.6">
      <c r="A827" s="218"/>
      <c r="B827" s="36"/>
      <c r="C827" s="4"/>
      <c r="D827" s="4"/>
      <c r="E827" s="4"/>
      <c r="F827" s="11"/>
      <c r="G827" s="227"/>
      <c r="H827" s="169"/>
      <c r="I827" s="165"/>
      <c r="J827" s="216"/>
      <c r="K827" s="216"/>
      <c r="M827" s="216"/>
    </row>
    <row r="828" spans="1:13" x14ac:dyDescent="0.6">
      <c r="A828" s="218"/>
      <c r="B828" s="36"/>
      <c r="C828" s="4"/>
      <c r="D828" s="4"/>
      <c r="E828" s="4"/>
      <c r="F828" s="11"/>
      <c r="G828" s="227"/>
      <c r="H828" s="169"/>
      <c r="I828" s="165"/>
      <c r="J828" s="216"/>
      <c r="K828" s="216"/>
      <c r="M828" s="216"/>
    </row>
    <row r="829" spans="1:13" x14ac:dyDescent="0.6">
      <c r="A829" s="218"/>
      <c r="B829" s="36"/>
      <c r="C829" s="4"/>
      <c r="D829" s="4"/>
      <c r="E829" s="4"/>
      <c r="F829" s="11"/>
      <c r="G829" s="227"/>
      <c r="H829" s="169"/>
      <c r="I829" s="165"/>
      <c r="J829" s="216"/>
      <c r="K829" s="216"/>
      <c r="M829" s="216"/>
    </row>
    <row r="830" spans="1:13" x14ac:dyDescent="0.6">
      <c r="A830" s="218"/>
      <c r="B830" s="36"/>
      <c r="C830" s="4"/>
      <c r="D830" s="4"/>
      <c r="E830" s="4"/>
      <c r="F830" s="11"/>
      <c r="G830" s="227"/>
      <c r="H830" s="169"/>
      <c r="I830" s="165"/>
      <c r="J830" s="216"/>
      <c r="K830" s="216"/>
      <c r="M830" s="216"/>
    </row>
    <row r="831" spans="1:13" x14ac:dyDescent="0.6">
      <c r="A831" s="218"/>
      <c r="B831" s="36"/>
      <c r="C831" s="4"/>
      <c r="D831" s="4"/>
      <c r="E831" s="4"/>
      <c r="F831" s="11"/>
      <c r="G831" s="227"/>
      <c r="H831" s="169"/>
      <c r="I831" s="165"/>
      <c r="J831" s="216"/>
      <c r="K831" s="216"/>
      <c r="M831" s="216"/>
    </row>
    <row r="832" spans="1:13" x14ac:dyDescent="0.6">
      <c r="A832" s="218"/>
      <c r="B832" s="36"/>
      <c r="C832" s="4"/>
      <c r="D832" s="4"/>
      <c r="E832" s="4"/>
      <c r="F832" s="11"/>
      <c r="G832" s="227"/>
      <c r="H832" s="169"/>
      <c r="I832" s="165"/>
      <c r="J832" s="216"/>
      <c r="K832" s="216"/>
      <c r="M832" s="216"/>
    </row>
    <row r="833" spans="1:13" x14ac:dyDescent="0.6">
      <c r="A833" s="218"/>
      <c r="B833" s="36"/>
      <c r="C833" s="4"/>
      <c r="D833" s="4"/>
      <c r="E833" s="4"/>
      <c r="F833" s="11"/>
      <c r="G833" s="227"/>
      <c r="H833" s="169"/>
      <c r="I833" s="165"/>
      <c r="J833" s="216"/>
      <c r="K833" s="216"/>
      <c r="M833" s="216"/>
    </row>
    <row r="834" spans="1:13" x14ac:dyDescent="0.6">
      <c r="A834" s="218"/>
      <c r="B834" s="36"/>
      <c r="C834" s="4"/>
      <c r="D834" s="4"/>
      <c r="E834" s="4"/>
      <c r="F834" s="11"/>
      <c r="G834" s="227"/>
      <c r="H834" s="169"/>
      <c r="I834" s="165"/>
      <c r="J834" s="216"/>
      <c r="K834" s="216"/>
      <c r="M834" s="216"/>
    </row>
    <row r="835" spans="1:13" x14ac:dyDescent="0.6">
      <c r="A835" s="218"/>
      <c r="B835" s="36"/>
      <c r="C835" s="4"/>
      <c r="D835" s="4"/>
      <c r="E835" s="4"/>
      <c r="F835" s="11"/>
      <c r="G835" s="227"/>
      <c r="H835" s="169"/>
      <c r="I835" s="165"/>
      <c r="J835" s="216"/>
      <c r="K835" s="216"/>
      <c r="M835" s="216"/>
    </row>
    <row r="836" spans="1:13" x14ac:dyDescent="0.6">
      <c r="A836" s="218"/>
      <c r="B836" s="36"/>
      <c r="C836" s="4"/>
      <c r="D836" s="4"/>
      <c r="E836" s="4"/>
      <c r="F836" s="11"/>
      <c r="G836" s="227"/>
      <c r="H836" s="169"/>
      <c r="I836" s="165"/>
      <c r="J836" s="216"/>
      <c r="K836" s="216"/>
      <c r="M836" s="216"/>
    </row>
    <row r="837" spans="1:13" x14ac:dyDescent="0.6">
      <c r="A837" s="218"/>
      <c r="B837" s="36"/>
      <c r="C837" s="4"/>
      <c r="D837" s="4"/>
      <c r="E837" s="4"/>
      <c r="F837" s="11"/>
      <c r="G837" s="227"/>
      <c r="H837" s="169"/>
      <c r="I837" s="165"/>
      <c r="J837" s="216"/>
      <c r="K837" s="216"/>
      <c r="M837" s="216"/>
    </row>
    <row r="838" spans="1:13" x14ac:dyDescent="0.6">
      <c r="A838" s="218"/>
      <c r="B838" s="36"/>
      <c r="C838" s="4"/>
      <c r="D838" s="4"/>
      <c r="E838" s="4"/>
      <c r="F838" s="11"/>
      <c r="G838" s="227"/>
      <c r="H838" s="169"/>
      <c r="I838" s="165"/>
      <c r="J838" s="216"/>
      <c r="K838" s="216"/>
      <c r="M838" s="216"/>
    </row>
    <row r="839" spans="1:13" x14ac:dyDescent="0.6">
      <c r="A839" s="218"/>
      <c r="B839" s="36"/>
      <c r="C839" s="4"/>
      <c r="D839" s="4"/>
      <c r="E839" s="4"/>
      <c r="F839" s="11"/>
      <c r="G839" s="227"/>
      <c r="H839" s="169"/>
      <c r="I839" s="165"/>
      <c r="J839" s="216"/>
      <c r="K839" s="216"/>
      <c r="M839" s="216"/>
    </row>
    <row r="840" spans="1:13" x14ac:dyDescent="0.6">
      <c r="A840" s="218"/>
      <c r="B840" s="36"/>
      <c r="C840" s="4"/>
      <c r="D840" s="4"/>
      <c r="E840" s="4"/>
      <c r="F840" s="11"/>
      <c r="G840" s="227"/>
      <c r="H840" s="169"/>
      <c r="I840" s="165"/>
      <c r="J840" s="216"/>
      <c r="K840" s="216"/>
      <c r="M840" s="216"/>
    </row>
    <row r="841" spans="1:13" x14ac:dyDescent="0.6">
      <c r="A841" s="218"/>
      <c r="B841" s="36"/>
      <c r="C841" s="4"/>
      <c r="D841" s="4"/>
      <c r="E841" s="4"/>
      <c r="F841" s="11"/>
      <c r="G841" s="227"/>
      <c r="H841" s="169"/>
      <c r="I841" s="165"/>
      <c r="J841" s="216"/>
      <c r="K841" s="216"/>
      <c r="M841" s="216"/>
    </row>
    <row r="842" spans="1:13" x14ac:dyDescent="0.6">
      <c r="A842" s="218"/>
      <c r="B842" s="36"/>
      <c r="C842" s="4"/>
      <c r="D842" s="4"/>
      <c r="E842" s="4"/>
      <c r="F842" s="11"/>
      <c r="G842" s="227"/>
      <c r="H842" s="169"/>
      <c r="I842" s="165"/>
      <c r="J842" s="216"/>
      <c r="K842" s="216"/>
      <c r="M842" s="216"/>
    </row>
    <row r="843" spans="1:13" x14ac:dyDescent="0.6">
      <c r="A843" s="218"/>
      <c r="B843" s="36"/>
      <c r="C843" s="4"/>
      <c r="D843" s="4"/>
      <c r="E843" s="4"/>
      <c r="F843" s="11"/>
      <c r="G843" s="227"/>
      <c r="H843" s="169"/>
      <c r="I843" s="165"/>
      <c r="J843" s="216"/>
      <c r="K843" s="216"/>
      <c r="M843" s="216"/>
    </row>
    <row r="844" spans="1:13" x14ac:dyDescent="0.6">
      <c r="A844" s="218"/>
      <c r="B844" s="36"/>
      <c r="C844" s="4"/>
      <c r="D844" s="4"/>
      <c r="E844" s="4"/>
      <c r="F844" s="11"/>
      <c r="G844" s="227"/>
      <c r="H844" s="169"/>
      <c r="I844" s="165"/>
      <c r="J844" s="216"/>
      <c r="K844" s="216"/>
      <c r="M844" s="216"/>
    </row>
    <row r="845" spans="1:13" x14ac:dyDescent="0.6">
      <c r="A845" s="218"/>
      <c r="B845" s="36"/>
      <c r="C845" s="4"/>
      <c r="D845" s="4"/>
      <c r="E845" s="4"/>
      <c r="F845" s="11"/>
      <c r="G845" s="227"/>
      <c r="H845" s="169"/>
      <c r="I845" s="165"/>
      <c r="J845" s="216"/>
      <c r="K845" s="216"/>
      <c r="M845" s="216"/>
    </row>
    <row r="846" spans="1:13" x14ac:dyDescent="0.6">
      <c r="A846" s="218"/>
      <c r="B846" s="36"/>
      <c r="C846" s="4"/>
      <c r="D846" s="4"/>
      <c r="E846" s="4"/>
      <c r="F846" s="11"/>
      <c r="G846" s="227"/>
      <c r="H846" s="169"/>
      <c r="I846" s="165"/>
      <c r="J846" s="216"/>
      <c r="K846" s="216"/>
      <c r="M846" s="216"/>
    </row>
    <row r="847" spans="1:13" x14ac:dyDescent="0.6">
      <c r="A847" s="218"/>
      <c r="B847" s="36"/>
      <c r="C847" s="4"/>
      <c r="D847" s="4"/>
      <c r="E847" s="4"/>
      <c r="F847" s="11"/>
      <c r="G847" s="227"/>
      <c r="H847" s="169"/>
      <c r="I847" s="165"/>
      <c r="J847" s="216"/>
      <c r="K847" s="216"/>
      <c r="M847" s="216"/>
    </row>
    <row r="848" spans="1:13" x14ac:dyDescent="0.6">
      <c r="A848" s="218"/>
      <c r="B848" s="36"/>
      <c r="C848" s="4"/>
      <c r="D848" s="4"/>
      <c r="E848" s="4"/>
      <c r="F848" s="11"/>
      <c r="G848" s="227"/>
      <c r="H848" s="169"/>
      <c r="I848" s="165"/>
      <c r="J848" s="216"/>
      <c r="K848" s="216"/>
      <c r="M848" s="216"/>
    </row>
    <row r="849" spans="1:13" x14ac:dyDescent="0.6">
      <c r="A849" s="218"/>
      <c r="B849" s="36"/>
      <c r="C849" s="4"/>
      <c r="D849" s="4"/>
      <c r="E849" s="4"/>
      <c r="F849" s="11"/>
      <c r="G849" s="227"/>
      <c r="H849" s="169"/>
      <c r="I849" s="165"/>
      <c r="J849" s="216"/>
      <c r="K849" s="216"/>
      <c r="M849" s="216"/>
    </row>
    <row r="850" spans="1:13" x14ac:dyDescent="0.6">
      <c r="A850" s="218"/>
      <c r="B850" s="36"/>
      <c r="C850" s="4"/>
      <c r="D850" s="4"/>
      <c r="E850" s="4"/>
      <c r="F850" s="11"/>
      <c r="G850" s="227"/>
      <c r="H850" s="169"/>
      <c r="I850" s="165"/>
      <c r="J850" s="216"/>
      <c r="K850" s="216"/>
      <c r="M850" s="216"/>
    </row>
    <row r="851" spans="1:13" x14ac:dyDescent="0.6">
      <c r="A851" s="218"/>
      <c r="B851" s="36"/>
      <c r="C851" s="4"/>
      <c r="D851" s="4"/>
      <c r="E851" s="4"/>
      <c r="F851" s="11"/>
      <c r="G851" s="227"/>
      <c r="H851" s="169"/>
      <c r="I851" s="165"/>
      <c r="J851" s="216"/>
      <c r="K851" s="216"/>
      <c r="M851" s="216"/>
    </row>
    <row r="852" spans="1:13" x14ac:dyDescent="0.6">
      <c r="A852" s="218"/>
      <c r="B852" s="36"/>
      <c r="C852" s="4"/>
      <c r="D852" s="4"/>
      <c r="E852" s="4"/>
      <c r="F852" s="11"/>
      <c r="G852" s="227"/>
      <c r="H852" s="169"/>
      <c r="I852" s="165"/>
      <c r="J852" s="216"/>
      <c r="K852" s="216"/>
      <c r="M852" s="216"/>
    </row>
    <row r="853" spans="1:13" x14ac:dyDescent="0.6">
      <c r="A853" s="218"/>
      <c r="B853" s="36"/>
      <c r="C853" s="4"/>
      <c r="D853" s="4"/>
      <c r="E853" s="4"/>
      <c r="F853" s="11"/>
      <c r="G853" s="227"/>
      <c r="H853" s="169"/>
      <c r="I853" s="165"/>
      <c r="J853" s="216"/>
      <c r="K853" s="216"/>
      <c r="M853" s="216"/>
    </row>
    <row r="854" spans="1:13" x14ac:dyDescent="0.6">
      <c r="A854" s="218"/>
      <c r="B854" s="36"/>
      <c r="C854" s="4"/>
      <c r="D854" s="4"/>
      <c r="E854" s="4"/>
      <c r="F854" s="11"/>
      <c r="G854" s="227"/>
      <c r="H854" s="169"/>
      <c r="I854" s="165"/>
      <c r="J854" s="216"/>
      <c r="K854" s="216"/>
      <c r="M854" s="216"/>
    </row>
    <row r="855" spans="1:13" x14ac:dyDescent="0.6">
      <c r="A855" s="218"/>
      <c r="B855" s="36"/>
      <c r="C855" s="4"/>
      <c r="D855" s="4"/>
      <c r="E855" s="4"/>
      <c r="F855" s="11"/>
      <c r="G855" s="227"/>
      <c r="H855" s="169"/>
      <c r="I855" s="165"/>
      <c r="J855" s="216"/>
      <c r="K855" s="216"/>
      <c r="M855" s="216"/>
    </row>
    <row r="856" spans="1:13" x14ac:dyDescent="0.6">
      <c r="A856" s="218"/>
      <c r="B856" s="36"/>
      <c r="C856" s="4"/>
      <c r="D856" s="4"/>
      <c r="E856" s="4"/>
      <c r="F856" s="11"/>
      <c r="G856" s="227"/>
      <c r="H856" s="169"/>
      <c r="I856" s="165"/>
      <c r="J856" s="216"/>
      <c r="K856" s="216"/>
      <c r="M856" s="216"/>
    </row>
    <row r="857" spans="1:13" x14ac:dyDescent="0.6">
      <c r="A857" s="218"/>
      <c r="B857" s="36"/>
      <c r="C857" s="4"/>
      <c r="D857" s="4"/>
      <c r="E857" s="4"/>
      <c r="F857" s="11"/>
      <c r="G857" s="227"/>
      <c r="H857" s="169"/>
      <c r="I857" s="165"/>
      <c r="J857" s="216"/>
      <c r="K857" s="216"/>
      <c r="M857" s="216"/>
    </row>
    <row r="858" spans="1:13" x14ac:dyDescent="0.6">
      <c r="A858" s="218"/>
      <c r="B858" s="36"/>
      <c r="C858" s="4"/>
      <c r="D858" s="4"/>
      <c r="E858" s="4"/>
      <c r="F858" s="11"/>
      <c r="G858" s="227"/>
      <c r="H858" s="169"/>
      <c r="I858" s="165"/>
      <c r="J858" s="216"/>
      <c r="K858" s="216"/>
      <c r="M858" s="216"/>
    </row>
    <row r="859" spans="1:13" x14ac:dyDescent="0.6">
      <c r="A859" s="218"/>
      <c r="B859" s="36"/>
      <c r="C859" s="4"/>
      <c r="D859" s="4"/>
      <c r="E859" s="4"/>
      <c r="F859" s="11"/>
      <c r="G859" s="227"/>
      <c r="H859" s="169"/>
      <c r="I859" s="165"/>
      <c r="J859" s="216"/>
      <c r="K859" s="216"/>
      <c r="M859" s="216"/>
    </row>
    <row r="860" spans="1:13" x14ac:dyDescent="0.6">
      <c r="A860" s="218"/>
      <c r="B860" s="36"/>
      <c r="C860" s="4"/>
      <c r="D860" s="4"/>
      <c r="E860" s="4"/>
      <c r="F860" s="11"/>
      <c r="G860" s="227"/>
      <c r="H860" s="169"/>
      <c r="I860" s="165"/>
      <c r="J860" s="216"/>
      <c r="K860" s="216"/>
      <c r="M860" s="216"/>
    </row>
    <row r="861" spans="1:13" x14ac:dyDescent="0.6">
      <c r="A861" s="218"/>
      <c r="B861" s="36"/>
      <c r="C861" s="4"/>
      <c r="D861" s="4"/>
      <c r="E861" s="4"/>
      <c r="F861" s="11"/>
      <c r="G861" s="227"/>
      <c r="H861" s="169"/>
      <c r="I861" s="165"/>
      <c r="J861" s="216"/>
      <c r="K861" s="216"/>
      <c r="M861" s="216"/>
    </row>
    <row r="862" spans="1:13" x14ac:dyDescent="0.6">
      <c r="A862" s="218"/>
      <c r="B862" s="36"/>
      <c r="C862" s="4"/>
      <c r="D862" s="4"/>
      <c r="E862" s="4"/>
      <c r="F862" s="11"/>
      <c r="G862" s="227"/>
      <c r="H862" s="169"/>
      <c r="I862" s="165"/>
      <c r="J862" s="216"/>
      <c r="K862" s="216"/>
      <c r="M862" s="216"/>
    </row>
    <row r="863" spans="1:13" x14ac:dyDescent="0.6">
      <c r="A863" s="218"/>
      <c r="B863" s="36"/>
      <c r="C863" s="4"/>
      <c r="D863" s="4"/>
      <c r="E863" s="4"/>
      <c r="F863" s="11"/>
      <c r="G863" s="227"/>
      <c r="H863" s="169"/>
      <c r="I863" s="165"/>
      <c r="J863" s="216"/>
      <c r="K863" s="216"/>
      <c r="M863" s="216"/>
    </row>
    <row r="864" spans="1:13" x14ac:dyDescent="0.6">
      <c r="A864" s="218"/>
      <c r="B864" s="36"/>
      <c r="C864" s="4"/>
      <c r="D864" s="4"/>
      <c r="E864" s="4"/>
      <c r="F864" s="11"/>
      <c r="G864" s="227"/>
      <c r="H864" s="169"/>
      <c r="I864" s="165"/>
      <c r="J864" s="216"/>
      <c r="K864" s="216"/>
      <c r="M864" s="216"/>
    </row>
    <row r="865" spans="1:13" x14ac:dyDescent="0.6">
      <c r="A865" s="218"/>
      <c r="B865" s="36"/>
      <c r="C865" s="4"/>
      <c r="D865" s="4"/>
      <c r="E865" s="4"/>
      <c r="F865" s="11"/>
      <c r="G865" s="227"/>
      <c r="H865" s="169"/>
      <c r="I865" s="165"/>
      <c r="J865" s="216"/>
      <c r="K865" s="216"/>
      <c r="M865" s="216"/>
    </row>
    <row r="866" spans="1:13" x14ac:dyDescent="0.6">
      <c r="A866" s="218"/>
      <c r="B866" s="36"/>
      <c r="C866" s="4"/>
      <c r="D866" s="4"/>
      <c r="E866" s="4"/>
      <c r="F866" s="11"/>
      <c r="G866" s="227"/>
      <c r="H866" s="169"/>
      <c r="I866" s="165"/>
      <c r="J866" s="216"/>
      <c r="K866" s="216"/>
      <c r="M866" s="216"/>
    </row>
    <row r="867" spans="1:13" x14ac:dyDescent="0.6">
      <c r="A867" s="218"/>
      <c r="B867" s="36"/>
      <c r="C867" s="4"/>
      <c r="D867" s="4"/>
      <c r="E867" s="4"/>
      <c r="F867" s="11"/>
      <c r="G867" s="227"/>
      <c r="H867" s="169"/>
      <c r="I867" s="165"/>
      <c r="J867" s="216"/>
      <c r="K867" s="216"/>
      <c r="M867" s="216"/>
    </row>
    <row r="868" spans="1:13" x14ac:dyDescent="0.6">
      <c r="A868" s="218"/>
      <c r="B868" s="36"/>
      <c r="C868" s="4"/>
      <c r="D868" s="4"/>
      <c r="E868" s="4"/>
      <c r="F868" s="11"/>
      <c r="G868" s="227"/>
      <c r="H868" s="169"/>
      <c r="I868" s="165"/>
      <c r="J868" s="216"/>
      <c r="K868" s="216"/>
      <c r="M868" s="216"/>
    </row>
    <row r="869" spans="1:13" x14ac:dyDescent="0.6">
      <c r="A869" s="218"/>
      <c r="B869" s="36"/>
      <c r="C869" s="4"/>
      <c r="D869" s="4"/>
      <c r="E869" s="4"/>
      <c r="F869" s="11"/>
      <c r="G869" s="227"/>
      <c r="H869" s="169"/>
      <c r="I869" s="165"/>
      <c r="J869" s="216"/>
      <c r="K869" s="216"/>
      <c r="M869" s="216"/>
    </row>
    <row r="870" spans="1:13" x14ac:dyDescent="0.6">
      <c r="A870" s="218"/>
      <c r="B870" s="36"/>
      <c r="C870" s="4"/>
      <c r="D870" s="4"/>
      <c r="E870" s="4"/>
      <c r="F870" s="11"/>
      <c r="G870" s="227"/>
      <c r="H870" s="169"/>
      <c r="I870" s="165"/>
      <c r="J870" s="216"/>
      <c r="K870" s="216"/>
      <c r="M870" s="216"/>
    </row>
    <row r="871" spans="1:13" x14ac:dyDescent="0.6">
      <c r="A871" s="218"/>
      <c r="B871" s="36"/>
      <c r="C871" s="4"/>
      <c r="D871" s="4"/>
      <c r="E871" s="4"/>
      <c r="F871" s="11"/>
      <c r="G871" s="227"/>
      <c r="H871" s="169"/>
      <c r="I871" s="165"/>
      <c r="J871" s="216"/>
      <c r="K871" s="216"/>
      <c r="M871" s="216"/>
    </row>
    <row r="872" spans="1:13" x14ac:dyDescent="0.6">
      <c r="A872" s="218"/>
      <c r="B872" s="36"/>
      <c r="C872" s="4"/>
      <c r="D872" s="4"/>
      <c r="E872" s="4"/>
      <c r="F872" s="11"/>
      <c r="G872" s="227"/>
      <c r="H872" s="169"/>
      <c r="I872" s="165"/>
      <c r="J872" s="216"/>
      <c r="K872" s="216"/>
      <c r="M872" s="216"/>
    </row>
    <row r="873" spans="1:13" x14ac:dyDescent="0.6">
      <c r="A873" s="218"/>
      <c r="B873" s="36"/>
      <c r="C873" s="4"/>
      <c r="D873" s="4"/>
      <c r="E873" s="4"/>
      <c r="F873" s="11"/>
      <c r="G873" s="227"/>
      <c r="H873" s="169"/>
      <c r="I873" s="165"/>
      <c r="J873" s="216"/>
      <c r="K873" s="216"/>
      <c r="M873" s="216"/>
    </row>
    <row r="874" spans="1:13" x14ac:dyDescent="0.6">
      <c r="A874" s="218"/>
      <c r="B874" s="36"/>
      <c r="C874" s="4"/>
      <c r="D874" s="4"/>
      <c r="E874" s="4"/>
      <c r="F874" s="11"/>
      <c r="G874" s="227"/>
      <c r="H874" s="169"/>
      <c r="I874" s="165"/>
      <c r="J874" s="216"/>
      <c r="K874" s="216"/>
      <c r="M874" s="216"/>
    </row>
    <row r="875" spans="1:13" x14ac:dyDescent="0.6">
      <c r="A875" s="218"/>
      <c r="B875" s="36"/>
      <c r="C875" s="4"/>
      <c r="D875" s="4"/>
      <c r="E875" s="4"/>
      <c r="F875" s="11"/>
      <c r="G875" s="227"/>
      <c r="H875" s="169"/>
      <c r="I875" s="165"/>
      <c r="J875" s="216"/>
      <c r="K875" s="216"/>
      <c r="M875" s="216"/>
    </row>
    <row r="876" spans="1:13" x14ac:dyDescent="0.6">
      <c r="A876" s="218"/>
      <c r="B876" s="36"/>
      <c r="C876" s="4"/>
      <c r="D876" s="4"/>
      <c r="E876" s="4"/>
      <c r="F876" s="11"/>
      <c r="G876" s="227"/>
      <c r="H876" s="169"/>
      <c r="I876" s="165"/>
      <c r="J876" s="216"/>
      <c r="K876" s="216"/>
      <c r="M876" s="216"/>
    </row>
    <row r="877" spans="1:13" x14ac:dyDescent="0.6">
      <c r="A877" s="218"/>
      <c r="B877" s="36"/>
      <c r="C877" s="4"/>
      <c r="D877" s="4"/>
      <c r="E877" s="4"/>
      <c r="F877" s="11"/>
      <c r="G877" s="227"/>
      <c r="H877" s="169"/>
      <c r="I877" s="165"/>
      <c r="J877" s="216"/>
      <c r="K877" s="216"/>
      <c r="M877" s="216"/>
    </row>
    <row r="878" spans="1:13" x14ac:dyDescent="0.6">
      <c r="A878" s="218"/>
      <c r="B878" s="36"/>
      <c r="C878" s="4"/>
      <c r="D878" s="4"/>
      <c r="E878" s="4"/>
      <c r="F878" s="11"/>
      <c r="G878" s="227"/>
      <c r="H878" s="169"/>
      <c r="I878" s="165"/>
      <c r="J878" s="216"/>
      <c r="K878" s="216"/>
      <c r="M878" s="216"/>
    </row>
    <row r="879" spans="1:13" x14ac:dyDescent="0.6">
      <c r="A879" s="218"/>
      <c r="B879" s="36"/>
      <c r="C879" s="4"/>
      <c r="D879" s="4"/>
      <c r="E879" s="4"/>
      <c r="F879" s="11"/>
      <c r="G879" s="227"/>
      <c r="H879" s="169"/>
      <c r="I879" s="165"/>
      <c r="J879" s="216"/>
      <c r="K879" s="216"/>
      <c r="M879" s="216"/>
    </row>
    <row r="880" spans="1:13" x14ac:dyDescent="0.6">
      <c r="A880" s="218"/>
      <c r="B880" s="36"/>
      <c r="C880" s="4"/>
      <c r="D880" s="4"/>
      <c r="E880" s="4"/>
      <c r="F880" s="11"/>
      <c r="G880" s="227"/>
      <c r="H880" s="169"/>
      <c r="I880" s="165"/>
      <c r="J880" s="216"/>
      <c r="K880" s="216"/>
      <c r="M880" s="216"/>
    </row>
    <row r="881" spans="1:13" x14ac:dyDescent="0.6">
      <c r="A881" s="218"/>
      <c r="B881" s="36"/>
      <c r="C881" s="4"/>
      <c r="D881" s="4"/>
      <c r="E881" s="4"/>
      <c r="F881" s="11"/>
      <c r="G881" s="227"/>
      <c r="H881" s="169"/>
      <c r="I881" s="165"/>
      <c r="J881" s="216"/>
      <c r="K881" s="216"/>
      <c r="M881" s="216"/>
    </row>
    <row r="882" spans="1:13" x14ac:dyDescent="0.6">
      <c r="A882" s="218"/>
      <c r="B882" s="36"/>
      <c r="C882" s="4"/>
      <c r="D882" s="4"/>
      <c r="E882" s="4"/>
      <c r="F882" s="11"/>
      <c r="G882" s="227"/>
      <c r="H882" s="169"/>
      <c r="I882" s="165"/>
      <c r="J882" s="216"/>
      <c r="K882" s="216"/>
      <c r="M882" s="216"/>
    </row>
    <row r="883" spans="1:13" x14ac:dyDescent="0.6">
      <c r="A883" s="218"/>
      <c r="B883" s="36"/>
      <c r="C883" s="4"/>
      <c r="D883" s="4"/>
      <c r="E883" s="4"/>
      <c r="F883" s="11"/>
      <c r="G883" s="227"/>
      <c r="H883" s="169"/>
      <c r="I883" s="165"/>
      <c r="J883" s="216"/>
      <c r="K883" s="216"/>
      <c r="M883" s="216"/>
    </row>
    <row r="884" spans="1:13" x14ac:dyDescent="0.6">
      <c r="A884" s="218"/>
      <c r="B884" s="36"/>
      <c r="C884" s="4"/>
      <c r="D884" s="4"/>
      <c r="E884" s="4"/>
      <c r="F884" s="11"/>
      <c r="G884" s="227"/>
      <c r="H884" s="169"/>
      <c r="I884" s="165"/>
      <c r="J884" s="216"/>
      <c r="K884" s="216"/>
      <c r="M884" s="216"/>
    </row>
    <row r="885" spans="1:13" x14ac:dyDescent="0.6">
      <c r="A885" s="218"/>
      <c r="B885" s="36"/>
      <c r="C885" s="4"/>
      <c r="D885" s="4"/>
      <c r="E885" s="4"/>
      <c r="F885" s="11"/>
      <c r="G885" s="227"/>
      <c r="H885" s="169"/>
      <c r="I885" s="165"/>
      <c r="J885" s="216"/>
      <c r="K885" s="216"/>
      <c r="M885" s="216"/>
    </row>
    <row r="886" spans="1:13" x14ac:dyDescent="0.6">
      <c r="A886" s="218"/>
      <c r="B886" s="36"/>
      <c r="C886" s="4"/>
      <c r="D886" s="4"/>
      <c r="E886" s="4"/>
      <c r="F886" s="11"/>
      <c r="G886" s="227"/>
      <c r="H886" s="169"/>
      <c r="I886" s="165"/>
      <c r="J886" s="216"/>
      <c r="K886" s="216"/>
      <c r="M886" s="216"/>
    </row>
    <row r="887" spans="1:13" x14ac:dyDescent="0.6">
      <c r="A887" s="218"/>
      <c r="B887" s="36"/>
      <c r="C887" s="4"/>
      <c r="D887" s="4"/>
      <c r="E887" s="4"/>
      <c r="F887" s="11"/>
      <c r="G887" s="227"/>
      <c r="H887" s="169"/>
      <c r="I887" s="165"/>
      <c r="J887" s="216"/>
      <c r="K887" s="216"/>
      <c r="M887" s="216"/>
    </row>
    <row r="888" spans="1:13" x14ac:dyDescent="0.6">
      <c r="A888" s="218"/>
      <c r="B888" s="36"/>
      <c r="C888" s="4"/>
      <c r="D888" s="4"/>
      <c r="E888" s="4"/>
      <c r="F888" s="11"/>
      <c r="G888" s="227"/>
      <c r="H888" s="169"/>
      <c r="I888" s="165"/>
      <c r="J888" s="216"/>
      <c r="K888" s="216"/>
      <c r="M888" s="216"/>
    </row>
    <row r="889" spans="1:13" x14ac:dyDescent="0.6">
      <c r="A889" s="218"/>
      <c r="B889" s="36"/>
      <c r="C889" s="4"/>
      <c r="D889" s="4"/>
      <c r="E889" s="4"/>
      <c r="F889" s="11"/>
      <c r="G889" s="227"/>
      <c r="H889" s="169"/>
      <c r="I889" s="165"/>
      <c r="J889" s="216"/>
      <c r="K889" s="216"/>
      <c r="M889" s="216"/>
    </row>
    <row r="890" spans="1:13" x14ac:dyDescent="0.6">
      <c r="A890" s="218"/>
      <c r="B890" s="36"/>
      <c r="C890" s="4"/>
      <c r="D890" s="4"/>
      <c r="E890" s="4"/>
      <c r="F890" s="11"/>
      <c r="G890" s="227"/>
      <c r="H890" s="169"/>
      <c r="I890" s="165"/>
      <c r="J890" s="216"/>
      <c r="K890" s="216"/>
      <c r="M890" s="216"/>
    </row>
    <row r="891" spans="1:13" x14ac:dyDescent="0.6">
      <c r="A891" s="218"/>
      <c r="B891" s="36"/>
      <c r="C891" s="4"/>
      <c r="D891" s="4"/>
      <c r="E891" s="4"/>
      <c r="F891" s="11"/>
      <c r="G891" s="227"/>
      <c r="H891" s="169"/>
      <c r="I891" s="165"/>
      <c r="J891" s="216"/>
      <c r="K891" s="216"/>
      <c r="M891" s="216"/>
    </row>
    <row r="892" spans="1:13" x14ac:dyDescent="0.6">
      <c r="A892" s="218"/>
      <c r="B892" s="36"/>
      <c r="C892" s="4"/>
      <c r="D892" s="4"/>
      <c r="E892" s="4"/>
      <c r="F892" s="11"/>
      <c r="G892" s="227"/>
      <c r="H892" s="169"/>
      <c r="I892" s="165"/>
      <c r="J892" s="216"/>
      <c r="K892" s="216"/>
      <c r="M892" s="216"/>
    </row>
    <row r="893" spans="1:13" x14ac:dyDescent="0.6">
      <c r="A893" s="218"/>
      <c r="B893" s="36"/>
      <c r="C893" s="4"/>
      <c r="D893" s="4"/>
      <c r="E893" s="4"/>
      <c r="F893" s="11"/>
      <c r="G893" s="227"/>
      <c r="H893" s="169"/>
      <c r="I893" s="165"/>
      <c r="J893" s="216"/>
      <c r="K893" s="216"/>
      <c r="M893" s="216"/>
    </row>
    <row r="894" spans="1:13" x14ac:dyDescent="0.6">
      <c r="A894" s="218"/>
      <c r="B894" s="36"/>
      <c r="C894" s="4"/>
      <c r="D894" s="4"/>
      <c r="E894" s="4"/>
      <c r="F894" s="11"/>
      <c r="G894" s="227"/>
      <c r="H894" s="169"/>
      <c r="I894" s="165"/>
      <c r="J894" s="216"/>
      <c r="K894" s="216"/>
      <c r="M894" s="216"/>
    </row>
    <row r="895" spans="1:13" x14ac:dyDescent="0.6">
      <c r="A895" s="218"/>
      <c r="B895" s="36"/>
      <c r="C895" s="4"/>
      <c r="D895" s="4"/>
      <c r="E895" s="4"/>
      <c r="F895" s="11"/>
      <c r="G895" s="227"/>
      <c r="H895" s="169"/>
      <c r="I895" s="165"/>
      <c r="J895" s="216"/>
      <c r="K895" s="216"/>
      <c r="M895" s="216"/>
    </row>
    <row r="896" spans="1:13" x14ac:dyDescent="0.6">
      <c r="A896" s="218"/>
      <c r="B896" s="36"/>
      <c r="C896" s="4"/>
      <c r="D896" s="4"/>
      <c r="E896" s="4"/>
      <c r="F896" s="11"/>
      <c r="G896" s="227"/>
      <c r="H896" s="169"/>
      <c r="I896" s="165"/>
      <c r="J896" s="216"/>
      <c r="K896" s="216"/>
      <c r="M896" s="216"/>
    </row>
    <row r="897" spans="1:13" x14ac:dyDescent="0.6">
      <c r="A897" s="218"/>
      <c r="B897" s="36"/>
      <c r="C897" s="4"/>
      <c r="D897" s="4"/>
      <c r="E897" s="4"/>
      <c r="F897" s="11"/>
      <c r="G897" s="227"/>
      <c r="H897" s="169"/>
      <c r="I897" s="165"/>
      <c r="J897" s="216"/>
      <c r="K897" s="216"/>
      <c r="M897" s="216"/>
    </row>
    <row r="898" spans="1:13" x14ac:dyDescent="0.6">
      <c r="A898" s="218"/>
      <c r="B898" s="36"/>
      <c r="C898" s="4"/>
      <c r="D898" s="4"/>
      <c r="E898" s="4"/>
      <c r="F898" s="11"/>
      <c r="G898" s="227"/>
      <c r="H898" s="169"/>
      <c r="I898" s="165"/>
      <c r="J898" s="216"/>
      <c r="K898" s="216"/>
      <c r="M898" s="216"/>
    </row>
    <row r="899" spans="1:13" x14ac:dyDescent="0.6">
      <c r="A899" s="218"/>
      <c r="B899" s="36"/>
      <c r="C899" s="4"/>
      <c r="D899" s="4"/>
      <c r="E899" s="4"/>
      <c r="F899" s="11"/>
      <c r="G899" s="227"/>
      <c r="H899" s="169"/>
      <c r="I899" s="165"/>
      <c r="J899" s="216"/>
      <c r="K899" s="216"/>
      <c r="M899" s="216"/>
    </row>
    <row r="900" spans="1:13" x14ac:dyDescent="0.6">
      <c r="A900" s="218"/>
      <c r="B900" s="36"/>
      <c r="C900" s="4"/>
      <c r="D900" s="4"/>
      <c r="E900" s="4"/>
      <c r="F900" s="11"/>
      <c r="G900" s="227"/>
      <c r="H900" s="169"/>
      <c r="I900" s="165"/>
      <c r="J900" s="216"/>
      <c r="K900" s="216"/>
      <c r="M900" s="216"/>
    </row>
    <row r="901" spans="1:13" x14ac:dyDescent="0.6">
      <c r="A901" s="218"/>
      <c r="B901" s="36"/>
      <c r="C901" s="4"/>
      <c r="D901" s="4"/>
      <c r="E901" s="4"/>
      <c r="F901" s="11"/>
      <c r="G901" s="227"/>
      <c r="H901" s="169"/>
      <c r="I901" s="165"/>
      <c r="J901" s="216"/>
      <c r="K901" s="216"/>
      <c r="M901" s="216"/>
    </row>
    <row r="902" spans="1:13" x14ac:dyDescent="0.6">
      <c r="A902" s="218"/>
      <c r="B902" s="36"/>
      <c r="C902" s="4"/>
      <c r="D902" s="4"/>
      <c r="E902" s="4"/>
      <c r="F902" s="11"/>
      <c r="G902" s="227"/>
      <c r="H902" s="169"/>
      <c r="I902" s="165"/>
      <c r="J902" s="216"/>
      <c r="K902" s="216"/>
      <c r="M902" s="216"/>
    </row>
    <row r="903" spans="1:13" x14ac:dyDescent="0.6">
      <c r="A903" s="218"/>
      <c r="B903" s="36"/>
      <c r="C903" s="4"/>
      <c r="D903" s="4"/>
      <c r="E903" s="4"/>
      <c r="F903" s="11"/>
      <c r="G903" s="227"/>
      <c r="H903" s="169"/>
      <c r="I903" s="165"/>
      <c r="J903" s="216"/>
      <c r="K903" s="216"/>
      <c r="M903" s="216"/>
    </row>
    <row r="904" spans="1:13" x14ac:dyDescent="0.6">
      <c r="A904" s="218"/>
      <c r="B904" s="36"/>
      <c r="C904" s="4"/>
      <c r="D904" s="4"/>
      <c r="E904" s="4"/>
      <c r="F904" s="11"/>
      <c r="G904" s="227"/>
      <c r="H904" s="169"/>
      <c r="I904" s="165"/>
      <c r="J904" s="216"/>
      <c r="K904" s="216"/>
      <c r="M904" s="216"/>
    </row>
    <row r="905" spans="1:13" x14ac:dyDescent="0.6">
      <c r="A905" s="218"/>
      <c r="B905" s="36"/>
      <c r="C905" s="4"/>
      <c r="D905" s="4"/>
      <c r="E905" s="4"/>
      <c r="F905" s="11"/>
      <c r="G905" s="227"/>
      <c r="H905" s="169"/>
      <c r="I905" s="165"/>
      <c r="J905" s="216"/>
      <c r="K905" s="216"/>
      <c r="M905" s="216"/>
    </row>
    <row r="906" spans="1:13" x14ac:dyDescent="0.6">
      <c r="A906" s="218"/>
      <c r="B906" s="36"/>
      <c r="C906" s="4"/>
      <c r="D906" s="4"/>
      <c r="E906" s="4"/>
      <c r="F906" s="11"/>
      <c r="G906" s="227"/>
      <c r="H906" s="169"/>
      <c r="I906" s="165"/>
      <c r="J906" s="216"/>
      <c r="K906" s="216"/>
      <c r="M906" s="216"/>
    </row>
    <row r="907" spans="1:13" x14ac:dyDescent="0.6">
      <c r="A907" s="218"/>
      <c r="B907" s="36"/>
      <c r="C907" s="4"/>
      <c r="D907" s="4"/>
      <c r="E907" s="4"/>
      <c r="F907" s="11"/>
      <c r="G907" s="227"/>
      <c r="H907" s="169"/>
      <c r="I907" s="165"/>
      <c r="J907" s="216"/>
      <c r="K907" s="216"/>
      <c r="M907" s="216"/>
    </row>
    <row r="908" spans="1:13" x14ac:dyDescent="0.6">
      <c r="A908" s="218"/>
      <c r="B908" s="36"/>
      <c r="C908" s="4"/>
      <c r="D908" s="4"/>
      <c r="E908" s="4"/>
      <c r="F908" s="11"/>
      <c r="G908" s="227"/>
      <c r="H908" s="169"/>
      <c r="I908" s="165"/>
      <c r="J908" s="216"/>
      <c r="K908" s="216"/>
      <c r="M908" s="216"/>
    </row>
    <row r="909" spans="1:13" x14ac:dyDescent="0.6">
      <c r="A909" s="218"/>
      <c r="B909" s="36"/>
      <c r="C909" s="4"/>
      <c r="D909" s="4"/>
      <c r="E909" s="4"/>
      <c r="F909" s="11"/>
      <c r="G909" s="227"/>
      <c r="H909" s="169"/>
      <c r="I909" s="165"/>
      <c r="J909" s="216"/>
      <c r="K909" s="216"/>
      <c r="M909" s="216"/>
    </row>
    <row r="910" spans="1:13" x14ac:dyDescent="0.6">
      <c r="A910" s="218"/>
      <c r="B910" s="36"/>
      <c r="C910" s="4"/>
      <c r="D910" s="4"/>
      <c r="E910" s="4"/>
      <c r="F910" s="11"/>
      <c r="G910" s="227"/>
      <c r="H910" s="169"/>
      <c r="I910" s="165"/>
      <c r="J910" s="216"/>
      <c r="K910" s="216"/>
      <c r="M910" s="216"/>
    </row>
    <row r="911" spans="1:13" x14ac:dyDescent="0.6">
      <c r="A911" s="218"/>
      <c r="B911" s="36"/>
      <c r="C911" s="4"/>
      <c r="D911" s="4"/>
      <c r="E911" s="4"/>
      <c r="F911" s="11"/>
      <c r="G911" s="227"/>
      <c r="H911" s="169"/>
      <c r="I911" s="165"/>
      <c r="J911" s="216"/>
      <c r="K911" s="216"/>
      <c r="M911" s="216"/>
    </row>
    <row r="912" spans="1:13" x14ac:dyDescent="0.6">
      <c r="A912" s="218"/>
      <c r="B912" s="36"/>
      <c r="C912" s="4"/>
      <c r="D912" s="4"/>
      <c r="E912" s="4"/>
      <c r="F912" s="11"/>
      <c r="G912" s="227"/>
      <c r="H912" s="169"/>
      <c r="I912" s="165"/>
      <c r="J912" s="216"/>
      <c r="K912" s="216"/>
      <c r="M912" s="216"/>
    </row>
    <row r="913" spans="1:13" x14ac:dyDescent="0.6">
      <c r="A913" s="218"/>
      <c r="B913" s="36"/>
      <c r="C913" s="4"/>
      <c r="D913" s="4"/>
      <c r="E913" s="4"/>
      <c r="F913" s="11"/>
      <c r="G913" s="227"/>
      <c r="H913" s="169"/>
      <c r="I913" s="165"/>
      <c r="J913" s="216"/>
      <c r="K913" s="216"/>
      <c r="M913" s="216"/>
    </row>
    <row r="914" spans="1:13" x14ac:dyDescent="0.6">
      <c r="A914" s="218"/>
      <c r="B914" s="36"/>
      <c r="C914" s="4"/>
      <c r="D914" s="4"/>
      <c r="E914" s="4"/>
      <c r="F914" s="11"/>
      <c r="G914" s="227"/>
      <c r="H914" s="169"/>
      <c r="I914" s="165"/>
      <c r="J914" s="216"/>
      <c r="K914" s="216"/>
      <c r="M914" s="216"/>
    </row>
    <row r="915" spans="1:13" x14ac:dyDescent="0.6">
      <c r="A915" s="218"/>
      <c r="B915" s="36"/>
      <c r="C915" s="4"/>
      <c r="D915" s="4"/>
      <c r="E915" s="4"/>
      <c r="F915" s="11"/>
      <c r="G915" s="227"/>
      <c r="H915" s="169"/>
      <c r="I915" s="165"/>
      <c r="J915" s="216"/>
      <c r="K915" s="216"/>
      <c r="M915" s="216"/>
    </row>
    <row r="916" spans="1:13" x14ac:dyDescent="0.6">
      <c r="A916" s="218"/>
      <c r="B916" s="36"/>
      <c r="C916" s="4"/>
      <c r="D916" s="4"/>
      <c r="E916" s="4"/>
      <c r="F916" s="11"/>
      <c r="G916" s="227"/>
      <c r="H916" s="169"/>
      <c r="I916" s="165"/>
      <c r="J916" s="216"/>
      <c r="K916" s="216"/>
      <c r="M916" s="216"/>
    </row>
    <row r="917" spans="1:13" x14ac:dyDescent="0.6">
      <c r="A917" s="218"/>
      <c r="B917" s="36"/>
      <c r="C917" s="4"/>
      <c r="D917" s="4"/>
      <c r="E917" s="4"/>
      <c r="F917" s="11"/>
      <c r="G917" s="227"/>
      <c r="H917" s="169"/>
      <c r="I917" s="165"/>
      <c r="J917" s="216"/>
      <c r="K917" s="216"/>
      <c r="M917" s="216"/>
    </row>
    <row r="918" spans="1:13" x14ac:dyDescent="0.6">
      <c r="A918" s="218"/>
      <c r="B918" s="36"/>
      <c r="C918" s="4"/>
      <c r="D918" s="4"/>
      <c r="E918" s="4"/>
      <c r="F918" s="11"/>
      <c r="G918" s="227"/>
      <c r="H918" s="169"/>
      <c r="I918" s="165"/>
      <c r="J918" s="216"/>
      <c r="K918" s="216"/>
      <c r="M918" s="216"/>
    </row>
    <row r="919" spans="1:13" x14ac:dyDescent="0.6">
      <c r="A919" s="218"/>
      <c r="B919" s="36"/>
      <c r="C919" s="4"/>
      <c r="D919" s="4"/>
      <c r="E919" s="4"/>
      <c r="F919" s="11"/>
      <c r="G919" s="227"/>
      <c r="H919" s="169"/>
      <c r="I919" s="165"/>
      <c r="J919" s="216"/>
      <c r="K919" s="216"/>
      <c r="M919" s="216"/>
    </row>
    <row r="920" spans="1:13" x14ac:dyDescent="0.6">
      <c r="A920" s="218"/>
      <c r="B920" s="36"/>
      <c r="C920" s="4"/>
      <c r="D920" s="4"/>
      <c r="E920" s="4"/>
      <c r="F920" s="11"/>
      <c r="G920" s="227"/>
      <c r="H920" s="169"/>
      <c r="I920" s="165"/>
      <c r="J920" s="216"/>
      <c r="K920" s="216"/>
      <c r="M920" s="216"/>
    </row>
    <row r="921" spans="1:13" x14ac:dyDescent="0.6">
      <c r="A921" s="218"/>
      <c r="B921" s="36"/>
      <c r="C921" s="4"/>
      <c r="D921" s="4"/>
      <c r="E921" s="4"/>
      <c r="F921" s="11"/>
      <c r="G921" s="227"/>
      <c r="H921" s="169"/>
      <c r="I921" s="165"/>
      <c r="J921" s="216"/>
      <c r="K921" s="216"/>
      <c r="M921" s="216"/>
    </row>
    <row r="922" spans="1:13" x14ac:dyDescent="0.6">
      <c r="A922" s="218"/>
      <c r="B922" s="36"/>
      <c r="C922" s="4"/>
      <c r="D922" s="4"/>
      <c r="E922" s="4"/>
      <c r="F922" s="11"/>
      <c r="G922" s="227"/>
      <c r="H922" s="169"/>
      <c r="I922" s="165"/>
      <c r="J922" s="216"/>
      <c r="K922" s="216"/>
      <c r="M922" s="216"/>
    </row>
    <row r="923" spans="1:13" x14ac:dyDescent="0.6">
      <c r="A923" s="218"/>
      <c r="B923" s="36"/>
      <c r="C923" s="4"/>
      <c r="D923" s="4"/>
      <c r="E923" s="4"/>
      <c r="F923" s="11"/>
      <c r="G923" s="227"/>
      <c r="H923" s="169"/>
      <c r="I923" s="165"/>
      <c r="J923" s="216"/>
      <c r="K923" s="216"/>
      <c r="M923" s="216"/>
    </row>
    <row r="924" spans="1:13" x14ac:dyDescent="0.6">
      <c r="A924" s="218"/>
      <c r="B924" s="36"/>
      <c r="C924" s="4"/>
      <c r="D924" s="4"/>
      <c r="E924" s="4"/>
      <c r="F924" s="11"/>
      <c r="G924" s="227"/>
      <c r="H924" s="169"/>
      <c r="I924" s="165"/>
      <c r="J924" s="216"/>
      <c r="K924" s="216"/>
      <c r="M924" s="216"/>
    </row>
    <row r="925" spans="1:13" x14ac:dyDescent="0.6">
      <c r="A925" s="218"/>
      <c r="B925" s="36"/>
      <c r="C925" s="4"/>
      <c r="D925" s="4"/>
      <c r="E925" s="4"/>
      <c r="F925" s="11"/>
      <c r="G925" s="227"/>
      <c r="H925" s="169"/>
      <c r="I925" s="165"/>
      <c r="J925" s="216"/>
      <c r="K925" s="216"/>
      <c r="M925" s="216"/>
    </row>
    <row r="926" spans="1:13" x14ac:dyDescent="0.6">
      <c r="A926" s="218"/>
      <c r="B926" s="36"/>
      <c r="C926" s="4"/>
      <c r="D926" s="4"/>
      <c r="E926" s="4"/>
      <c r="F926" s="11"/>
      <c r="G926" s="227"/>
      <c r="H926" s="169"/>
      <c r="I926" s="165"/>
      <c r="J926" s="216"/>
      <c r="K926" s="216"/>
      <c r="M926" s="216"/>
    </row>
    <row r="927" spans="1:13" x14ac:dyDescent="0.6">
      <c r="A927" s="218"/>
      <c r="B927" s="36"/>
      <c r="C927" s="4"/>
      <c r="D927" s="4"/>
      <c r="E927" s="4"/>
      <c r="F927" s="11"/>
      <c r="G927" s="227"/>
      <c r="H927" s="169"/>
      <c r="I927" s="165"/>
      <c r="J927" s="216"/>
      <c r="K927" s="216"/>
      <c r="M927" s="216"/>
    </row>
    <row r="928" spans="1:13" x14ac:dyDescent="0.6">
      <c r="A928" s="218"/>
      <c r="B928" s="36"/>
      <c r="C928" s="4"/>
      <c r="D928" s="4"/>
      <c r="E928" s="4"/>
      <c r="F928" s="11"/>
      <c r="G928" s="227"/>
      <c r="H928" s="169"/>
      <c r="I928" s="165"/>
      <c r="J928" s="216"/>
      <c r="K928" s="216"/>
      <c r="M928" s="216"/>
    </row>
    <row r="929" spans="1:13" x14ac:dyDescent="0.6">
      <c r="A929" s="218"/>
      <c r="B929" s="36"/>
      <c r="C929" s="4"/>
      <c r="D929" s="4"/>
      <c r="E929" s="4"/>
      <c r="F929" s="11"/>
      <c r="G929" s="227"/>
      <c r="H929" s="169"/>
      <c r="I929" s="165"/>
      <c r="J929" s="216"/>
      <c r="K929" s="216"/>
      <c r="M929" s="216"/>
    </row>
    <row r="930" spans="1:13" x14ac:dyDescent="0.6">
      <c r="A930" s="218"/>
      <c r="B930" s="36"/>
      <c r="C930" s="4"/>
      <c r="D930" s="4"/>
      <c r="E930" s="4"/>
      <c r="F930" s="11"/>
      <c r="G930" s="227"/>
      <c r="H930" s="169"/>
      <c r="I930" s="165"/>
      <c r="J930" s="216"/>
      <c r="K930" s="216"/>
      <c r="M930" s="216"/>
    </row>
    <row r="931" spans="1:13" x14ac:dyDescent="0.6">
      <c r="A931" s="218"/>
      <c r="B931" s="36"/>
      <c r="C931" s="4"/>
      <c r="D931" s="4"/>
      <c r="E931" s="4"/>
      <c r="F931" s="11"/>
      <c r="G931" s="227"/>
      <c r="H931" s="169"/>
      <c r="I931" s="165"/>
      <c r="J931" s="216"/>
      <c r="K931" s="216"/>
      <c r="M931" s="216"/>
    </row>
    <row r="932" spans="1:13" x14ac:dyDescent="0.6">
      <c r="A932" s="218"/>
      <c r="B932" s="36"/>
      <c r="C932" s="4"/>
      <c r="D932" s="4"/>
      <c r="E932" s="4"/>
      <c r="F932" s="11"/>
      <c r="G932" s="227"/>
      <c r="H932" s="169"/>
      <c r="I932" s="165"/>
      <c r="J932" s="216"/>
      <c r="K932" s="216"/>
      <c r="M932" s="216"/>
    </row>
    <row r="933" spans="1:13" x14ac:dyDescent="0.6">
      <c r="A933" s="218"/>
      <c r="B933" s="36"/>
      <c r="C933" s="4"/>
      <c r="D933" s="4"/>
      <c r="E933" s="4"/>
      <c r="F933" s="11"/>
      <c r="G933" s="227"/>
      <c r="H933" s="169"/>
      <c r="I933" s="165"/>
      <c r="J933" s="216"/>
      <c r="K933" s="216"/>
      <c r="M933" s="216"/>
    </row>
    <row r="934" spans="1:13" x14ac:dyDescent="0.6">
      <c r="A934" s="218"/>
      <c r="B934" s="36"/>
      <c r="C934" s="4"/>
      <c r="D934" s="4"/>
      <c r="E934" s="4"/>
      <c r="F934" s="11"/>
      <c r="G934" s="227"/>
      <c r="H934" s="169"/>
      <c r="I934" s="165"/>
      <c r="J934" s="216"/>
      <c r="K934" s="216"/>
      <c r="M934" s="216"/>
    </row>
    <row r="935" spans="1:13" x14ac:dyDescent="0.6">
      <c r="A935" s="218"/>
      <c r="B935" s="36"/>
      <c r="C935" s="4"/>
      <c r="D935" s="4"/>
      <c r="E935" s="4"/>
      <c r="F935" s="11"/>
      <c r="G935" s="227"/>
      <c r="H935" s="169"/>
      <c r="I935" s="165"/>
      <c r="J935" s="216"/>
      <c r="K935" s="216"/>
      <c r="M935" s="216"/>
    </row>
    <row r="936" spans="1:13" x14ac:dyDescent="0.6">
      <c r="A936" s="218"/>
      <c r="B936" s="36"/>
      <c r="C936" s="4"/>
      <c r="D936" s="4"/>
      <c r="E936" s="4"/>
      <c r="F936" s="11"/>
      <c r="G936" s="227"/>
      <c r="H936" s="169"/>
      <c r="I936" s="165"/>
      <c r="J936" s="216"/>
      <c r="K936" s="216"/>
      <c r="M936" s="216"/>
    </row>
    <row r="937" spans="1:13" x14ac:dyDescent="0.6">
      <c r="A937" s="218"/>
      <c r="B937" s="36"/>
      <c r="C937" s="4"/>
      <c r="D937" s="4"/>
      <c r="E937" s="4"/>
      <c r="F937" s="11"/>
      <c r="G937" s="227"/>
      <c r="H937" s="169"/>
      <c r="I937" s="165"/>
      <c r="J937" s="216"/>
      <c r="K937" s="216"/>
      <c r="M937" s="216"/>
    </row>
    <row r="938" spans="1:13" x14ac:dyDescent="0.6">
      <c r="A938" s="218"/>
      <c r="B938" s="36"/>
      <c r="C938" s="4"/>
      <c r="D938" s="4"/>
      <c r="E938" s="4"/>
      <c r="F938" s="11"/>
      <c r="G938" s="227"/>
      <c r="H938" s="169"/>
      <c r="I938" s="165"/>
      <c r="J938" s="216"/>
      <c r="K938" s="216"/>
      <c r="M938" s="216"/>
    </row>
    <row r="939" spans="1:13" x14ac:dyDescent="0.6">
      <c r="A939" s="218"/>
      <c r="B939" s="36"/>
      <c r="C939" s="4"/>
      <c r="D939" s="4"/>
      <c r="E939" s="4"/>
      <c r="F939" s="11"/>
      <c r="G939" s="227"/>
      <c r="H939" s="169"/>
      <c r="I939" s="165"/>
      <c r="J939" s="216"/>
      <c r="K939" s="216"/>
      <c r="M939" s="216"/>
    </row>
    <row r="940" spans="1:13" x14ac:dyDescent="0.6">
      <c r="A940" s="218"/>
      <c r="B940" s="36"/>
      <c r="C940" s="4"/>
      <c r="D940" s="4"/>
      <c r="E940" s="4"/>
      <c r="F940" s="11"/>
      <c r="G940" s="227"/>
      <c r="H940" s="169"/>
      <c r="I940" s="165"/>
      <c r="J940" s="216"/>
      <c r="K940" s="216"/>
      <c r="M940" s="216"/>
    </row>
    <row r="941" spans="1:13" x14ac:dyDescent="0.6">
      <c r="A941" s="218"/>
      <c r="B941" s="36"/>
      <c r="C941" s="4"/>
      <c r="D941" s="4"/>
      <c r="E941" s="4"/>
      <c r="F941" s="11"/>
      <c r="G941" s="227"/>
      <c r="H941" s="169"/>
      <c r="I941" s="165"/>
      <c r="J941" s="216"/>
      <c r="K941" s="216"/>
      <c r="M941" s="216"/>
    </row>
    <row r="942" spans="1:13" x14ac:dyDescent="0.6">
      <c r="A942" s="218"/>
      <c r="B942" s="36"/>
      <c r="C942" s="4"/>
      <c r="D942" s="4"/>
      <c r="E942" s="4"/>
      <c r="F942" s="11"/>
      <c r="G942" s="227"/>
      <c r="H942" s="169"/>
      <c r="I942" s="165"/>
      <c r="J942" s="216"/>
      <c r="K942" s="216"/>
      <c r="M942" s="216"/>
    </row>
    <row r="943" spans="1:13" x14ac:dyDescent="0.6">
      <c r="A943" s="218"/>
      <c r="B943" s="36"/>
      <c r="C943" s="4"/>
      <c r="D943" s="4"/>
      <c r="E943" s="4"/>
      <c r="F943" s="11"/>
      <c r="G943" s="227"/>
      <c r="H943" s="169"/>
      <c r="I943" s="165"/>
      <c r="J943" s="216"/>
      <c r="K943" s="216"/>
      <c r="M943" s="216"/>
    </row>
    <row r="944" spans="1:13" x14ac:dyDescent="0.6">
      <c r="A944" s="218"/>
      <c r="B944" s="36"/>
      <c r="C944" s="4"/>
      <c r="D944" s="4"/>
      <c r="E944" s="4"/>
      <c r="F944" s="11"/>
      <c r="G944" s="227"/>
      <c r="H944" s="169"/>
      <c r="I944" s="165"/>
      <c r="J944" s="216"/>
      <c r="K944" s="216"/>
      <c r="M944" s="216"/>
    </row>
    <row r="945" spans="1:13" x14ac:dyDescent="0.6">
      <c r="A945" s="218"/>
      <c r="B945" s="36"/>
      <c r="C945" s="4"/>
      <c r="D945" s="4"/>
      <c r="E945" s="4"/>
      <c r="F945" s="11"/>
      <c r="G945" s="227"/>
      <c r="H945" s="169"/>
      <c r="I945" s="165"/>
      <c r="J945" s="216"/>
      <c r="K945" s="216"/>
      <c r="M945" s="216"/>
    </row>
    <row r="946" spans="1:13" x14ac:dyDescent="0.6">
      <c r="A946" s="218"/>
      <c r="B946" s="36"/>
      <c r="C946" s="4"/>
      <c r="D946" s="4"/>
      <c r="E946" s="4"/>
      <c r="F946" s="11"/>
      <c r="G946" s="227"/>
      <c r="H946" s="169"/>
      <c r="I946" s="165"/>
      <c r="J946" s="216"/>
      <c r="K946" s="216"/>
      <c r="M946" s="216"/>
    </row>
    <row r="947" spans="1:13" x14ac:dyDescent="0.6">
      <c r="A947" s="218"/>
      <c r="B947" s="36"/>
      <c r="C947" s="4"/>
      <c r="D947" s="4"/>
      <c r="E947" s="4"/>
      <c r="F947" s="11"/>
      <c r="G947" s="227"/>
      <c r="H947" s="169"/>
      <c r="I947" s="165"/>
      <c r="J947" s="216"/>
      <c r="K947" s="216"/>
      <c r="M947" s="216"/>
    </row>
    <row r="948" spans="1:13" x14ac:dyDescent="0.6">
      <c r="A948" s="218"/>
      <c r="B948" s="36"/>
      <c r="C948" s="4"/>
      <c r="D948" s="4"/>
      <c r="E948" s="4"/>
      <c r="F948" s="11"/>
      <c r="G948" s="227"/>
      <c r="H948" s="169"/>
      <c r="I948" s="165"/>
      <c r="J948" s="216"/>
      <c r="K948" s="216"/>
      <c r="M948" s="216"/>
    </row>
    <row r="949" spans="1:13" x14ac:dyDescent="0.6">
      <c r="A949" s="218"/>
      <c r="B949" s="36"/>
      <c r="C949" s="4"/>
      <c r="D949" s="4"/>
      <c r="E949" s="4"/>
      <c r="F949" s="11"/>
      <c r="G949" s="227"/>
      <c r="H949" s="169"/>
      <c r="I949" s="165"/>
      <c r="J949" s="216"/>
      <c r="K949" s="216"/>
      <c r="M949" s="216"/>
    </row>
    <row r="950" spans="1:13" x14ac:dyDescent="0.6">
      <c r="A950" s="218"/>
      <c r="B950" s="36"/>
      <c r="C950" s="4"/>
      <c r="D950" s="4"/>
      <c r="E950" s="4"/>
      <c r="F950" s="11"/>
      <c r="G950" s="227"/>
      <c r="H950" s="169"/>
      <c r="I950" s="165"/>
      <c r="J950" s="216"/>
      <c r="K950" s="216"/>
      <c r="M950" s="216"/>
    </row>
    <row r="951" spans="1:13" x14ac:dyDescent="0.6">
      <c r="A951" s="218"/>
      <c r="B951" s="36"/>
      <c r="C951" s="4"/>
      <c r="D951" s="4"/>
      <c r="E951" s="4"/>
      <c r="F951" s="11"/>
      <c r="G951" s="227"/>
      <c r="H951" s="169"/>
      <c r="I951" s="165"/>
      <c r="J951" s="216"/>
      <c r="K951" s="216"/>
      <c r="M951" s="216"/>
    </row>
    <row r="952" spans="1:13" x14ac:dyDescent="0.6">
      <c r="A952" s="218"/>
      <c r="B952" s="36"/>
      <c r="C952" s="4"/>
      <c r="D952" s="4"/>
      <c r="E952" s="4"/>
      <c r="F952" s="11"/>
      <c r="G952" s="227"/>
      <c r="H952" s="169"/>
      <c r="I952" s="165"/>
      <c r="J952" s="216"/>
      <c r="K952" s="216"/>
      <c r="M952" s="216"/>
    </row>
    <row r="953" spans="1:13" x14ac:dyDescent="0.6">
      <c r="A953" s="218"/>
      <c r="B953" s="36"/>
      <c r="C953" s="4"/>
      <c r="D953" s="4"/>
      <c r="E953" s="4"/>
      <c r="F953" s="11"/>
      <c r="G953" s="227"/>
      <c r="H953" s="169"/>
      <c r="I953" s="165"/>
      <c r="J953" s="216"/>
      <c r="K953" s="216"/>
      <c r="M953" s="216"/>
    </row>
    <row r="954" spans="1:13" x14ac:dyDescent="0.6">
      <c r="A954" s="218"/>
      <c r="B954" s="36"/>
      <c r="C954" s="4"/>
      <c r="D954" s="4"/>
      <c r="E954" s="4"/>
      <c r="F954" s="11"/>
      <c r="G954" s="227"/>
      <c r="H954" s="169"/>
      <c r="I954" s="165"/>
      <c r="J954" s="216"/>
      <c r="K954" s="216"/>
      <c r="M954" s="216"/>
    </row>
    <row r="955" spans="1:13" x14ac:dyDescent="0.6">
      <c r="A955" s="218"/>
      <c r="B955" s="36"/>
      <c r="C955" s="4"/>
      <c r="D955" s="4"/>
      <c r="E955" s="4"/>
      <c r="F955" s="11"/>
      <c r="G955" s="227"/>
      <c r="H955" s="169"/>
      <c r="I955" s="165"/>
      <c r="J955" s="216"/>
      <c r="K955" s="216"/>
      <c r="M955" s="216"/>
    </row>
    <row r="956" spans="1:13" x14ac:dyDescent="0.6">
      <c r="A956" s="218"/>
      <c r="B956" s="36"/>
      <c r="C956" s="4"/>
      <c r="D956" s="4"/>
      <c r="E956" s="4"/>
      <c r="F956" s="11"/>
      <c r="G956" s="227"/>
      <c r="H956" s="169"/>
      <c r="I956" s="165"/>
      <c r="J956" s="216"/>
      <c r="K956" s="216"/>
      <c r="M956" s="216"/>
    </row>
    <row r="957" spans="1:13" x14ac:dyDescent="0.6">
      <c r="A957" s="218"/>
      <c r="B957" s="36"/>
      <c r="C957" s="4"/>
      <c r="D957" s="4"/>
      <c r="E957" s="4"/>
      <c r="F957" s="11"/>
      <c r="G957" s="227"/>
      <c r="H957" s="169"/>
      <c r="I957" s="165"/>
      <c r="J957" s="216"/>
      <c r="K957" s="216"/>
      <c r="M957" s="216"/>
    </row>
    <row r="958" spans="1:13" x14ac:dyDescent="0.6">
      <c r="A958" s="218"/>
      <c r="B958" s="36"/>
      <c r="C958" s="4"/>
      <c r="D958" s="4"/>
      <c r="E958" s="4"/>
      <c r="F958" s="11"/>
      <c r="G958" s="227"/>
      <c r="H958" s="169"/>
      <c r="I958" s="165"/>
      <c r="J958" s="216"/>
      <c r="K958" s="216"/>
      <c r="M958" s="216"/>
    </row>
    <row r="959" spans="1:13" x14ac:dyDescent="0.6">
      <c r="A959" s="218"/>
      <c r="B959" s="36"/>
      <c r="C959" s="4"/>
      <c r="D959" s="4"/>
      <c r="E959" s="4"/>
      <c r="F959" s="11"/>
      <c r="G959" s="227"/>
      <c r="H959" s="169"/>
      <c r="I959" s="165"/>
      <c r="J959" s="216"/>
      <c r="K959" s="216"/>
      <c r="M959" s="216"/>
    </row>
    <row r="960" spans="1:13" x14ac:dyDescent="0.6">
      <c r="A960" s="218"/>
      <c r="B960" s="36"/>
      <c r="C960" s="4"/>
      <c r="D960" s="4"/>
      <c r="E960" s="4"/>
      <c r="F960" s="11"/>
      <c r="G960" s="227"/>
      <c r="H960" s="169"/>
      <c r="I960" s="165"/>
      <c r="J960" s="216"/>
      <c r="K960" s="216"/>
      <c r="M960" s="216"/>
    </row>
    <row r="961" spans="1:13" x14ac:dyDescent="0.6">
      <c r="A961" s="218"/>
      <c r="B961" s="36"/>
      <c r="C961" s="4"/>
      <c r="D961" s="4"/>
      <c r="E961" s="4"/>
      <c r="F961" s="11"/>
      <c r="G961" s="227"/>
      <c r="H961" s="169"/>
      <c r="I961" s="165"/>
      <c r="J961" s="216"/>
      <c r="K961" s="216"/>
      <c r="M961" s="216"/>
    </row>
    <row r="962" spans="1:13" x14ac:dyDescent="0.6">
      <c r="A962" s="218"/>
      <c r="B962" s="36"/>
      <c r="C962" s="4"/>
      <c r="D962" s="4"/>
      <c r="E962" s="4"/>
      <c r="F962" s="11"/>
      <c r="G962" s="227"/>
      <c r="H962" s="169"/>
      <c r="I962" s="165"/>
      <c r="J962" s="216"/>
      <c r="K962" s="216"/>
      <c r="M962" s="216"/>
    </row>
    <row r="963" spans="1:13" x14ac:dyDescent="0.6">
      <c r="A963" s="218"/>
      <c r="B963" s="36"/>
      <c r="C963" s="4"/>
      <c r="D963" s="4"/>
      <c r="E963" s="4"/>
      <c r="F963" s="11"/>
      <c r="G963" s="227"/>
      <c r="H963" s="169"/>
      <c r="I963" s="165"/>
      <c r="J963" s="216"/>
      <c r="K963" s="216"/>
      <c r="M963" s="216"/>
    </row>
    <row r="964" spans="1:13" x14ac:dyDescent="0.6">
      <c r="A964" s="218"/>
      <c r="B964" s="36"/>
      <c r="C964" s="4"/>
      <c r="D964" s="4"/>
      <c r="E964" s="4"/>
      <c r="F964" s="11"/>
      <c r="G964" s="227"/>
      <c r="H964" s="169"/>
      <c r="I964" s="165"/>
      <c r="J964" s="216"/>
      <c r="K964" s="216"/>
      <c r="M964" s="216"/>
    </row>
    <row r="965" spans="1:13" x14ac:dyDescent="0.6">
      <c r="A965" s="218"/>
      <c r="B965" s="36"/>
      <c r="C965" s="4"/>
      <c r="D965" s="4"/>
      <c r="E965" s="4"/>
      <c r="F965" s="11"/>
      <c r="G965" s="227"/>
      <c r="H965" s="169"/>
      <c r="I965" s="165"/>
      <c r="J965" s="216"/>
      <c r="K965" s="216"/>
      <c r="M965" s="216"/>
    </row>
    <row r="966" spans="1:13" x14ac:dyDescent="0.6">
      <c r="A966" s="218"/>
      <c r="B966" s="36"/>
      <c r="C966" s="4"/>
      <c r="D966" s="4"/>
      <c r="E966" s="4"/>
      <c r="F966" s="11"/>
      <c r="G966" s="227"/>
      <c r="H966" s="169"/>
      <c r="I966" s="165"/>
      <c r="J966" s="216"/>
      <c r="K966" s="216"/>
      <c r="M966" s="216"/>
    </row>
    <row r="967" spans="1:13" x14ac:dyDescent="0.6">
      <c r="A967" s="218"/>
      <c r="B967" s="36"/>
      <c r="C967" s="4"/>
      <c r="D967" s="4"/>
      <c r="E967" s="4"/>
      <c r="F967" s="11"/>
      <c r="G967" s="227"/>
      <c r="H967" s="169"/>
      <c r="I967" s="165"/>
      <c r="J967" s="216"/>
      <c r="K967" s="216"/>
      <c r="M967" s="216"/>
    </row>
    <row r="968" spans="1:13" x14ac:dyDescent="0.6">
      <c r="A968" s="218"/>
      <c r="B968" s="36"/>
      <c r="C968" s="4"/>
      <c r="D968" s="4"/>
      <c r="E968" s="4"/>
      <c r="F968" s="11"/>
      <c r="G968" s="227"/>
      <c r="H968" s="169"/>
      <c r="I968" s="165"/>
      <c r="J968" s="216"/>
      <c r="K968" s="216"/>
      <c r="M968" s="216"/>
    </row>
    <row r="969" spans="1:13" x14ac:dyDescent="0.6">
      <c r="A969" s="218"/>
      <c r="B969" s="36"/>
      <c r="C969" s="4"/>
      <c r="D969" s="4"/>
      <c r="E969" s="4"/>
      <c r="F969" s="11"/>
      <c r="G969" s="227"/>
      <c r="H969" s="169"/>
      <c r="I969" s="165"/>
      <c r="J969" s="216"/>
      <c r="K969" s="216"/>
      <c r="M969" s="216"/>
    </row>
    <row r="970" spans="1:13" x14ac:dyDescent="0.6">
      <c r="A970" s="218"/>
      <c r="B970" s="36"/>
      <c r="C970" s="4"/>
      <c r="D970" s="4"/>
      <c r="E970" s="4"/>
      <c r="F970" s="11"/>
      <c r="G970" s="227"/>
      <c r="H970" s="169"/>
      <c r="I970" s="165"/>
      <c r="J970" s="216"/>
      <c r="K970" s="216"/>
      <c r="M970" s="216"/>
    </row>
    <row r="971" spans="1:13" x14ac:dyDescent="0.6">
      <c r="A971" s="218"/>
      <c r="B971" s="36"/>
      <c r="C971" s="4"/>
      <c r="D971" s="4"/>
      <c r="E971" s="4"/>
      <c r="F971" s="11"/>
      <c r="G971" s="227"/>
      <c r="H971" s="169"/>
      <c r="I971" s="165"/>
      <c r="J971" s="216"/>
      <c r="K971" s="216"/>
      <c r="M971" s="216"/>
    </row>
    <row r="972" spans="1:13" x14ac:dyDescent="0.6">
      <c r="A972" s="218"/>
      <c r="B972" s="36"/>
      <c r="C972" s="4"/>
      <c r="D972" s="4"/>
      <c r="E972" s="4"/>
      <c r="F972" s="11"/>
      <c r="G972" s="227"/>
      <c r="H972" s="169"/>
      <c r="I972" s="165"/>
      <c r="J972" s="216"/>
      <c r="K972" s="216"/>
      <c r="M972" s="216"/>
    </row>
    <row r="973" spans="1:13" x14ac:dyDescent="0.6">
      <c r="A973" s="218"/>
      <c r="B973" s="36"/>
      <c r="C973" s="4"/>
      <c r="D973" s="4"/>
      <c r="E973" s="4"/>
      <c r="F973" s="11"/>
      <c r="G973" s="227"/>
      <c r="H973" s="169"/>
      <c r="I973" s="165"/>
      <c r="J973" s="216"/>
      <c r="K973" s="216"/>
      <c r="M973" s="216"/>
    </row>
    <row r="974" spans="1:13" x14ac:dyDescent="0.6">
      <c r="A974" s="218"/>
      <c r="B974" s="36"/>
      <c r="C974" s="4"/>
      <c r="D974" s="4"/>
      <c r="E974" s="4"/>
      <c r="F974" s="11"/>
      <c r="G974" s="227"/>
      <c r="H974" s="169"/>
      <c r="I974" s="165"/>
      <c r="J974" s="216"/>
      <c r="K974" s="216"/>
      <c r="M974" s="216"/>
    </row>
    <row r="975" spans="1:13" x14ac:dyDescent="0.6">
      <c r="A975" s="218"/>
      <c r="B975" s="36"/>
      <c r="C975" s="4"/>
      <c r="D975" s="4"/>
      <c r="E975" s="4"/>
      <c r="F975" s="11"/>
      <c r="G975" s="227"/>
      <c r="H975" s="169"/>
      <c r="I975" s="165"/>
      <c r="J975" s="216"/>
      <c r="K975" s="216"/>
      <c r="M975" s="216"/>
    </row>
    <row r="976" spans="1:13" x14ac:dyDescent="0.6">
      <c r="A976" s="218"/>
      <c r="B976" s="36"/>
      <c r="C976" s="4"/>
      <c r="D976" s="4"/>
      <c r="E976" s="4"/>
      <c r="F976" s="11"/>
      <c r="G976" s="227"/>
      <c r="H976" s="169"/>
      <c r="I976" s="165"/>
      <c r="J976" s="216"/>
      <c r="K976" s="216"/>
      <c r="M976" s="216"/>
    </row>
    <row r="977" spans="1:13" x14ac:dyDescent="0.6">
      <c r="A977" s="218"/>
      <c r="B977" s="36"/>
      <c r="C977" s="4"/>
      <c r="D977" s="4"/>
      <c r="E977" s="4"/>
      <c r="F977" s="11"/>
      <c r="G977" s="227"/>
      <c r="H977" s="169"/>
      <c r="I977" s="165"/>
      <c r="J977" s="216"/>
      <c r="K977" s="216"/>
      <c r="M977" s="216"/>
    </row>
    <row r="978" spans="1:13" x14ac:dyDescent="0.6">
      <c r="A978" s="218"/>
      <c r="B978" s="36"/>
      <c r="C978" s="4"/>
      <c r="D978" s="4"/>
      <c r="E978" s="4"/>
      <c r="F978" s="11"/>
      <c r="G978" s="227"/>
      <c r="H978" s="169"/>
      <c r="I978" s="165"/>
      <c r="J978" s="216"/>
      <c r="K978" s="216"/>
      <c r="M978" s="216"/>
    </row>
    <row r="979" spans="1:13" x14ac:dyDescent="0.6">
      <c r="A979" s="218"/>
      <c r="B979" s="36"/>
      <c r="C979" s="4"/>
      <c r="D979" s="4"/>
      <c r="E979" s="4"/>
      <c r="F979" s="11"/>
      <c r="G979" s="227"/>
      <c r="H979" s="169"/>
      <c r="I979" s="165"/>
      <c r="J979" s="216"/>
      <c r="K979" s="216"/>
      <c r="M979" s="216"/>
    </row>
    <row r="980" spans="1:13" x14ac:dyDescent="0.6">
      <c r="A980" s="218"/>
      <c r="B980" s="36"/>
      <c r="C980" s="4"/>
      <c r="D980" s="4"/>
      <c r="E980" s="4"/>
      <c r="F980" s="11"/>
      <c r="G980" s="227"/>
      <c r="H980" s="169"/>
      <c r="I980" s="165"/>
      <c r="J980" s="216"/>
      <c r="K980" s="216"/>
      <c r="M980" s="216"/>
    </row>
    <row r="981" spans="1:13" x14ac:dyDescent="0.6">
      <c r="A981" s="218"/>
      <c r="B981" s="36"/>
      <c r="C981" s="4"/>
      <c r="D981" s="4"/>
      <c r="E981" s="4"/>
      <c r="F981" s="11"/>
      <c r="G981" s="227"/>
      <c r="H981" s="169"/>
      <c r="I981" s="165"/>
      <c r="J981" s="216"/>
      <c r="K981" s="216"/>
      <c r="M981" s="216"/>
    </row>
    <row r="982" spans="1:13" x14ac:dyDescent="0.6">
      <c r="A982" s="218"/>
      <c r="B982" s="36"/>
      <c r="C982" s="4"/>
      <c r="D982" s="4"/>
      <c r="E982" s="4"/>
      <c r="F982" s="11"/>
      <c r="G982" s="227"/>
      <c r="H982" s="169"/>
      <c r="I982" s="165"/>
      <c r="J982" s="216"/>
      <c r="K982" s="216"/>
      <c r="M982" s="216"/>
    </row>
    <row r="983" spans="1:13" x14ac:dyDescent="0.6">
      <c r="A983" s="218"/>
      <c r="B983" s="36"/>
      <c r="C983" s="4"/>
      <c r="D983" s="4"/>
      <c r="E983" s="4"/>
      <c r="F983" s="11"/>
      <c r="G983" s="227"/>
      <c r="H983" s="169"/>
      <c r="I983" s="165"/>
      <c r="J983" s="216"/>
      <c r="K983" s="216"/>
      <c r="M983" s="216"/>
    </row>
    <row r="984" spans="1:13" x14ac:dyDescent="0.6">
      <c r="A984" s="218"/>
      <c r="B984" s="36"/>
      <c r="C984" s="4"/>
      <c r="D984" s="4"/>
      <c r="E984" s="4"/>
      <c r="F984" s="11"/>
      <c r="G984" s="227"/>
      <c r="H984" s="169"/>
      <c r="I984" s="165"/>
      <c r="J984" s="216"/>
      <c r="K984" s="216"/>
      <c r="M984" s="216"/>
    </row>
    <row r="985" spans="1:13" x14ac:dyDescent="0.6">
      <c r="A985" s="218"/>
      <c r="B985" s="36"/>
      <c r="C985" s="4"/>
      <c r="D985" s="4"/>
      <c r="E985" s="4"/>
      <c r="F985" s="11"/>
      <c r="G985" s="227"/>
      <c r="H985" s="169"/>
      <c r="I985" s="165"/>
      <c r="J985" s="216"/>
      <c r="K985" s="216"/>
      <c r="M985" s="216"/>
    </row>
    <row r="986" spans="1:13" x14ac:dyDescent="0.6">
      <c r="A986" s="218"/>
      <c r="B986" s="36"/>
      <c r="C986" s="4"/>
      <c r="D986" s="4"/>
      <c r="E986" s="4"/>
      <c r="F986" s="11"/>
      <c r="G986" s="227"/>
      <c r="H986" s="169"/>
      <c r="I986" s="165"/>
      <c r="J986" s="216"/>
      <c r="K986" s="216"/>
      <c r="M986" s="216"/>
    </row>
    <row r="987" spans="1:13" x14ac:dyDescent="0.6">
      <c r="A987" s="218"/>
      <c r="B987" s="36"/>
      <c r="C987" s="4"/>
      <c r="D987" s="4"/>
      <c r="E987" s="4"/>
      <c r="F987" s="11"/>
      <c r="G987" s="227"/>
      <c r="H987" s="169"/>
      <c r="I987" s="165"/>
      <c r="J987" s="216"/>
      <c r="K987" s="216"/>
      <c r="M987" s="216"/>
    </row>
    <row r="988" spans="1:13" x14ac:dyDescent="0.6">
      <c r="A988" s="218"/>
      <c r="B988" s="36"/>
      <c r="C988" s="4"/>
      <c r="D988" s="4"/>
      <c r="E988" s="4"/>
      <c r="F988" s="11"/>
      <c r="G988" s="227"/>
      <c r="H988" s="169"/>
      <c r="I988" s="165"/>
      <c r="J988" s="216"/>
      <c r="K988" s="216"/>
      <c r="M988" s="216"/>
    </row>
    <row r="989" spans="1:13" x14ac:dyDescent="0.6">
      <c r="A989" s="218"/>
      <c r="B989" s="36"/>
      <c r="C989" s="4"/>
      <c r="D989" s="4"/>
      <c r="E989" s="4"/>
      <c r="F989" s="11"/>
      <c r="G989" s="227"/>
      <c r="H989" s="169"/>
      <c r="I989" s="165"/>
      <c r="J989" s="216"/>
      <c r="K989" s="216"/>
      <c r="M989" s="216"/>
    </row>
    <row r="990" spans="1:13" x14ac:dyDescent="0.6">
      <c r="A990" s="218"/>
      <c r="B990" s="36"/>
      <c r="C990" s="4"/>
      <c r="D990" s="4"/>
      <c r="E990" s="4"/>
      <c r="F990" s="11"/>
      <c r="G990" s="227"/>
      <c r="H990" s="169"/>
      <c r="I990" s="165"/>
      <c r="J990" s="216"/>
      <c r="K990" s="216"/>
      <c r="M990" s="216"/>
    </row>
    <row r="991" spans="1:13" x14ac:dyDescent="0.6">
      <c r="A991" s="218"/>
      <c r="B991" s="36"/>
      <c r="C991" s="4"/>
      <c r="D991" s="4"/>
      <c r="E991" s="4"/>
      <c r="F991" s="11"/>
      <c r="G991" s="227"/>
      <c r="H991" s="169"/>
      <c r="I991" s="165"/>
      <c r="J991" s="216"/>
      <c r="K991" s="216"/>
      <c r="M991" s="216"/>
    </row>
    <row r="992" spans="1:13" x14ac:dyDescent="0.6">
      <c r="A992" s="218"/>
      <c r="B992" s="36"/>
      <c r="C992" s="4"/>
      <c r="D992" s="4"/>
      <c r="E992" s="4"/>
      <c r="F992" s="11"/>
      <c r="G992" s="227"/>
      <c r="H992" s="169"/>
      <c r="I992" s="165"/>
      <c r="J992" s="216"/>
      <c r="K992" s="216"/>
      <c r="M992" s="216"/>
    </row>
    <row r="993" spans="1:13" x14ac:dyDescent="0.6">
      <c r="A993" s="218"/>
      <c r="B993" s="36"/>
      <c r="C993" s="4"/>
      <c r="D993" s="4"/>
      <c r="E993" s="4"/>
      <c r="F993" s="11"/>
      <c r="G993" s="227"/>
      <c r="H993" s="169"/>
      <c r="I993" s="165"/>
      <c r="J993" s="216"/>
      <c r="K993" s="216"/>
      <c r="M993" s="216"/>
    </row>
    <row r="994" spans="1:13" x14ac:dyDescent="0.6">
      <c r="A994" s="218"/>
      <c r="B994" s="36"/>
      <c r="C994" s="4"/>
      <c r="D994" s="4"/>
      <c r="E994" s="4"/>
      <c r="F994" s="11"/>
      <c r="G994" s="227"/>
      <c r="H994" s="169"/>
      <c r="I994" s="165"/>
      <c r="J994" s="216"/>
      <c r="K994" s="216"/>
      <c r="M994" s="216"/>
    </row>
    <row r="995" spans="1:13" x14ac:dyDescent="0.6">
      <c r="A995" s="218"/>
      <c r="B995" s="36"/>
      <c r="C995" s="4"/>
      <c r="D995" s="4"/>
      <c r="E995" s="4"/>
      <c r="F995" s="11"/>
      <c r="G995" s="227"/>
      <c r="H995" s="169"/>
      <c r="I995" s="165"/>
      <c r="J995" s="216"/>
      <c r="K995" s="216"/>
      <c r="M995" s="216"/>
    </row>
    <row r="996" spans="1:13" x14ac:dyDescent="0.6">
      <c r="A996" s="218"/>
      <c r="B996" s="36"/>
      <c r="C996" s="4"/>
      <c r="D996" s="4"/>
      <c r="E996" s="4"/>
      <c r="F996" s="11"/>
      <c r="G996" s="227"/>
      <c r="H996" s="169"/>
      <c r="I996" s="165"/>
      <c r="J996" s="216"/>
      <c r="K996" s="216"/>
      <c r="M996" s="216"/>
    </row>
    <row r="997" spans="1:13" x14ac:dyDescent="0.6">
      <c r="A997" s="218"/>
      <c r="B997" s="36"/>
      <c r="C997" s="4"/>
      <c r="D997" s="4"/>
      <c r="E997" s="4"/>
      <c r="F997" s="11"/>
      <c r="G997" s="227"/>
      <c r="H997" s="169"/>
      <c r="I997" s="165"/>
      <c r="J997" s="216"/>
      <c r="K997" s="216"/>
      <c r="M997" s="216"/>
    </row>
    <row r="998" spans="1:13" x14ac:dyDescent="0.6">
      <c r="A998" s="218"/>
      <c r="B998" s="36"/>
      <c r="C998" s="4"/>
      <c r="D998" s="4"/>
      <c r="E998" s="4"/>
      <c r="F998" s="11"/>
      <c r="G998" s="227"/>
      <c r="H998" s="169"/>
      <c r="I998" s="165"/>
      <c r="J998" s="216"/>
      <c r="K998" s="216"/>
      <c r="M998" s="216"/>
    </row>
    <row r="999" spans="1:13" x14ac:dyDescent="0.6">
      <c r="A999" s="218"/>
      <c r="B999" s="36"/>
      <c r="C999" s="4"/>
      <c r="D999" s="4"/>
      <c r="E999" s="4"/>
      <c r="F999" s="11"/>
      <c r="G999" s="227"/>
      <c r="H999" s="169"/>
      <c r="I999" s="165"/>
      <c r="J999" s="216"/>
      <c r="K999" s="216"/>
      <c r="M999" s="216"/>
    </row>
    <row r="1000" spans="1:13" x14ac:dyDescent="0.6">
      <c r="A1000" s="218"/>
      <c r="B1000" s="36"/>
      <c r="C1000" s="4"/>
      <c r="D1000" s="4"/>
      <c r="E1000" s="4"/>
      <c r="F1000" s="11"/>
      <c r="G1000" s="227"/>
      <c r="H1000" s="169"/>
      <c r="I1000" s="165"/>
      <c r="J1000" s="216"/>
      <c r="K1000" s="216"/>
      <c r="M1000" s="216"/>
    </row>
    <row r="1001" spans="1:13" x14ac:dyDescent="0.6">
      <c r="A1001" s="218"/>
      <c r="B1001" s="36"/>
      <c r="C1001" s="4"/>
      <c r="D1001" s="4"/>
      <c r="E1001" s="4"/>
      <c r="F1001" s="11"/>
      <c r="G1001" s="227"/>
      <c r="H1001" s="169"/>
      <c r="I1001" s="165"/>
      <c r="J1001" s="216"/>
      <c r="K1001" s="216"/>
      <c r="M1001" s="216"/>
    </row>
    <row r="1002" spans="1:13" x14ac:dyDescent="0.6">
      <c r="A1002" s="218"/>
      <c r="B1002" s="36"/>
      <c r="C1002" s="4"/>
      <c r="D1002" s="4"/>
      <c r="E1002" s="4"/>
      <c r="F1002" s="11"/>
      <c r="G1002" s="227"/>
      <c r="H1002" s="169"/>
      <c r="I1002" s="165"/>
      <c r="J1002" s="216"/>
      <c r="K1002" s="216"/>
      <c r="M1002" s="216"/>
    </row>
    <row r="1003" spans="1:13" x14ac:dyDescent="0.6">
      <c r="A1003" s="218"/>
      <c r="B1003" s="36"/>
      <c r="C1003" s="4"/>
      <c r="D1003" s="4"/>
      <c r="E1003" s="4"/>
      <c r="F1003" s="11"/>
      <c r="G1003" s="227"/>
      <c r="H1003" s="169"/>
      <c r="I1003" s="165"/>
      <c r="J1003" s="216"/>
      <c r="K1003" s="216"/>
      <c r="M1003" s="216"/>
    </row>
    <row r="1004" spans="1:13" x14ac:dyDescent="0.6">
      <c r="A1004" s="218"/>
      <c r="B1004" s="36"/>
      <c r="C1004" s="4"/>
      <c r="D1004" s="4"/>
      <c r="E1004" s="4"/>
      <c r="F1004" s="11"/>
      <c r="G1004" s="227"/>
      <c r="H1004" s="169"/>
      <c r="I1004" s="165"/>
      <c r="J1004" s="216"/>
      <c r="K1004" s="216"/>
      <c r="M1004" s="216"/>
    </row>
    <row r="1005" spans="1:13" x14ac:dyDescent="0.6">
      <c r="A1005" s="218"/>
      <c r="B1005" s="36"/>
      <c r="C1005" s="4"/>
      <c r="D1005" s="4"/>
      <c r="E1005" s="4"/>
      <c r="F1005" s="11"/>
      <c r="G1005" s="227"/>
      <c r="H1005" s="169"/>
      <c r="I1005" s="165"/>
      <c r="J1005" s="216"/>
      <c r="K1005" s="216"/>
      <c r="M1005" s="216"/>
    </row>
    <row r="1006" spans="1:13" x14ac:dyDescent="0.6">
      <c r="A1006" s="218"/>
      <c r="B1006" s="36"/>
      <c r="C1006" s="4"/>
      <c r="D1006" s="4"/>
      <c r="E1006" s="4"/>
      <c r="F1006" s="11"/>
      <c r="G1006" s="227"/>
      <c r="H1006" s="169"/>
      <c r="I1006" s="165"/>
      <c r="J1006" s="216"/>
      <c r="K1006" s="216"/>
      <c r="M1006" s="216"/>
    </row>
    <row r="1007" spans="1:13" x14ac:dyDescent="0.6">
      <c r="A1007" s="218"/>
      <c r="B1007" s="36"/>
      <c r="C1007" s="4"/>
      <c r="D1007" s="4"/>
      <c r="E1007" s="4"/>
      <c r="F1007" s="11"/>
      <c r="G1007" s="227"/>
      <c r="H1007" s="169"/>
      <c r="I1007" s="165"/>
      <c r="J1007" s="216"/>
      <c r="K1007" s="216"/>
      <c r="M1007" s="216"/>
    </row>
    <row r="1008" spans="1:13" x14ac:dyDescent="0.6">
      <c r="A1008" s="218"/>
      <c r="B1008" s="36"/>
      <c r="C1008" s="4"/>
      <c r="D1008" s="4"/>
      <c r="E1008" s="4"/>
      <c r="F1008" s="11"/>
      <c r="G1008" s="227"/>
      <c r="H1008" s="169"/>
      <c r="I1008" s="165"/>
      <c r="J1008" s="216"/>
      <c r="K1008" s="216"/>
      <c r="M1008" s="216"/>
    </row>
    <row r="1009" spans="1:13" x14ac:dyDescent="0.6">
      <c r="A1009" s="218"/>
      <c r="B1009" s="36"/>
      <c r="C1009" s="4"/>
      <c r="D1009" s="4"/>
      <c r="E1009" s="4"/>
      <c r="F1009" s="11"/>
      <c r="G1009" s="227"/>
      <c r="H1009" s="169"/>
      <c r="I1009" s="165"/>
      <c r="J1009" s="216"/>
      <c r="K1009" s="216"/>
      <c r="M1009" s="216"/>
    </row>
    <row r="1010" spans="1:13" x14ac:dyDescent="0.6">
      <c r="A1010" s="218"/>
      <c r="B1010" s="36"/>
      <c r="C1010" s="4"/>
      <c r="D1010" s="4"/>
      <c r="E1010" s="4"/>
      <c r="F1010" s="11"/>
      <c r="G1010" s="227"/>
      <c r="H1010" s="169"/>
      <c r="I1010" s="165"/>
      <c r="J1010" s="216"/>
      <c r="K1010" s="216"/>
      <c r="M1010" s="216"/>
    </row>
    <row r="1011" spans="1:13" x14ac:dyDescent="0.6">
      <c r="A1011" s="218"/>
      <c r="B1011" s="36"/>
      <c r="C1011" s="4"/>
      <c r="D1011" s="4"/>
      <c r="E1011" s="4"/>
      <c r="F1011" s="11"/>
      <c r="G1011" s="227"/>
      <c r="H1011" s="169"/>
      <c r="I1011" s="165"/>
      <c r="J1011" s="216"/>
      <c r="K1011" s="216"/>
      <c r="M1011" s="216"/>
    </row>
    <row r="1012" spans="1:13" x14ac:dyDescent="0.6">
      <c r="A1012" s="218"/>
      <c r="B1012" s="36"/>
      <c r="C1012" s="4"/>
      <c r="D1012" s="4"/>
      <c r="E1012" s="4"/>
      <c r="F1012" s="11"/>
      <c r="G1012" s="227"/>
      <c r="H1012" s="169"/>
      <c r="I1012" s="165"/>
      <c r="J1012" s="216"/>
      <c r="K1012" s="216"/>
      <c r="M1012" s="216"/>
    </row>
    <row r="1013" spans="1:13" x14ac:dyDescent="0.6">
      <c r="A1013" s="218"/>
      <c r="B1013" s="36"/>
      <c r="C1013" s="4"/>
      <c r="D1013" s="4"/>
      <c r="E1013" s="4"/>
      <c r="F1013" s="11"/>
      <c r="G1013" s="227"/>
      <c r="H1013" s="169"/>
      <c r="I1013" s="165"/>
      <c r="J1013" s="216"/>
      <c r="K1013" s="216"/>
      <c r="M1013" s="216"/>
    </row>
    <row r="1014" spans="1:13" x14ac:dyDescent="0.6">
      <c r="A1014" s="218"/>
      <c r="B1014" s="36"/>
      <c r="C1014" s="4"/>
      <c r="D1014" s="4"/>
      <c r="E1014" s="4"/>
      <c r="F1014" s="11"/>
      <c r="G1014" s="227"/>
      <c r="H1014" s="169"/>
      <c r="I1014" s="165"/>
      <c r="J1014" s="216"/>
      <c r="K1014" s="216"/>
      <c r="M1014" s="216"/>
    </row>
    <row r="1015" spans="1:13" x14ac:dyDescent="0.6">
      <c r="A1015" s="218"/>
      <c r="B1015" s="36"/>
      <c r="C1015" s="4"/>
      <c r="D1015" s="4"/>
      <c r="E1015" s="4"/>
      <c r="F1015" s="11"/>
      <c r="G1015" s="227"/>
      <c r="H1015" s="169"/>
      <c r="I1015" s="165"/>
      <c r="J1015" s="216"/>
      <c r="K1015" s="216"/>
      <c r="M1015" s="216"/>
    </row>
    <row r="1016" spans="1:13" x14ac:dyDescent="0.6">
      <c r="A1016" s="218"/>
      <c r="B1016" s="36"/>
      <c r="C1016" s="4"/>
      <c r="D1016" s="4"/>
      <c r="E1016" s="4"/>
      <c r="F1016" s="11"/>
      <c r="G1016" s="227"/>
      <c r="H1016" s="169"/>
      <c r="I1016" s="165"/>
      <c r="J1016" s="216"/>
      <c r="K1016" s="216"/>
      <c r="M1016" s="216"/>
    </row>
    <row r="1017" spans="1:13" x14ac:dyDescent="0.6">
      <c r="A1017" s="218"/>
      <c r="B1017" s="36"/>
      <c r="C1017" s="4"/>
      <c r="D1017" s="4"/>
      <c r="E1017" s="4"/>
      <c r="F1017" s="11"/>
      <c r="G1017" s="227"/>
      <c r="H1017" s="169"/>
      <c r="I1017" s="165"/>
      <c r="J1017" s="216"/>
      <c r="K1017" s="216"/>
      <c r="M1017" s="216"/>
    </row>
    <row r="1018" spans="1:13" x14ac:dyDescent="0.6">
      <c r="A1018" s="218"/>
      <c r="B1018" s="36"/>
      <c r="C1018" s="4"/>
      <c r="D1018" s="4"/>
      <c r="E1018" s="4"/>
      <c r="F1018" s="11"/>
      <c r="G1018" s="227"/>
      <c r="H1018" s="169"/>
      <c r="I1018" s="165"/>
      <c r="J1018" s="216"/>
      <c r="K1018" s="216"/>
      <c r="M1018" s="216"/>
    </row>
    <row r="1019" spans="1:13" x14ac:dyDescent="0.6">
      <c r="A1019" s="218"/>
      <c r="B1019" s="36"/>
      <c r="C1019" s="4"/>
      <c r="D1019" s="4"/>
      <c r="E1019" s="4"/>
      <c r="F1019" s="11"/>
      <c r="G1019" s="227"/>
      <c r="H1019" s="169"/>
      <c r="I1019" s="165"/>
      <c r="J1019" s="216"/>
      <c r="K1019" s="216"/>
      <c r="M1019" s="216"/>
    </row>
    <row r="1020" spans="1:13" x14ac:dyDescent="0.6">
      <c r="A1020" s="218"/>
      <c r="B1020" s="36"/>
      <c r="C1020" s="4"/>
      <c r="D1020" s="4"/>
      <c r="E1020" s="4"/>
      <c r="F1020" s="11"/>
      <c r="G1020" s="227"/>
      <c r="H1020" s="169"/>
      <c r="I1020" s="165"/>
      <c r="J1020" s="216"/>
      <c r="K1020" s="216"/>
      <c r="M1020" s="216"/>
    </row>
    <row r="1021" spans="1:13" x14ac:dyDescent="0.6">
      <c r="A1021" s="218"/>
      <c r="B1021" s="36"/>
      <c r="C1021" s="4"/>
      <c r="D1021" s="4"/>
      <c r="E1021" s="4"/>
      <c r="F1021" s="11"/>
      <c r="G1021" s="227"/>
      <c r="H1021" s="169"/>
      <c r="I1021" s="165"/>
      <c r="J1021" s="216"/>
      <c r="K1021" s="216"/>
      <c r="M1021" s="216"/>
    </row>
    <row r="1022" spans="1:13" x14ac:dyDescent="0.6">
      <c r="A1022" s="218"/>
      <c r="B1022" s="36"/>
      <c r="C1022" s="4"/>
      <c r="D1022" s="4"/>
      <c r="E1022" s="4"/>
      <c r="F1022" s="11"/>
      <c r="G1022" s="227"/>
      <c r="H1022" s="169"/>
      <c r="I1022" s="165"/>
      <c r="J1022" s="216"/>
      <c r="K1022" s="216"/>
      <c r="M1022" s="216"/>
    </row>
    <row r="1023" spans="1:13" x14ac:dyDescent="0.6">
      <c r="A1023" s="218"/>
      <c r="B1023" s="36"/>
      <c r="C1023" s="4"/>
      <c r="D1023" s="4"/>
      <c r="E1023" s="4"/>
      <c r="F1023" s="11"/>
      <c r="G1023" s="227"/>
      <c r="H1023" s="169"/>
      <c r="I1023" s="165"/>
      <c r="J1023" s="216"/>
      <c r="K1023" s="216"/>
      <c r="M1023" s="216"/>
    </row>
    <row r="1024" spans="1:13" x14ac:dyDescent="0.6">
      <c r="A1024" s="218"/>
      <c r="B1024" s="36"/>
      <c r="C1024" s="4"/>
      <c r="D1024" s="4"/>
      <c r="E1024" s="4"/>
      <c r="F1024" s="11"/>
      <c r="G1024" s="227"/>
      <c r="H1024" s="169"/>
      <c r="I1024" s="165"/>
      <c r="J1024" s="216"/>
      <c r="K1024" s="216"/>
      <c r="M1024" s="216"/>
    </row>
    <row r="1025" spans="1:13" x14ac:dyDescent="0.6">
      <c r="A1025" s="218"/>
      <c r="B1025" s="36"/>
      <c r="C1025" s="4"/>
      <c r="D1025" s="4"/>
      <c r="E1025" s="4"/>
      <c r="F1025" s="11"/>
      <c r="G1025" s="227"/>
      <c r="H1025" s="169"/>
      <c r="I1025" s="165"/>
      <c r="J1025" s="216"/>
      <c r="K1025" s="216"/>
      <c r="M1025" s="216"/>
    </row>
    <row r="1026" spans="1:13" x14ac:dyDescent="0.6">
      <c r="A1026" s="218"/>
      <c r="B1026" s="36"/>
      <c r="C1026" s="4"/>
      <c r="D1026" s="4"/>
      <c r="E1026" s="4"/>
      <c r="F1026" s="11"/>
      <c r="G1026" s="227"/>
      <c r="H1026" s="169"/>
      <c r="I1026" s="165"/>
      <c r="J1026" s="216"/>
      <c r="K1026" s="216"/>
      <c r="M1026" s="216"/>
    </row>
    <row r="1027" spans="1:13" x14ac:dyDescent="0.6">
      <c r="A1027" s="218"/>
      <c r="B1027" s="36"/>
      <c r="C1027" s="4"/>
      <c r="D1027" s="4"/>
      <c r="E1027" s="4"/>
      <c r="F1027" s="11"/>
      <c r="G1027" s="227"/>
      <c r="H1027" s="169"/>
      <c r="I1027" s="165"/>
      <c r="J1027" s="216"/>
      <c r="K1027" s="216"/>
      <c r="M1027" s="216"/>
    </row>
    <row r="1028" spans="1:13" x14ac:dyDescent="0.6">
      <c r="A1028" s="218"/>
      <c r="B1028" s="36"/>
      <c r="C1028" s="4"/>
      <c r="D1028" s="4"/>
      <c r="E1028" s="4"/>
      <c r="F1028" s="11"/>
      <c r="G1028" s="227"/>
      <c r="H1028" s="169"/>
      <c r="I1028" s="165"/>
      <c r="J1028" s="216"/>
      <c r="K1028" s="216"/>
      <c r="M1028" s="216"/>
    </row>
    <row r="1029" spans="1:13" x14ac:dyDescent="0.6">
      <c r="A1029" s="218"/>
      <c r="B1029" s="36"/>
      <c r="C1029" s="4"/>
      <c r="D1029" s="4"/>
      <c r="E1029" s="4"/>
      <c r="F1029" s="11"/>
      <c r="G1029" s="227"/>
      <c r="H1029" s="169"/>
      <c r="I1029" s="165"/>
      <c r="J1029" s="216"/>
      <c r="K1029" s="216"/>
      <c r="M1029" s="216"/>
    </row>
    <row r="1030" spans="1:13" x14ac:dyDescent="0.6">
      <c r="A1030" s="218"/>
      <c r="B1030" s="36"/>
      <c r="C1030" s="4"/>
      <c r="D1030" s="4"/>
      <c r="E1030" s="4"/>
      <c r="F1030" s="11"/>
      <c r="G1030" s="227"/>
      <c r="H1030" s="169"/>
      <c r="I1030" s="165"/>
      <c r="J1030" s="216"/>
      <c r="K1030" s="216"/>
      <c r="M1030" s="216"/>
    </row>
    <row r="1031" spans="1:13" x14ac:dyDescent="0.6">
      <c r="A1031" s="218"/>
      <c r="B1031" s="36"/>
      <c r="C1031" s="4"/>
      <c r="D1031" s="4"/>
      <c r="E1031" s="4"/>
      <c r="F1031" s="11"/>
      <c r="G1031" s="227"/>
      <c r="H1031" s="169"/>
      <c r="I1031" s="165"/>
      <c r="J1031" s="216"/>
      <c r="K1031" s="216"/>
      <c r="M1031" s="216"/>
    </row>
    <row r="1032" spans="1:13" x14ac:dyDescent="0.6">
      <c r="A1032" s="218"/>
      <c r="B1032" s="36"/>
      <c r="C1032" s="4"/>
      <c r="D1032" s="4"/>
      <c r="E1032" s="4"/>
      <c r="F1032" s="11"/>
      <c r="G1032" s="227"/>
      <c r="H1032" s="169"/>
      <c r="I1032" s="165"/>
      <c r="J1032" s="216"/>
      <c r="K1032" s="216"/>
      <c r="M1032" s="216"/>
    </row>
    <row r="1033" spans="1:13" x14ac:dyDescent="0.6">
      <c r="A1033" s="218"/>
      <c r="B1033" s="36"/>
      <c r="C1033" s="4"/>
      <c r="D1033" s="4"/>
      <c r="E1033" s="4"/>
      <c r="F1033" s="11"/>
      <c r="G1033" s="227"/>
      <c r="H1033" s="169"/>
      <c r="I1033" s="165"/>
      <c r="J1033" s="216"/>
      <c r="K1033" s="216"/>
      <c r="M1033" s="216"/>
    </row>
    <row r="1034" spans="1:13" x14ac:dyDescent="0.6">
      <c r="A1034" s="218"/>
      <c r="B1034" s="36"/>
      <c r="C1034" s="4"/>
      <c r="D1034" s="4"/>
      <c r="E1034" s="4"/>
      <c r="F1034" s="11"/>
      <c r="G1034" s="227"/>
      <c r="H1034" s="169"/>
      <c r="I1034" s="165"/>
      <c r="J1034" s="216"/>
      <c r="K1034" s="216"/>
      <c r="M1034" s="216"/>
    </row>
    <row r="1035" spans="1:13" x14ac:dyDescent="0.6">
      <c r="A1035" s="218"/>
      <c r="B1035" s="36"/>
      <c r="C1035" s="4"/>
      <c r="D1035" s="4"/>
      <c r="E1035" s="4"/>
      <c r="F1035" s="11"/>
      <c r="G1035" s="227"/>
      <c r="H1035" s="169"/>
      <c r="I1035" s="165"/>
      <c r="J1035" s="216"/>
      <c r="K1035" s="216"/>
      <c r="M1035" s="216"/>
    </row>
    <row r="1036" spans="1:13" x14ac:dyDescent="0.6">
      <c r="A1036" s="218"/>
      <c r="B1036" s="36"/>
      <c r="C1036" s="4"/>
      <c r="D1036" s="4"/>
      <c r="E1036" s="4"/>
      <c r="F1036" s="11"/>
      <c r="G1036" s="227"/>
      <c r="H1036" s="169"/>
      <c r="I1036" s="165"/>
      <c r="J1036" s="216"/>
      <c r="K1036" s="216"/>
      <c r="M1036" s="216"/>
    </row>
    <row r="1037" spans="1:13" x14ac:dyDescent="0.6">
      <c r="A1037" s="218"/>
      <c r="B1037" s="36"/>
      <c r="C1037" s="4"/>
      <c r="D1037" s="4"/>
      <c r="E1037" s="4"/>
      <c r="F1037" s="11"/>
      <c r="G1037" s="227"/>
      <c r="H1037" s="169"/>
      <c r="I1037" s="165"/>
      <c r="J1037" s="216"/>
      <c r="K1037" s="216"/>
      <c r="M1037" s="216"/>
    </row>
    <row r="1038" spans="1:13" x14ac:dyDescent="0.6">
      <c r="A1038" s="218"/>
      <c r="B1038" s="36"/>
      <c r="C1038" s="4"/>
      <c r="D1038" s="4"/>
      <c r="E1038" s="4"/>
      <c r="F1038" s="11"/>
      <c r="G1038" s="227"/>
      <c r="H1038" s="169"/>
      <c r="I1038" s="165"/>
      <c r="J1038" s="216"/>
      <c r="K1038" s="216"/>
      <c r="M1038" s="216"/>
    </row>
    <row r="1039" spans="1:13" x14ac:dyDescent="0.6">
      <c r="A1039" s="218"/>
      <c r="B1039" s="36"/>
      <c r="C1039" s="4"/>
      <c r="D1039" s="4"/>
      <c r="E1039" s="4"/>
      <c r="F1039" s="11"/>
      <c r="G1039" s="227"/>
      <c r="H1039" s="169"/>
      <c r="I1039" s="165"/>
      <c r="J1039" s="216"/>
      <c r="K1039" s="216"/>
      <c r="M1039" s="216"/>
    </row>
    <row r="1040" spans="1:13" x14ac:dyDescent="0.6">
      <c r="A1040" s="218"/>
      <c r="B1040" s="36"/>
      <c r="C1040" s="4"/>
      <c r="D1040" s="4"/>
      <c r="E1040" s="4"/>
      <c r="F1040" s="11"/>
      <c r="G1040" s="227"/>
      <c r="H1040" s="169"/>
      <c r="I1040" s="165"/>
      <c r="J1040" s="216"/>
      <c r="K1040" s="216"/>
      <c r="M1040" s="216"/>
    </row>
    <row r="1041" spans="1:13" x14ac:dyDescent="0.6">
      <c r="A1041" s="218"/>
      <c r="B1041" s="36"/>
      <c r="C1041" s="4"/>
      <c r="D1041" s="4"/>
      <c r="E1041" s="4"/>
      <c r="F1041" s="11"/>
      <c r="G1041" s="227"/>
      <c r="H1041" s="169"/>
      <c r="I1041" s="165"/>
      <c r="J1041" s="216"/>
      <c r="K1041" s="216"/>
      <c r="M1041" s="216"/>
    </row>
    <row r="1042" spans="1:13" x14ac:dyDescent="0.6">
      <c r="A1042" s="218"/>
      <c r="B1042" s="36"/>
      <c r="C1042" s="4"/>
      <c r="D1042" s="4"/>
      <c r="E1042" s="4"/>
      <c r="F1042" s="11"/>
      <c r="G1042" s="227"/>
      <c r="H1042" s="169"/>
      <c r="I1042" s="165"/>
      <c r="J1042" s="216"/>
      <c r="K1042" s="216"/>
      <c r="M1042" s="216"/>
    </row>
    <row r="1043" spans="1:13" x14ac:dyDescent="0.6">
      <c r="A1043" s="218"/>
      <c r="B1043" s="36"/>
      <c r="C1043" s="4"/>
      <c r="D1043" s="4"/>
      <c r="E1043" s="4"/>
      <c r="F1043" s="11"/>
      <c r="G1043" s="227"/>
      <c r="H1043" s="169"/>
      <c r="I1043" s="165"/>
      <c r="J1043" s="216"/>
      <c r="K1043" s="216"/>
      <c r="M1043" s="216"/>
    </row>
    <row r="1044" spans="1:13" x14ac:dyDescent="0.6">
      <c r="A1044" s="218"/>
      <c r="B1044" s="36"/>
      <c r="C1044" s="4"/>
      <c r="D1044" s="4"/>
      <c r="E1044" s="4"/>
      <c r="F1044" s="11"/>
      <c r="G1044" s="227"/>
      <c r="H1044" s="169"/>
      <c r="I1044" s="165"/>
      <c r="J1044" s="216"/>
      <c r="K1044" s="216"/>
      <c r="M1044" s="216"/>
    </row>
    <row r="1045" spans="1:13" x14ac:dyDescent="0.6">
      <c r="A1045" s="218"/>
      <c r="B1045" s="36"/>
      <c r="C1045" s="4"/>
      <c r="D1045" s="4"/>
      <c r="E1045" s="4"/>
      <c r="F1045" s="11"/>
      <c r="G1045" s="227"/>
      <c r="H1045" s="169"/>
      <c r="I1045" s="165"/>
      <c r="J1045" s="216"/>
      <c r="K1045" s="216"/>
      <c r="M1045" s="216"/>
    </row>
    <row r="1046" spans="1:13" x14ac:dyDescent="0.6">
      <c r="A1046" s="218"/>
      <c r="B1046" s="36"/>
      <c r="C1046" s="4"/>
      <c r="D1046" s="4"/>
      <c r="E1046" s="4"/>
      <c r="F1046" s="11"/>
      <c r="G1046" s="227"/>
      <c r="H1046" s="169"/>
      <c r="I1046" s="165"/>
      <c r="J1046" s="216"/>
      <c r="K1046" s="216"/>
      <c r="M1046" s="216"/>
    </row>
    <row r="1047" spans="1:13" x14ac:dyDescent="0.6">
      <c r="A1047" s="218"/>
      <c r="B1047" s="36"/>
      <c r="C1047" s="4"/>
      <c r="D1047" s="4"/>
      <c r="E1047" s="4"/>
      <c r="F1047" s="11"/>
      <c r="G1047" s="227"/>
      <c r="H1047" s="169"/>
      <c r="I1047" s="165"/>
      <c r="J1047" s="216"/>
      <c r="K1047" s="216"/>
      <c r="M1047" s="216"/>
    </row>
    <row r="1048" spans="1:13" x14ac:dyDescent="0.6">
      <c r="A1048" s="218"/>
      <c r="B1048" s="36"/>
      <c r="C1048" s="4"/>
      <c r="D1048" s="4"/>
      <c r="E1048" s="4"/>
      <c r="F1048" s="11"/>
      <c r="G1048" s="227"/>
      <c r="H1048" s="169"/>
      <c r="I1048" s="165"/>
      <c r="J1048" s="216"/>
      <c r="K1048" s="216"/>
      <c r="M1048" s="216"/>
    </row>
    <row r="1049" spans="1:13" x14ac:dyDescent="0.6">
      <c r="A1049" s="218"/>
      <c r="B1049" s="36"/>
      <c r="C1049" s="4"/>
      <c r="D1049" s="4"/>
      <c r="E1049" s="4"/>
      <c r="F1049" s="11"/>
      <c r="G1049" s="227"/>
      <c r="H1049" s="169"/>
      <c r="I1049" s="165"/>
      <c r="J1049" s="216"/>
      <c r="K1049" s="216"/>
      <c r="M1049" s="216"/>
    </row>
    <row r="1050" spans="1:13" x14ac:dyDescent="0.6">
      <c r="A1050" s="218"/>
      <c r="B1050" s="36"/>
      <c r="C1050" s="4"/>
      <c r="D1050" s="4"/>
      <c r="E1050" s="4"/>
      <c r="F1050" s="11"/>
      <c r="G1050" s="227"/>
      <c r="H1050" s="169"/>
      <c r="I1050" s="165"/>
      <c r="J1050" s="216"/>
      <c r="K1050" s="216"/>
      <c r="M1050" s="216"/>
    </row>
    <row r="1051" spans="1:13" x14ac:dyDescent="0.6">
      <c r="A1051" s="218"/>
      <c r="B1051" s="36"/>
      <c r="C1051" s="4"/>
      <c r="D1051" s="4"/>
      <c r="E1051" s="4"/>
      <c r="F1051" s="11"/>
      <c r="G1051" s="227"/>
      <c r="H1051" s="169"/>
      <c r="I1051" s="165"/>
      <c r="J1051" s="216"/>
      <c r="K1051" s="216"/>
      <c r="M1051" s="216"/>
    </row>
    <row r="1052" spans="1:13" x14ac:dyDescent="0.6">
      <c r="A1052" s="218"/>
      <c r="B1052" s="36"/>
      <c r="C1052" s="4"/>
      <c r="D1052" s="4"/>
      <c r="E1052" s="4"/>
      <c r="F1052" s="11"/>
      <c r="G1052" s="227"/>
      <c r="H1052" s="169"/>
      <c r="I1052" s="165"/>
      <c r="J1052" s="216"/>
      <c r="K1052" s="216"/>
      <c r="M1052" s="216"/>
    </row>
    <row r="1053" spans="1:13" x14ac:dyDescent="0.6">
      <c r="A1053" s="218"/>
      <c r="B1053" s="36"/>
      <c r="C1053" s="4"/>
      <c r="D1053" s="4"/>
      <c r="E1053" s="4"/>
      <c r="F1053" s="11"/>
      <c r="G1053" s="227"/>
      <c r="H1053" s="169"/>
      <c r="I1053" s="165"/>
      <c r="J1053" s="216"/>
      <c r="K1053" s="216"/>
      <c r="M1053" s="216"/>
    </row>
    <row r="1054" spans="1:13" x14ac:dyDescent="0.6">
      <c r="A1054" s="218"/>
      <c r="B1054" s="36"/>
      <c r="C1054" s="4"/>
      <c r="D1054" s="4"/>
      <c r="E1054" s="4"/>
      <c r="F1054" s="11"/>
      <c r="G1054" s="227"/>
      <c r="H1054" s="169"/>
      <c r="I1054" s="165"/>
      <c r="J1054" s="216"/>
      <c r="K1054" s="216"/>
      <c r="M1054" s="216"/>
    </row>
    <row r="1055" spans="1:13" x14ac:dyDescent="0.6">
      <c r="A1055" s="218"/>
      <c r="B1055" s="36"/>
      <c r="C1055" s="4"/>
      <c r="D1055" s="4"/>
      <c r="E1055" s="4"/>
      <c r="F1055" s="11"/>
      <c r="G1055" s="227"/>
      <c r="H1055" s="169"/>
      <c r="I1055" s="165"/>
      <c r="J1055" s="216"/>
      <c r="K1055" s="216"/>
      <c r="M1055" s="216"/>
    </row>
    <row r="1056" spans="1:13" x14ac:dyDescent="0.6">
      <c r="A1056" s="218"/>
      <c r="B1056" s="36"/>
      <c r="C1056" s="4"/>
      <c r="D1056" s="4"/>
      <c r="E1056" s="4"/>
      <c r="F1056" s="11"/>
      <c r="G1056" s="227"/>
      <c r="H1056" s="169"/>
      <c r="I1056" s="165"/>
      <c r="J1056" s="216"/>
      <c r="K1056" s="216"/>
      <c r="M1056" s="216"/>
    </row>
    <row r="1057" spans="1:13" x14ac:dyDescent="0.6">
      <c r="A1057" s="218"/>
      <c r="B1057" s="36"/>
      <c r="C1057" s="4"/>
      <c r="D1057" s="4"/>
      <c r="E1057" s="4"/>
      <c r="F1057" s="11"/>
      <c r="G1057" s="227"/>
      <c r="H1057" s="169"/>
      <c r="I1057" s="165"/>
      <c r="J1057" s="216"/>
      <c r="K1057" s="216"/>
      <c r="M1057" s="216"/>
    </row>
    <row r="1058" spans="1:13" x14ac:dyDescent="0.6">
      <c r="A1058" s="218"/>
      <c r="B1058" s="36"/>
      <c r="C1058" s="4"/>
      <c r="D1058" s="4"/>
      <c r="E1058" s="4"/>
      <c r="F1058" s="11"/>
      <c r="G1058" s="227"/>
      <c r="H1058" s="169"/>
      <c r="I1058" s="165"/>
      <c r="J1058" s="216"/>
      <c r="K1058" s="216"/>
      <c r="M1058" s="216"/>
    </row>
    <row r="1059" spans="1:13" x14ac:dyDescent="0.6">
      <c r="A1059" s="218"/>
      <c r="B1059" s="36"/>
      <c r="C1059" s="4"/>
      <c r="D1059" s="4"/>
      <c r="E1059" s="4"/>
      <c r="F1059" s="11"/>
      <c r="G1059" s="227"/>
      <c r="H1059" s="169"/>
      <c r="I1059" s="165"/>
      <c r="J1059" s="216"/>
      <c r="K1059" s="216"/>
      <c r="M1059" s="216"/>
    </row>
    <row r="1060" spans="1:13" x14ac:dyDescent="0.6">
      <c r="A1060" s="218"/>
      <c r="B1060" s="36"/>
      <c r="C1060" s="4"/>
      <c r="D1060" s="4"/>
      <c r="E1060" s="4"/>
      <c r="F1060" s="11"/>
      <c r="G1060" s="227"/>
      <c r="H1060" s="169"/>
      <c r="I1060" s="165"/>
      <c r="J1060" s="216"/>
      <c r="K1060" s="216"/>
      <c r="M1060" s="216"/>
    </row>
    <row r="1061" spans="1:13" x14ac:dyDescent="0.6">
      <c r="A1061" s="218"/>
      <c r="B1061" s="36"/>
      <c r="C1061" s="4"/>
      <c r="D1061" s="4"/>
      <c r="E1061" s="4"/>
      <c r="F1061" s="11"/>
      <c r="G1061" s="227"/>
      <c r="H1061" s="169"/>
      <c r="I1061" s="165"/>
      <c r="J1061" s="216"/>
      <c r="K1061" s="216"/>
      <c r="M1061" s="216"/>
    </row>
    <row r="1062" spans="1:13" x14ac:dyDescent="0.6">
      <c r="A1062" s="218"/>
      <c r="B1062" s="36"/>
      <c r="C1062" s="4"/>
      <c r="D1062" s="4"/>
      <c r="E1062" s="4"/>
      <c r="F1062" s="11"/>
      <c r="G1062" s="227"/>
      <c r="H1062" s="169"/>
      <c r="I1062" s="165"/>
      <c r="J1062" s="216"/>
      <c r="K1062" s="216"/>
      <c r="M1062" s="216"/>
    </row>
    <row r="1063" spans="1:13" x14ac:dyDescent="0.6">
      <c r="A1063" s="218"/>
      <c r="B1063" s="36"/>
      <c r="C1063" s="4"/>
      <c r="D1063" s="4"/>
      <c r="E1063" s="4"/>
      <c r="F1063" s="11"/>
      <c r="G1063" s="227"/>
      <c r="H1063" s="169"/>
      <c r="I1063" s="165"/>
      <c r="J1063" s="216"/>
      <c r="K1063" s="216"/>
      <c r="M1063" s="216"/>
    </row>
    <row r="1064" spans="1:13" x14ac:dyDescent="0.6">
      <c r="A1064" s="218"/>
      <c r="B1064" s="36"/>
      <c r="C1064" s="4"/>
      <c r="D1064" s="4"/>
      <c r="E1064" s="4"/>
      <c r="F1064" s="11"/>
      <c r="G1064" s="227"/>
      <c r="H1064" s="169"/>
      <c r="I1064" s="165"/>
      <c r="J1064" s="216"/>
      <c r="K1064" s="216"/>
      <c r="M1064" s="216"/>
    </row>
    <row r="1065" spans="1:13" x14ac:dyDescent="0.6">
      <c r="A1065" s="218"/>
      <c r="B1065" s="36"/>
      <c r="C1065" s="4"/>
      <c r="D1065" s="4"/>
      <c r="E1065" s="4"/>
      <c r="F1065" s="11"/>
      <c r="G1065" s="227"/>
      <c r="H1065" s="169"/>
      <c r="I1065" s="165"/>
      <c r="J1065" s="216"/>
      <c r="K1065" s="216"/>
      <c r="M1065" s="216"/>
    </row>
    <row r="1066" spans="1:13" x14ac:dyDescent="0.6">
      <c r="A1066" s="218"/>
      <c r="B1066" s="36"/>
      <c r="C1066" s="4"/>
      <c r="D1066" s="4"/>
      <c r="E1066" s="4"/>
      <c r="F1066" s="11"/>
      <c r="G1066" s="227"/>
      <c r="H1066" s="169"/>
      <c r="I1066" s="165"/>
      <c r="J1066" s="216"/>
      <c r="K1066" s="216"/>
      <c r="M1066" s="216"/>
    </row>
    <row r="1067" spans="1:13" x14ac:dyDescent="0.6">
      <c r="A1067" s="218"/>
      <c r="B1067" s="36"/>
      <c r="C1067" s="4"/>
      <c r="D1067" s="4"/>
      <c r="E1067" s="4"/>
      <c r="F1067" s="11"/>
      <c r="G1067" s="227"/>
      <c r="H1067" s="169"/>
      <c r="I1067" s="165"/>
      <c r="J1067" s="216"/>
      <c r="K1067" s="216"/>
      <c r="M1067" s="216"/>
    </row>
    <row r="1068" spans="1:13" x14ac:dyDescent="0.6">
      <c r="A1068" s="218"/>
      <c r="B1068" s="36"/>
      <c r="C1068" s="4"/>
      <c r="D1068" s="4"/>
      <c r="E1068" s="4"/>
      <c r="F1068" s="11"/>
      <c r="G1068" s="227"/>
      <c r="H1068" s="169"/>
      <c r="I1068" s="165"/>
      <c r="J1068" s="216"/>
      <c r="K1068" s="216"/>
      <c r="M1068" s="216"/>
    </row>
    <row r="1069" spans="1:13" x14ac:dyDescent="0.6">
      <c r="A1069" s="218"/>
      <c r="B1069" s="36"/>
      <c r="C1069" s="4"/>
      <c r="D1069" s="4"/>
      <c r="E1069" s="4"/>
      <c r="F1069" s="11"/>
      <c r="G1069" s="227"/>
      <c r="H1069" s="169"/>
      <c r="I1069" s="165"/>
      <c r="J1069" s="216"/>
      <c r="K1069" s="216"/>
      <c r="M1069" s="216"/>
    </row>
    <row r="1070" spans="1:13" x14ac:dyDescent="0.6">
      <c r="A1070" s="218"/>
      <c r="B1070" s="36"/>
      <c r="C1070" s="4"/>
      <c r="D1070" s="4"/>
      <c r="E1070" s="4"/>
      <c r="F1070" s="11"/>
      <c r="G1070" s="227"/>
      <c r="H1070" s="169"/>
      <c r="I1070" s="165"/>
      <c r="J1070" s="216"/>
      <c r="K1070" s="216"/>
      <c r="M1070" s="216"/>
    </row>
    <row r="1071" spans="1:13" x14ac:dyDescent="0.6">
      <c r="A1071" s="218"/>
      <c r="B1071" s="36"/>
      <c r="C1071" s="4"/>
      <c r="D1071" s="4"/>
      <c r="E1071" s="4"/>
      <c r="F1071" s="11"/>
      <c r="G1071" s="227"/>
      <c r="H1071" s="169"/>
      <c r="I1071" s="165"/>
      <c r="J1071" s="216"/>
      <c r="K1071" s="216"/>
      <c r="M1071" s="216"/>
    </row>
    <row r="1072" spans="1:13" x14ac:dyDescent="0.6">
      <c r="A1072" s="218"/>
      <c r="B1072" s="36"/>
      <c r="C1072" s="4"/>
      <c r="D1072" s="4"/>
      <c r="E1072" s="4"/>
      <c r="F1072" s="11"/>
      <c r="G1072" s="227"/>
      <c r="H1072" s="169"/>
      <c r="I1072" s="165"/>
      <c r="J1072" s="216"/>
      <c r="K1072" s="216"/>
      <c r="M1072" s="216"/>
    </row>
    <row r="1073" spans="1:13" x14ac:dyDescent="0.6">
      <c r="A1073" s="218"/>
      <c r="B1073" s="36"/>
      <c r="C1073" s="4"/>
      <c r="D1073" s="4"/>
      <c r="E1073" s="4"/>
      <c r="F1073" s="11"/>
      <c r="G1073" s="227"/>
      <c r="H1073" s="169"/>
      <c r="I1073" s="165"/>
      <c r="J1073" s="216"/>
      <c r="K1073" s="216"/>
      <c r="M1073" s="216"/>
    </row>
    <row r="1074" spans="1:13" x14ac:dyDescent="0.6">
      <c r="A1074" s="218"/>
      <c r="B1074" s="36"/>
      <c r="C1074" s="4"/>
      <c r="D1074" s="4"/>
      <c r="E1074" s="4"/>
      <c r="F1074" s="11"/>
      <c r="G1074" s="227"/>
      <c r="H1074" s="169"/>
      <c r="I1074" s="165"/>
      <c r="J1074" s="216"/>
      <c r="K1074" s="216"/>
      <c r="M1074" s="216"/>
    </row>
    <row r="1075" spans="1:13" x14ac:dyDescent="0.6">
      <c r="A1075" s="218"/>
      <c r="B1075" s="36"/>
      <c r="C1075" s="4"/>
      <c r="D1075" s="4"/>
      <c r="E1075" s="4"/>
      <c r="F1075" s="11"/>
      <c r="G1075" s="227"/>
      <c r="H1075" s="169"/>
      <c r="I1075" s="165"/>
      <c r="J1075" s="216"/>
      <c r="K1075" s="216"/>
      <c r="M1075" s="216"/>
    </row>
    <row r="1076" spans="1:13" x14ac:dyDescent="0.6">
      <c r="A1076" s="218"/>
      <c r="B1076" s="36"/>
      <c r="C1076" s="4"/>
      <c r="D1076" s="4"/>
      <c r="E1076" s="4"/>
      <c r="F1076" s="11"/>
      <c r="G1076" s="227"/>
      <c r="H1076" s="169"/>
      <c r="I1076" s="165"/>
      <c r="J1076" s="216"/>
      <c r="K1076" s="216"/>
      <c r="M1076" s="216"/>
    </row>
    <row r="1077" spans="1:13" x14ac:dyDescent="0.6">
      <c r="A1077" s="218"/>
      <c r="B1077" s="36"/>
      <c r="C1077" s="4"/>
      <c r="D1077" s="4"/>
      <c r="E1077" s="4"/>
      <c r="F1077" s="11"/>
      <c r="G1077" s="227"/>
      <c r="H1077" s="169"/>
      <c r="I1077" s="165"/>
      <c r="J1077" s="216"/>
      <c r="K1077" s="216"/>
      <c r="M1077" s="216"/>
    </row>
    <row r="1078" spans="1:13" x14ac:dyDescent="0.6">
      <c r="A1078" s="218"/>
      <c r="B1078" s="36"/>
      <c r="C1078" s="4"/>
      <c r="D1078" s="4"/>
      <c r="E1078" s="4"/>
      <c r="F1078" s="11"/>
      <c r="G1078" s="227"/>
      <c r="H1078" s="169"/>
      <c r="I1078" s="165"/>
      <c r="J1078" s="216"/>
      <c r="K1078" s="216"/>
      <c r="M1078" s="216"/>
    </row>
    <row r="1079" spans="1:13" x14ac:dyDescent="0.6">
      <c r="A1079" s="218"/>
      <c r="B1079" s="36"/>
      <c r="C1079" s="4"/>
      <c r="D1079" s="4"/>
      <c r="E1079" s="4"/>
      <c r="F1079" s="11"/>
      <c r="G1079" s="227"/>
      <c r="H1079" s="169"/>
      <c r="I1079" s="165"/>
      <c r="J1079" s="216"/>
      <c r="K1079" s="216"/>
      <c r="M1079" s="216"/>
    </row>
    <row r="1080" spans="1:13" x14ac:dyDescent="0.6">
      <c r="A1080" s="218"/>
      <c r="B1080" s="36"/>
      <c r="C1080" s="4"/>
      <c r="D1080" s="4"/>
      <c r="E1080" s="4"/>
      <c r="F1080" s="11"/>
      <c r="G1080" s="227"/>
      <c r="H1080" s="169"/>
      <c r="I1080" s="165"/>
      <c r="J1080" s="216"/>
      <c r="K1080" s="216"/>
      <c r="M1080" s="216"/>
    </row>
    <row r="1081" spans="1:13" x14ac:dyDescent="0.6">
      <c r="A1081" s="218"/>
      <c r="B1081" s="36"/>
      <c r="C1081" s="4"/>
      <c r="D1081" s="4"/>
      <c r="E1081" s="4"/>
      <c r="F1081" s="11"/>
      <c r="G1081" s="227"/>
      <c r="H1081" s="169"/>
      <c r="I1081" s="165"/>
      <c r="J1081" s="216"/>
      <c r="K1081" s="216"/>
      <c r="M1081" s="216"/>
    </row>
    <row r="1082" spans="1:13" x14ac:dyDescent="0.6">
      <c r="A1082" s="218"/>
      <c r="B1082" s="36"/>
      <c r="C1082" s="4"/>
      <c r="D1082" s="4"/>
      <c r="E1082" s="4"/>
      <c r="F1082" s="11"/>
      <c r="G1082" s="227"/>
      <c r="H1082" s="169"/>
      <c r="I1082" s="165"/>
      <c r="J1082" s="216"/>
      <c r="K1082" s="216"/>
      <c r="M1082" s="216"/>
    </row>
    <row r="1083" spans="1:13" x14ac:dyDescent="0.6">
      <c r="A1083" s="218"/>
      <c r="B1083" s="36"/>
      <c r="C1083" s="4"/>
      <c r="D1083" s="4"/>
      <c r="E1083" s="4"/>
      <c r="F1083" s="11"/>
      <c r="G1083" s="227"/>
      <c r="H1083" s="169"/>
      <c r="I1083" s="165"/>
      <c r="J1083" s="216"/>
      <c r="K1083" s="216"/>
      <c r="M1083" s="216"/>
    </row>
    <row r="1084" spans="1:13" x14ac:dyDescent="0.6">
      <c r="A1084" s="218"/>
      <c r="B1084" s="36"/>
      <c r="C1084" s="4"/>
      <c r="D1084" s="4"/>
      <c r="E1084" s="4"/>
      <c r="F1084" s="11"/>
      <c r="G1084" s="227"/>
      <c r="H1084" s="169"/>
      <c r="I1084" s="165"/>
      <c r="J1084" s="216"/>
      <c r="K1084" s="216"/>
      <c r="M1084" s="216"/>
    </row>
    <row r="1085" spans="1:13" x14ac:dyDescent="0.6">
      <c r="A1085" s="218"/>
      <c r="B1085" s="36"/>
      <c r="C1085" s="4"/>
      <c r="D1085" s="4"/>
      <c r="E1085" s="4"/>
      <c r="F1085" s="11"/>
      <c r="G1085" s="227"/>
      <c r="H1085" s="169"/>
      <c r="I1085" s="165"/>
      <c r="J1085" s="216"/>
      <c r="K1085" s="216"/>
      <c r="M1085" s="216"/>
    </row>
    <row r="1086" spans="1:13" x14ac:dyDescent="0.6">
      <c r="A1086" s="218"/>
      <c r="B1086" s="36"/>
      <c r="C1086" s="4"/>
      <c r="D1086" s="4"/>
      <c r="E1086" s="4"/>
      <c r="F1086" s="11"/>
      <c r="G1086" s="227"/>
      <c r="H1086" s="169"/>
      <c r="I1086" s="165"/>
      <c r="J1086" s="216"/>
      <c r="K1086" s="216"/>
      <c r="M1086" s="216"/>
    </row>
    <row r="1087" spans="1:13" x14ac:dyDescent="0.6">
      <c r="A1087" s="218"/>
      <c r="B1087" s="36"/>
      <c r="C1087" s="4"/>
      <c r="D1087" s="4"/>
      <c r="E1087" s="4"/>
      <c r="F1087" s="11"/>
      <c r="G1087" s="227"/>
      <c r="H1087" s="169"/>
      <c r="I1087" s="165"/>
      <c r="J1087" s="216"/>
      <c r="K1087" s="216"/>
      <c r="M1087" s="216"/>
    </row>
    <row r="1088" spans="1:13" x14ac:dyDescent="0.6">
      <c r="A1088" s="218"/>
      <c r="B1088" s="36"/>
      <c r="C1088" s="4"/>
      <c r="D1088" s="4"/>
      <c r="E1088" s="4"/>
      <c r="F1088" s="11"/>
      <c r="G1088" s="227"/>
      <c r="H1088" s="169"/>
      <c r="I1088" s="165"/>
      <c r="J1088" s="216"/>
      <c r="K1088" s="216"/>
      <c r="M1088" s="216"/>
    </row>
    <row r="1089" spans="1:13" x14ac:dyDescent="0.6">
      <c r="A1089" s="218"/>
      <c r="B1089" s="36"/>
      <c r="C1089" s="4"/>
      <c r="D1089" s="4"/>
      <c r="E1089" s="4"/>
      <c r="F1089" s="11"/>
      <c r="G1089" s="227"/>
      <c r="H1089" s="169"/>
      <c r="I1089" s="165"/>
      <c r="J1089" s="216"/>
      <c r="K1089" s="216"/>
      <c r="M1089" s="216"/>
    </row>
    <row r="1090" spans="1:13" x14ac:dyDescent="0.6">
      <c r="A1090" s="218"/>
      <c r="B1090" s="36"/>
      <c r="C1090" s="4"/>
      <c r="D1090" s="4"/>
      <c r="E1090" s="4"/>
      <c r="F1090" s="11"/>
      <c r="G1090" s="227"/>
      <c r="H1090" s="169"/>
      <c r="I1090" s="165"/>
      <c r="J1090" s="216"/>
      <c r="K1090" s="216"/>
      <c r="M1090" s="216"/>
    </row>
    <row r="1091" spans="1:13" x14ac:dyDescent="0.6">
      <c r="A1091" s="218"/>
      <c r="B1091" s="36"/>
      <c r="C1091" s="4"/>
      <c r="D1091" s="4"/>
      <c r="E1091" s="4"/>
      <c r="F1091" s="11"/>
      <c r="G1091" s="227"/>
      <c r="H1091" s="169"/>
      <c r="I1091" s="165"/>
      <c r="J1091" s="216"/>
      <c r="K1091" s="216"/>
      <c r="M1091" s="216"/>
    </row>
    <row r="1092" spans="1:13" x14ac:dyDescent="0.6">
      <c r="A1092" s="218"/>
      <c r="B1092" s="36"/>
      <c r="C1092" s="4"/>
      <c r="D1092" s="4"/>
      <c r="E1092" s="4"/>
      <c r="F1092" s="11"/>
      <c r="G1092" s="227"/>
      <c r="H1092" s="169"/>
      <c r="I1092" s="165"/>
      <c r="J1092" s="216"/>
      <c r="K1092" s="216"/>
      <c r="M1092" s="216"/>
    </row>
    <row r="1093" spans="1:13" x14ac:dyDescent="0.6">
      <c r="A1093" s="218"/>
      <c r="B1093" s="36"/>
      <c r="C1093" s="4"/>
      <c r="D1093" s="4"/>
      <c r="E1093" s="4"/>
      <c r="F1093" s="11"/>
      <c r="G1093" s="227"/>
      <c r="H1093" s="169"/>
      <c r="I1093" s="165"/>
      <c r="J1093" s="216"/>
      <c r="K1093" s="216"/>
      <c r="M1093" s="216"/>
    </row>
    <row r="1094" spans="1:13" x14ac:dyDescent="0.6">
      <c r="A1094" s="218"/>
      <c r="B1094" s="36"/>
      <c r="C1094" s="4"/>
      <c r="D1094" s="4"/>
      <c r="E1094" s="4"/>
      <c r="F1094" s="11"/>
      <c r="G1094" s="227"/>
      <c r="H1094" s="169"/>
      <c r="I1094" s="165"/>
      <c r="J1094" s="216"/>
      <c r="K1094" s="216"/>
      <c r="M1094" s="216"/>
    </row>
    <row r="1095" spans="1:13" x14ac:dyDescent="0.6">
      <c r="A1095" s="218"/>
      <c r="B1095" s="36"/>
      <c r="C1095" s="4"/>
      <c r="D1095" s="4"/>
      <c r="E1095" s="4"/>
      <c r="F1095" s="11"/>
      <c r="G1095" s="227"/>
      <c r="H1095" s="169"/>
      <c r="I1095" s="165"/>
      <c r="J1095" s="216"/>
      <c r="K1095" s="216"/>
      <c r="M1095" s="216"/>
    </row>
    <row r="1096" spans="1:13" x14ac:dyDescent="0.6">
      <c r="A1096" s="218"/>
      <c r="B1096" s="36"/>
      <c r="C1096" s="4"/>
      <c r="D1096" s="4"/>
      <c r="E1096" s="4"/>
      <c r="F1096" s="11"/>
      <c r="G1096" s="227"/>
      <c r="H1096" s="169"/>
      <c r="I1096" s="165"/>
      <c r="J1096" s="216"/>
      <c r="K1096" s="216"/>
      <c r="M1096" s="216"/>
    </row>
    <row r="1097" spans="1:13" x14ac:dyDescent="0.6">
      <c r="A1097" s="218"/>
      <c r="B1097" s="36"/>
      <c r="C1097" s="4"/>
      <c r="D1097" s="4"/>
      <c r="E1097" s="4"/>
      <c r="F1097" s="11"/>
      <c r="G1097" s="227"/>
      <c r="H1097" s="169"/>
      <c r="I1097" s="165"/>
      <c r="J1097" s="216"/>
      <c r="K1097" s="216"/>
      <c r="M1097" s="216"/>
    </row>
    <row r="1098" spans="1:13" x14ac:dyDescent="0.6">
      <c r="A1098" s="218"/>
      <c r="B1098" s="36"/>
      <c r="C1098" s="4"/>
      <c r="D1098" s="4"/>
      <c r="E1098" s="4"/>
      <c r="F1098" s="11"/>
      <c r="G1098" s="227"/>
      <c r="H1098" s="169"/>
      <c r="I1098" s="165"/>
      <c r="J1098" s="216"/>
      <c r="K1098" s="216"/>
      <c r="M1098" s="216"/>
    </row>
    <row r="1099" spans="1:13" x14ac:dyDescent="0.6">
      <c r="A1099" s="218"/>
      <c r="B1099" s="36"/>
      <c r="C1099" s="4"/>
      <c r="D1099" s="4"/>
      <c r="E1099" s="4"/>
      <c r="F1099" s="11"/>
      <c r="G1099" s="227"/>
      <c r="H1099" s="169"/>
      <c r="I1099" s="165"/>
      <c r="J1099" s="216"/>
      <c r="K1099" s="216"/>
      <c r="M1099" s="216"/>
    </row>
    <row r="1100" spans="1:13" x14ac:dyDescent="0.6">
      <c r="A1100" s="218"/>
      <c r="B1100" s="36"/>
      <c r="C1100" s="4"/>
      <c r="D1100" s="4"/>
      <c r="E1100" s="4"/>
      <c r="F1100" s="11"/>
      <c r="G1100" s="227"/>
      <c r="H1100" s="169"/>
      <c r="I1100" s="165"/>
      <c r="J1100" s="216"/>
      <c r="K1100" s="216"/>
      <c r="M1100" s="216"/>
    </row>
    <row r="1101" spans="1:13" x14ac:dyDescent="0.6">
      <c r="A1101" s="218"/>
      <c r="B1101" s="36"/>
      <c r="C1101" s="4"/>
      <c r="D1101" s="4"/>
      <c r="E1101" s="4"/>
      <c r="F1101" s="11"/>
      <c r="G1101" s="227"/>
      <c r="H1101" s="169"/>
      <c r="I1101" s="165"/>
      <c r="J1101" s="216"/>
      <c r="K1101" s="216"/>
      <c r="M1101" s="216"/>
    </row>
    <row r="1102" spans="1:13" x14ac:dyDescent="0.6">
      <c r="A1102" s="218"/>
      <c r="B1102" s="36"/>
      <c r="C1102" s="4"/>
      <c r="D1102" s="4"/>
      <c r="E1102" s="4"/>
      <c r="F1102" s="11"/>
      <c r="G1102" s="227"/>
      <c r="H1102" s="169"/>
      <c r="I1102" s="165"/>
      <c r="J1102" s="216"/>
      <c r="K1102" s="216"/>
      <c r="M1102" s="216"/>
    </row>
    <row r="1103" spans="1:13" x14ac:dyDescent="0.6">
      <c r="A1103" s="218"/>
      <c r="B1103" s="36"/>
      <c r="C1103" s="4"/>
      <c r="D1103" s="4"/>
      <c r="E1103" s="4"/>
      <c r="F1103" s="11"/>
      <c r="G1103" s="227"/>
      <c r="H1103" s="169"/>
      <c r="I1103" s="165"/>
      <c r="J1103" s="216"/>
      <c r="K1103" s="216"/>
      <c r="M1103" s="216"/>
    </row>
    <row r="1104" spans="1:13" x14ac:dyDescent="0.6">
      <c r="A1104" s="218"/>
      <c r="B1104" s="36"/>
      <c r="C1104" s="4"/>
      <c r="D1104" s="4"/>
      <c r="E1104" s="4"/>
      <c r="F1104" s="11"/>
      <c r="G1104" s="227"/>
      <c r="H1104" s="169"/>
      <c r="I1104" s="165"/>
      <c r="J1104" s="216"/>
      <c r="K1104" s="216"/>
      <c r="M1104" s="216"/>
    </row>
    <row r="1105" spans="1:13" x14ac:dyDescent="0.6">
      <c r="A1105" s="218"/>
      <c r="B1105" s="36"/>
      <c r="C1105" s="4"/>
      <c r="D1105" s="4"/>
      <c r="E1105" s="4"/>
      <c r="F1105" s="11"/>
      <c r="G1105" s="227"/>
      <c r="H1105" s="169"/>
      <c r="I1105" s="165"/>
      <c r="J1105" s="216"/>
      <c r="K1105" s="216"/>
      <c r="M1105" s="216"/>
    </row>
    <row r="1106" spans="1:13" x14ac:dyDescent="0.6">
      <c r="A1106" s="218"/>
      <c r="B1106" s="36"/>
      <c r="C1106" s="4"/>
      <c r="D1106" s="4"/>
      <c r="E1106" s="4"/>
      <c r="F1106" s="11"/>
      <c r="G1106" s="227"/>
      <c r="H1106" s="169"/>
      <c r="I1106" s="165"/>
      <c r="J1106" s="216"/>
      <c r="K1106" s="216"/>
      <c r="M1106" s="216"/>
    </row>
    <row r="1107" spans="1:13" x14ac:dyDescent="0.6">
      <c r="A1107" s="218"/>
      <c r="B1107" s="36"/>
      <c r="C1107" s="4"/>
      <c r="D1107" s="4"/>
      <c r="E1107" s="4"/>
      <c r="F1107" s="11"/>
      <c r="G1107" s="227"/>
      <c r="H1107" s="169"/>
      <c r="I1107" s="165"/>
      <c r="J1107" s="216"/>
      <c r="K1107" s="216"/>
      <c r="M1107" s="216"/>
    </row>
    <row r="1108" spans="1:13" x14ac:dyDescent="0.6">
      <c r="A1108" s="218"/>
      <c r="B1108" s="36"/>
      <c r="C1108" s="4"/>
      <c r="D1108" s="4"/>
      <c r="E1108" s="4"/>
      <c r="F1108" s="11"/>
      <c r="G1108" s="227"/>
      <c r="H1108" s="169"/>
      <c r="I1108" s="165"/>
      <c r="J1108" s="216"/>
      <c r="K1108" s="216"/>
      <c r="M1108" s="216"/>
    </row>
    <row r="1109" spans="1:13" x14ac:dyDescent="0.6">
      <c r="A1109" s="218"/>
      <c r="B1109" s="36"/>
      <c r="C1109" s="4"/>
      <c r="D1109" s="4"/>
      <c r="E1109" s="4"/>
      <c r="F1109" s="11"/>
      <c r="G1109" s="227"/>
      <c r="H1109" s="169"/>
      <c r="I1109" s="165"/>
      <c r="J1109" s="216"/>
      <c r="K1109" s="216"/>
      <c r="M1109" s="216"/>
    </row>
    <row r="1110" spans="1:13" x14ac:dyDescent="0.6">
      <c r="A1110" s="218"/>
      <c r="B1110" s="36"/>
      <c r="C1110" s="4"/>
      <c r="D1110" s="4"/>
      <c r="E1110" s="4"/>
      <c r="F1110" s="11"/>
      <c r="G1110" s="227"/>
      <c r="H1110" s="169"/>
      <c r="I1110" s="165"/>
      <c r="J1110" s="216"/>
      <c r="K1110" s="216"/>
      <c r="M1110" s="216"/>
    </row>
    <row r="1111" spans="1:13" x14ac:dyDescent="0.6">
      <c r="A1111" s="218"/>
      <c r="B1111" s="36"/>
      <c r="C1111" s="4"/>
      <c r="D1111" s="4"/>
      <c r="E1111" s="4"/>
      <c r="F1111" s="11"/>
      <c r="G1111" s="227"/>
      <c r="H1111" s="169"/>
      <c r="I1111" s="165"/>
      <c r="J1111" s="216"/>
      <c r="K1111" s="216"/>
      <c r="M1111" s="216"/>
    </row>
    <row r="1112" spans="1:13" x14ac:dyDescent="0.6">
      <c r="A1112" s="218"/>
      <c r="B1112" s="36"/>
      <c r="C1112" s="4"/>
      <c r="D1112" s="4"/>
      <c r="E1112" s="4"/>
      <c r="F1112" s="11"/>
      <c r="G1112" s="227"/>
      <c r="H1112" s="169"/>
      <c r="I1112" s="165"/>
      <c r="J1112" s="216"/>
      <c r="K1112" s="216"/>
      <c r="M1112" s="216"/>
    </row>
    <row r="1113" spans="1:13" x14ac:dyDescent="0.6">
      <c r="A1113" s="218"/>
      <c r="B1113" s="36"/>
      <c r="C1113" s="4"/>
      <c r="D1113" s="4"/>
      <c r="E1113" s="4"/>
      <c r="F1113" s="11"/>
      <c r="G1113" s="227"/>
      <c r="H1113" s="169"/>
      <c r="I1113" s="165"/>
      <c r="J1113" s="216"/>
      <c r="K1113" s="216"/>
      <c r="M1113" s="216"/>
    </row>
    <row r="1114" spans="1:13" x14ac:dyDescent="0.6">
      <c r="A1114" s="218"/>
      <c r="B1114" s="36"/>
      <c r="C1114" s="4"/>
      <c r="D1114" s="4"/>
      <c r="E1114" s="4"/>
      <c r="F1114" s="11"/>
      <c r="G1114" s="227"/>
      <c r="H1114" s="169"/>
      <c r="I1114" s="165"/>
      <c r="J1114" s="216"/>
      <c r="K1114" s="216"/>
      <c r="M1114" s="216"/>
    </row>
    <row r="1115" spans="1:13" x14ac:dyDescent="0.6">
      <c r="A1115" s="218"/>
      <c r="B1115" s="36"/>
      <c r="C1115" s="4"/>
      <c r="D1115" s="4"/>
      <c r="E1115" s="4"/>
      <c r="F1115" s="11"/>
      <c r="G1115" s="227"/>
      <c r="H1115" s="169"/>
      <c r="I1115" s="165"/>
      <c r="J1115" s="216"/>
      <c r="K1115" s="216"/>
      <c r="M1115" s="216"/>
    </row>
    <row r="1116" spans="1:13" x14ac:dyDescent="0.6">
      <c r="A1116" s="218"/>
      <c r="B1116" s="36"/>
      <c r="C1116" s="4"/>
      <c r="D1116" s="4"/>
      <c r="E1116" s="4"/>
      <c r="F1116" s="11"/>
      <c r="G1116" s="227"/>
      <c r="H1116" s="169"/>
      <c r="I1116" s="165"/>
      <c r="J1116" s="216"/>
      <c r="K1116" s="216"/>
      <c r="M1116" s="216"/>
    </row>
    <row r="1117" spans="1:13" x14ac:dyDescent="0.6">
      <c r="A1117" s="218"/>
      <c r="B1117" s="36"/>
      <c r="C1117" s="4"/>
      <c r="D1117" s="4"/>
      <c r="E1117" s="4"/>
      <c r="F1117" s="11"/>
      <c r="G1117" s="227"/>
      <c r="H1117" s="169"/>
      <c r="I1117" s="165"/>
      <c r="J1117" s="216"/>
      <c r="K1117" s="216"/>
      <c r="M1117" s="216"/>
    </row>
    <row r="1118" spans="1:13" x14ac:dyDescent="0.6">
      <c r="A1118" s="218"/>
      <c r="B1118" s="36"/>
      <c r="C1118" s="4"/>
      <c r="D1118" s="4"/>
      <c r="E1118" s="4"/>
      <c r="F1118" s="11"/>
      <c r="G1118" s="227"/>
      <c r="H1118" s="169"/>
      <c r="I1118" s="165"/>
      <c r="J1118" s="216"/>
      <c r="K1118" s="216"/>
      <c r="M1118" s="216"/>
    </row>
    <row r="1119" spans="1:13" x14ac:dyDescent="0.6">
      <c r="A1119" s="218"/>
      <c r="B1119" s="36"/>
      <c r="C1119" s="4"/>
      <c r="D1119" s="4"/>
      <c r="E1119" s="4"/>
      <c r="F1119" s="11"/>
      <c r="G1119" s="227"/>
      <c r="H1119" s="169"/>
      <c r="I1119" s="165"/>
      <c r="J1119" s="216"/>
      <c r="K1119" s="216"/>
      <c r="M1119" s="216"/>
    </row>
    <row r="1120" spans="1:13" x14ac:dyDescent="0.6">
      <c r="A1120" s="218"/>
      <c r="B1120" s="36"/>
      <c r="C1120" s="4"/>
      <c r="D1120" s="4"/>
      <c r="E1120" s="4"/>
      <c r="F1120" s="11"/>
      <c r="G1120" s="227"/>
      <c r="H1120" s="169"/>
      <c r="I1120" s="165"/>
      <c r="J1120" s="216"/>
      <c r="K1120" s="216"/>
      <c r="M1120" s="216"/>
    </row>
    <row r="1121" spans="1:13" x14ac:dyDescent="0.6">
      <c r="A1121" s="218"/>
      <c r="B1121" s="36"/>
      <c r="C1121" s="4"/>
      <c r="D1121" s="4"/>
      <c r="E1121" s="4"/>
      <c r="F1121" s="11"/>
      <c r="G1121" s="227"/>
      <c r="H1121" s="169"/>
      <c r="I1121" s="165"/>
      <c r="J1121" s="216"/>
      <c r="K1121" s="216"/>
      <c r="M1121" s="216"/>
    </row>
    <row r="1122" spans="1:13" x14ac:dyDescent="0.6">
      <c r="A1122" s="218"/>
      <c r="B1122" s="36"/>
      <c r="C1122" s="4"/>
      <c r="D1122" s="4"/>
      <c r="E1122" s="4"/>
      <c r="F1122" s="11"/>
      <c r="G1122" s="227"/>
      <c r="H1122" s="169"/>
      <c r="I1122" s="165"/>
      <c r="J1122" s="216"/>
      <c r="K1122" s="216"/>
      <c r="M1122" s="216"/>
    </row>
    <row r="1123" spans="1:13" x14ac:dyDescent="0.6">
      <c r="A1123" s="218"/>
      <c r="B1123" s="36"/>
      <c r="C1123" s="4"/>
      <c r="D1123" s="4"/>
      <c r="E1123" s="4"/>
      <c r="F1123" s="11"/>
      <c r="G1123" s="227"/>
      <c r="H1123" s="169"/>
      <c r="I1123" s="165"/>
      <c r="J1123" s="216"/>
      <c r="K1123" s="216"/>
      <c r="M1123" s="216"/>
    </row>
    <row r="1124" spans="1:13" x14ac:dyDescent="0.6">
      <c r="A1124" s="218"/>
      <c r="B1124" s="36"/>
      <c r="C1124" s="4"/>
      <c r="D1124" s="4"/>
      <c r="E1124" s="4"/>
      <c r="F1124" s="11"/>
      <c r="G1124" s="227"/>
      <c r="H1124" s="169"/>
      <c r="I1124" s="165"/>
      <c r="J1124" s="216"/>
      <c r="K1124" s="216"/>
      <c r="M1124" s="216"/>
    </row>
    <row r="1125" spans="1:13" x14ac:dyDescent="0.6">
      <c r="A1125" s="218"/>
      <c r="B1125" s="36"/>
      <c r="C1125" s="4"/>
      <c r="D1125" s="4"/>
      <c r="E1125" s="4"/>
      <c r="F1125" s="11"/>
      <c r="G1125" s="227"/>
      <c r="H1125" s="169"/>
      <c r="I1125" s="165"/>
      <c r="J1125" s="216"/>
      <c r="K1125" s="216"/>
      <c r="M1125" s="216"/>
    </row>
    <row r="1126" spans="1:13" x14ac:dyDescent="0.6">
      <c r="A1126" s="218"/>
      <c r="B1126" s="36"/>
      <c r="C1126" s="4"/>
      <c r="D1126" s="4"/>
      <c r="E1126" s="4"/>
      <c r="F1126" s="11"/>
      <c r="G1126" s="227"/>
      <c r="H1126" s="169"/>
      <c r="I1126" s="165"/>
      <c r="J1126" s="216"/>
      <c r="K1126" s="216"/>
      <c r="M1126" s="216"/>
    </row>
    <row r="1127" spans="1:13" x14ac:dyDescent="0.6">
      <c r="A1127" s="218"/>
      <c r="B1127" s="36"/>
      <c r="C1127" s="4"/>
      <c r="D1127" s="4"/>
      <c r="E1127" s="4"/>
      <c r="F1127" s="11"/>
      <c r="G1127" s="227"/>
      <c r="H1127" s="169"/>
      <c r="I1127" s="165"/>
      <c r="J1127" s="216"/>
      <c r="K1127" s="216"/>
      <c r="M1127" s="216"/>
    </row>
    <row r="1128" spans="1:13" x14ac:dyDescent="0.6">
      <c r="A1128" s="218"/>
      <c r="B1128" s="36"/>
      <c r="C1128" s="4"/>
      <c r="D1128" s="4"/>
      <c r="E1128" s="4"/>
      <c r="F1128" s="11"/>
      <c r="G1128" s="227"/>
      <c r="H1128" s="169"/>
      <c r="I1128" s="165"/>
      <c r="J1128" s="216"/>
      <c r="K1128" s="216"/>
      <c r="M1128" s="216"/>
    </row>
    <row r="1129" spans="1:13" x14ac:dyDescent="0.6">
      <c r="A1129" s="218"/>
      <c r="B1129" s="36"/>
      <c r="C1129" s="4"/>
      <c r="D1129" s="4"/>
      <c r="E1129" s="4"/>
      <c r="F1129" s="11"/>
      <c r="G1129" s="227"/>
      <c r="H1129" s="169"/>
      <c r="I1129" s="165"/>
      <c r="J1129" s="216"/>
      <c r="K1129" s="216"/>
      <c r="M1129" s="216"/>
    </row>
    <row r="1130" spans="1:13" x14ac:dyDescent="0.6">
      <c r="A1130" s="218"/>
      <c r="B1130" s="36"/>
      <c r="C1130" s="4"/>
      <c r="D1130" s="4"/>
      <c r="E1130" s="4"/>
      <c r="F1130" s="11"/>
      <c r="G1130" s="227"/>
      <c r="H1130" s="169"/>
      <c r="I1130" s="165"/>
      <c r="J1130" s="216"/>
      <c r="K1130" s="216"/>
      <c r="M1130" s="216"/>
    </row>
    <row r="1131" spans="1:13" x14ac:dyDescent="0.6">
      <c r="A1131" s="218"/>
      <c r="B1131" s="36"/>
      <c r="C1131" s="4"/>
      <c r="D1131" s="4"/>
      <c r="E1131" s="4"/>
      <c r="F1131" s="11"/>
      <c r="G1131" s="227"/>
      <c r="H1131" s="169"/>
      <c r="I1131" s="165"/>
      <c r="J1131" s="216"/>
      <c r="K1131" s="216"/>
      <c r="M1131" s="216"/>
    </row>
    <row r="1132" spans="1:13" x14ac:dyDescent="0.6">
      <c r="A1132" s="218"/>
      <c r="B1132" s="36"/>
      <c r="C1132" s="4"/>
      <c r="D1132" s="4"/>
      <c r="E1132" s="4"/>
      <c r="F1132" s="11"/>
      <c r="G1132" s="227"/>
      <c r="H1132" s="169"/>
      <c r="I1132" s="165"/>
      <c r="J1132" s="216"/>
      <c r="K1132" s="216"/>
      <c r="M1132" s="216"/>
    </row>
    <row r="1133" spans="1:13" x14ac:dyDescent="0.6">
      <c r="A1133" s="218"/>
      <c r="B1133" s="36"/>
      <c r="C1133" s="4"/>
      <c r="D1133" s="4"/>
      <c r="E1133" s="4"/>
      <c r="F1133" s="11"/>
      <c r="G1133" s="227"/>
      <c r="H1133" s="169"/>
      <c r="I1133" s="165"/>
      <c r="J1133" s="216"/>
      <c r="K1133" s="216"/>
      <c r="M1133" s="216"/>
    </row>
    <row r="1134" spans="1:13" x14ac:dyDescent="0.6">
      <c r="A1134" s="218"/>
      <c r="B1134" s="36"/>
      <c r="C1134" s="4"/>
      <c r="D1134" s="4"/>
      <c r="E1134" s="4"/>
      <c r="F1134" s="11"/>
      <c r="G1134" s="227"/>
      <c r="H1134" s="169"/>
      <c r="I1134" s="165"/>
      <c r="J1134" s="216"/>
      <c r="K1134" s="216"/>
      <c r="M1134" s="216"/>
    </row>
    <row r="1135" spans="1:13" x14ac:dyDescent="0.6">
      <c r="A1135" s="218"/>
      <c r="B1135" s="36"/>
      <c r="C1135" s="4"/>
      <c r="D1135" s="4"/>
      <c r="E1135" s="4"/>
      <c r="F1135" s="11"/>
      <c r="G1135" s="227"/>
      <c r="H1135" s="169"/>
      <c r="I1135" s="165"/>
      <c r="J1135" s="216"/>
      <c r="K1135" s="216"/>
      <c r="M1135" s="216"/>
    </row>
    <row r="1136" spans="1:13" x14ac:dyDescent="0.6">
      <c r="A1136" s="218"/>
      <c r="B1136" s="36"/>
      <c r="C1136" s="4"/>
      <c r="D1136" s="4"/>
      <c r="E1136" s="4"/>
      <c r="F1136" s="11"/>
      <c r="G1136" s="227"/>
      <c r="H1136" s="169"/>
      <c r="I1136" s="165"/>
      <c r="J1136" s="216"/>
      <c r="K1136" s="216"/>
      <c r="M1136" s="216"/>
    </row>
    <row r="1137" spans="1:13" x14ac:dyDescent="0.6">
      <c r="A1137" s="218"/>
      <c r="B1137" s="36"/>
      <c r="C1137" s="4"/>
      <c r="D1137" s="4"/>
      <c r="E1137" s="4"/>
      <c r="F1137" s="11"/>
      <c r="G1137" s="227"/>
      <c r="H1137" s="169"/>
      <c r="I1137" s="165"/>
      <c r="J1137" s="216"/>
      <c r="K1137" s="216"/>
      <c r="M1137" s="216"/>
    </row>
    <row r="1138" spans="1:13" x14ac:dyDescent="0.6">
      <c r="A1138" s="218"/>
      <c r="B1138" s="36"/>
      <c r="C1138" s="4"/>
      <c r="D1138" s="4"/>
      <c r="E1138" s="4"/>
      <c r="F1138" s="11"/>
      <c r="G1138" s="227"/>
      <c r="H1138" s="169"/>
      <c r="I1138" s="165"/>
      <c r="J1138" s="216"/>
      <c r="K1138" s="216"/>
      <c r="M1138" s="216"/>
    </row>
    <row r="1139" spans="1:13" x14ac:dyDescent="0.6">
      <c r="A1139" s="218"/>
      <c r="B1139" s="36"/>
      <c r="C1139" s="4"/>
      <c r="D1139" s="4"/>
      <c r="E1139" s="4"/>
      <c r="F1139" s="11"/>
      <c r="G1139" s="227"/>
      <c r="H1139" s="169"/>
      <c r="I1139" s="165"/>
      <c r="J1139" s="216"/>
      <c r="K1139" s="216"/>
      <c r="M1139" s="216"/>
    </row>
    <row r="1140" spans="1:13" x14ac:dyDescent="0.6">
      <c r="A1140" s="218"/>
      <c r="B1140" s="36"/>
      <c r="C1140" s="4"/>
      <c r="D1140" s="4"/>
      <c r="E1140" s="4"/>
      <c r="F1140" s="11"/>
      <c r="G1140" s="227"/>
      <c r="H1140" s="169"/>
      <c r="I1140" s="165"/>
      <c r="J1140" s="216"/>
      <c r="K1140" s="216"/>
      <c r="M1140" s="216"/>
    </row>
    <row r="1141" spans="1:13" x14ac:dyDescent="0.6">
      <c r="A1141" s="218"/>
      <c r="B1141" s="36"/>
      <c r="C1141" s="4"/>
      <c r="D1141" s="4"/>
      <c r="E1141" s="4"/>
      <c r="F1141" s="11"/>
      <c r="G1141" s="227"/>
      <c r="H1141" s="169"/>
      <c r="I1141" s="165"/>
      <c r="J1141" s="216"/>
      <c r="K1141" s="216"/>
      <c r="M1141" s="216"/>
    </row>
    <row r="1142" spans="1:13" x14ac:dyDescent="0.6">
      <c r="A1142" s="218"/>
      <c r="B1142" s="36"/>
      <c r="C1142" s="4"/>
      <c r="D1142" s="4"/>
      <c r="E1142" s="4"/>
      <c r="F1142" s="11"/>
      <c r="G1142" s="227"/>
      <c r="H1142" s="169"/>
      <c r="I1142" s="165"/>
      <c r="J1142" s="216"/>
      <c r="K1142" s="216"/>
      <c r="M1142" s="216"/>
    </row>
    <row r="1143" spans="1:13" x14ac:dyDescent="0.6">
      <c r="A1143" s="218"/>
      <c r="B1143" s="36"/>
      <c r="C1143" s="4"/>
      <c r="D1143" s="4"/>
      <c r="E1143" s="4"/>
      <c r="F1143" s="11"/>
      <c r="G1143" s="227"/>
      <c r="H1143" s="169"/>
      <c r="I1143" s="165"/>
      <c r="J1143" s="216"/>
      <c r="K1143" s="216"/>
      <c r="M1143" s="216"/>
    </row>
    <row r="1144" spans="1:13" x14ac:dyDescent="0.6">
      <c r="A1144" s="218"/>
      <c r="B1144" s="36"/>
      <c r="C1144" s="4"/>
      <c r="D1144" s="4"/>
      <c r="E1144" s="4"/>
      <c r="F1144" s="11"/>
      <c r="G1144" s="227"/>
      <c r="H1144" s="169"/>
      <c r="I1144" s="165"/>
      <c r="J1144" s="216"/>
      <c r="K1144" s="216"/>
      <c r="M1144" s="216"/>
    </row>
    <row r="1145" spans="1:13" x14ac:dyDescent="0.6">
      <c r="A1145" s="218"/>
      <c r="B1145" s="36"/>
      <c r="C1145" s="4"/>
      <c r="D1145" s="4"/>
      <c r="E1145" s="4"/>
      <c r="F1145" s="11"/>
      <c r="G1145" s="227"/>
      <c r="H1145" s="169"/>
      <c r="I1145" s="165"/>
      <c r="J1145" s="216"/>
      <c r="K1145" s="216"/>
      <c r="M1145" s="216"/>
    </row>
    <row r="1146" spans="1:13" x14ac:dyDescent="0.6">
      <c r="A1146" s="218"/>
      <c r="B1146" s="36"/>
      <c r="C1146" s="4"/>
      <c r="D1146" s="4"/>
      <c r="E1146" s="4"/>
      <c r="F1146" s="11"/>
      <c r="G1146" s="227"/>
      <c r="H1146" s="169"/>
      <c r="I1146" s="165"/>
      <c r="J1146" s="216"/>
      <c r="K1146" s="216"/>
      <c r="M1146" s="216"/>
    </row>
    <row r="1147" spans="1:13" x14ac:dyDescent="0.6">
      <c r="A1147" s="218"/>
      <c r="B1147" s="36"/>
      <c r="C1147" s="4"/>
      <c r="D1147" s="4"/>
      <c r="E1147" s="4"/>
      <c r="F1147" s="11"/>
      <c r="G1147" s="227"/>
      <c r="H1147" s="169"/>
      <c r="I1147" s="165"/>
      <c r="J1147" s="216"/>
      <c r="K1147" s="216"/>
      <c r="M1147" s="216"/>
    </row>
    <row r="1148" spans="1:13" x14ac:dyDescent="0.6">
      <c r="A1148" s="218"/>
      <c r="B1148" s="36"/>
      <c r="C1148" s="4"/>
      <c r="D1148" s="4"/>
      <c r="E1148" s="4"/>
      <c r="F1148" s="11"/>
      <c r="G1148" s="227"/>
      <c r="H1148" s="169"/>
      <c r="I1148" s="165"/>
      <c r="J1148" s="216"/>
      <c r="K1148" s="216"/>
      <c r="M1148" s="216"/>
    </row>
    <row r="1149" spans="1:13" x14ac:dyDescent="0.6">
      <c r="A1149" s="218"/>
      <c r="B1149" s="36"/>
      <c r="C1149" s="4"/>
      <c r="D1149" s="4"/>
      <c r="E1149" s="4"/>
      <c r="F1149" s="11"/>
      <c r="G1149" s="227"/>
      <c r="H1149" s="169"/>
      <c r="I1149" s="165"/>
      <c r="J1149" s="216"/>
      <c r="K1149" s="216"/>
      <c r="M1149" s="216"/>
    </row>
    <row r="1150" spans="1:13" x14ac:dyDescent="0.6">
      <c r="A1150" s="218"/>
      <c r="B1150" s="36"/>
      <c r="C1150" s="4"/>
      <c r="D1150" s="4"/>
      <c r="E1150" s="4"/>
      <c r="F1150" s="11"/>
      <c r="G1150" s="227"/>
      <c r="H1150" s="169"/>
      <c r="I1150" s="165"/>
      <c r="J1150" s="216"/>
      <c r="K1150" s="216"/>
      <c r="M1150" s="216"/>
    </row>
    <row r="1151" spans="1:13" x14ac:dyDescent="0.6">
      <c r="A1151" s="218"/>
      <c r="B1151" s="36"/>
      <c r="C1151" s="4"/>
      <c r="D1151" s="4"/>
      <c r="E1151" s="4"/>
      <c r="F1151" s="11"/>
      <c r="G1151" s="227"/>
      <c r="H1151" s="169"/>
      <c r="I1151" s="165"/>
      <c r="J1151" s="216"/>
      <c r="K1151" s="216"/>
      <c r="M1151" s="216"/>
    </row>
    <row r="1152" spans="1:13" x14ac:dyDescent="0.6">
      <c r="A1152" s="218"/>
      <c r="B1152" s="36"/>
      <c r="C1152" s="4"/>
      <c r="D1152" s="4"/>
      <c r="E1152" s="4"/>
      <c r="F1152" s="11"/>
      <c r="G1152" s="227"/>
      <c r="H1152" s="169"/>
      <c r="I1152" s="165"/>
      <c r="J1152" s="216"/>
      <c r="K1152" s="216"/>
      <c r="M1152" s="216"/>
    </row>
    <row r="1153" spans="1:13" x14ac:dyDescent="0.6">
      <c r="A1153" s="218"/>
      <c r="B1153" s="36"/>
      <c r="C1153" s="4"/>
      <c r="D1153" s="4"/>
      <c r="E1153" s="4"/>
      <c r="F1153" s="11"/>
      <c r="G1153" s="227"/>
      <c r="H1153" s="169"/>
      <c r="I1153" s="165"/>
      <c r="J1153" s="216"/>
      <c r="K1153" s="216"/>
      <c r="M1153" s="216"/>
    </row>
    <row r="1154" spans="1:13" x14ac:dyDescent="0.6">
      <c r="A1154" s="218"/>
      <c r="B1154" s="36"/>
      <c r="C1154" s="4"/>
      <c r="D1154" s="4"/>
      <c r="E1154" s="4"/>
      <c r="F1154" s="11"/>
      <c r="G1154" s="227"/>
      <c r="H1154" s="169"/>
      <c r="I1154" s="165"/>
      <c r="J1154" s="216"/>
      <c r="K1154" s="216"/>
      <c r="M1154" s="216"/>
    </row>
    <row r="1155" spans="1:13" x14ac:dyDescent="0.6">
      <c r="A1155" s="218"/>
      <c r="B1155" s="36"/>
      <c r="C1155" s="4"/>
      <c r="D1155" s="4"/>
      <c r="E1155" s="4"/>
      <c r="F1155" s="11"/>
      <c r="G1155" s="227"/>
      <c r="H1155" s="169"/>
      <c r="I1155" s="165"/>
      <c r="J1155" s="216"/>
      <c r="K1155" s="216"/>
      <c r="M1155" s="216"/>
    </row>
    <row r="1156" spans="1:13" x14ac:dyDescent="0.6">
      <c r="A1156" s="218"/>
      <c r="B1156" s="36"/>
      <c r="C1156" s="4"/>
      <c r="D1156" s="4"/>
      <c r="E1156" s="4"/>
      <c r="F1156" s="11"/>
      <c r="G1156" s="227"/>
      <c r="H1156" s="169"/>
      <c r="I1156" s="165"/>
      <c r="J1156" s="216"/>
      <c r="K1156" s="216"/>
      <c r="M1156" s="216"/>
    </row>
    <row r="1157" spans="1:13" x14ac:dyDescent="0.6">
      <c r="A1157" s="218"/>
      <c r="B1157" s="36"/>
      <c r="C1157" s="4"/>
      <c r="D1157" s="4"/>
      <c r="E1157" s="4"/>
      <c r="F1157" s="11"/>
      <c r="G1157" s="227"/>
      <c r="H1157" s="169"/>
      <c r="I1157" s="165"/>
      <c r="J1157" s="216"/>
      <c r="K1157" s="216"/>
      <c r="M1157" s="216"/>
    </row>
    <row r="1158" spans="1:13" x14ac:dyDescent="0.6">
      <c r="A1158" s="218"/>
      <c r="B1158" s="36"/>
      <c r="C1158" s="4"/>
      <c r="D1158" s="4"/>
      <c r="E1158" s="4"/>
      <c r="F1158" s="11"/>
      <c r="G1158" s="227"/>
      <c r="H1158" s="169"/>
      <c r="I1158" s="165"/>
      <c r="J1158" s="216"/>
      <c r="K1158" s="216"/>
      <c r="M1158" s="216"/>
    </row>
    <row r="1159" spans="1:13" x14ac:dyDescent="0.6">
      <c r="A1159" s="218"/>
      <c r="B1159" s="36"/>
      <c r="C1159" s="4"/>
      <c r="D1159" s="4"/>
      <c r="E1159" s="4"/>
      <c r="F1159" s="11"/>
      <c r="G1159" s="227"/>
      <c r="H1159" s="169"/>
      <c r="I1159" s="165"/>
      <c r="J1159" s="216"/>
      <c r="K1159" s="216"/>
      <c r="M1159" s="216"/>
    </row>
    <row r="1160" spans="1:13" x14ac:dyDescent="0.6">
      <c r="A1160" s="218"/>
      <c r="B1160" s="36"/>
      <c r="C1160" s="4"/>
      <c r="D1160" s="4"/>
      <c r="E1160" s="4"/>
      <c r="F1160" s="11"/>
      <c r="G1160" s="227"/>
      <c r="H1160" s="169"/>
      <c r="I1160" s="165"/>
      <c r="J1160" s="216"/>
      <c r="K1160" s="216"/>
      <c r="M1160" s="216"/>
    </row>
    <row r="1161" spans="1:13" x14ac:dyDescent="0.6">
      <c r="A1161" s="218"/>
      <c r="B1161" s="36"/>
      <c r="C1161" s="4"/>
      <c r="D1161" s="4"/>
      <c r="E1161" s="4"/>
      <c r="F1161" s="11"/>
      <c r="G1161" s="227"/>
      <c r="H1161" s="169"/>
      <c r="I1161" s="165"/>
      <c r="J1161" s="216"/>
      <c r="K1161" s="216"/>
      <c r="M1161" s="216"/>
    </row>
    <row r="1162" spans="1:13" x14ac:dyDescent="0.6">
      <c r="A1162" s="218"/>
      <c r="B1162" s="36"/>
      <c r="C1162" s="4"/>
      <c r="D1162" s="4"/>
      <c r="E1162" s="4"/>
      <c r="F1162" s="11"/>
      <c r="G1162" s="227"/>
      <c r="H1162" s="169"/>
      <c r="I1162" s="165"/>
      <c r="J1162" s="216"/>
      <c r="K1162" s="216"/>
      <c r="M1162" s="216"/>
    </row>
    <row r="1163" spans="1:13" x14ac:dyDescent="0.6">
      <c r="A1163" s="218"/>
      <c r="B1163" s="36"/>
      <c r="C1163" s="4"/>
      <c r="D1163" s="4"/>
      <c r="E1163" s="4"/>
      <c r="F1163" s="11"/>
      <c r="G1163" s="227"/>
      <c r="H1163" s="169"/>
      <c r="I1163" s="165"/>
      <c r="J1163" s="216"/>
      <c r="K1163" s="216"/>
      <c r="M1163" s="216"/>
    </row>
    <row r="1164" spans="1:13" x14ac:dyDescent="0.6">
      <c r="A1164" s="218"/>
      <c r="B1164" s="36"/>
      <c r="C1164" s="4"/>
      <c r="D1164" s="4"/>
      <c r="E1164" s="4"/>
      <c r="F1164" s="11"/>
      <c r="G1164" s="227"/>
      <c r="H1164" s="169"/>
      <c r="I1164" s="165"/>
      <c r="J1164" s="216"/>
      <c r="K1164" s="216"/>
      <c r="M1164" s="216"/>
    </row>
    <row r="1165" spans="1:13" x14ac:dyDescent="0.6">
      <c r="A1165" s="218"/>
      <c r="B1165" s="36"/>
      <c r="C1165" s="4"/>
      <c r="D1165" s="4"/>
      <c r="E1165" s="4"/>
      <c r="F1165" s="11"/>
      <c r="G1165" s="227"/>
      <c r="H1165" s="169"/>
      <c r="I1165" s="165"/>
      <c r="J1165" s="216"/>
      <c r="K1165" s="216"/>
      <c r="M1165" s="216"/>
    </row>
    <row r="1166" spans="1:13" x14ac:dyDescent="0.6">
      <c r="A1166" s="218"/>
      <c r="B1166" s="36"/>
      <c r="C1166" s="4"/>
      <c r="D1166" s="4"/>
      <c r="E1166" s="4"/>
      <c r="F1166" s="11"/>
      <c r="G1166" s="227"/>
      <c r="H1166" s="169"/>
      <c r="I1166" s="165"/>
      <c r="J1166" s="216"/>
      <c r="K1166" s="216"/>
      <c r="M1166" s="216"/>
    </row>
    <row r="1167" spans="1:13" x14ac:dyDescent="0.6">
      <c r="A1167" s="218"/>
      <c r="B1167" s="36"/>
      <c r="C1167" s="4"/>
      <c r="D1167" s="4"/>
      <c r="E1167" s="4"/>
      <c r="F1167" s="11"/>
      <c r="G1167" s="227"/>
      <c r="H1167" s="169"/>
      <c r="I1167" s="165"/>
      <c r="J1167" s="216"/>
      <c r="K1167" s="216"/>
      <c r="M1167" s="216"/>
    </row>
    <row r="1168" spans="1:13" x14ac:dyDescent="0.6">
      <c r="A1168" s="218"/>
      <c r="B1168" s="36"/>
      <c r="C1168" s="4"/>
      <c r="D1168" s="4"/>
      <c r="E1168" s="4"/>
      <c r="F1168" s="11"/>
      <c r="G1168" s="227"/>
      <c r="H1168" s="169"/>
      <c r="I1168" s="165"/>
      <c r="J1168" s="216"/>
      <c r="K1168" s="216"/>
      <c r="M1168" s="216"/>
    </row>
    <row r="1169" spans="1:13" x14ac:dyDescent="0.6">
      <c r="A1169" s="218"/>
      <c r="B1169" s="36"/>
      <c r="C1169" s="4"/>
      <c r="D1169" s="4"/>
      <c r="E1169" s="4"/>
      <c r="F1169" s="11"/>
      <c r="G1169" s="227"/>
      <c r="H1169" s="169"/>
      <c r="I1169" s="165"/>
      <c r="J1169" s="216"/>
      <c r="K1169" s="216"/>
      <c r="M1169" s="216"/>
    </row>
    <row r="1170" spans="1:13" x14ac:dyDescent="0.6">
      <c r="A1170" s="218"/>
      <c r="B1170" s="36"/>
      <c r="C1170" s="4"/>
      <c r="D1170" s="4"/>
      <c r="E1170" s="4"/>
      <c r="F1170" s="11"/>
      <c r="G1170" s="227"/>
      <c r="H1170" s="169"/>
      <c r="I1170" s="165"/>
      <c r="J1170" s="216"/>
      <c r="K1170" s="216"/>
      <c r="M1170" s="216"/>
    </row>
    <row r="1171" spans="1:13" x14ac:dyDescent="0.6">
      <c r="A1171" s="218"/>
      <c r="B1171" s="36"/>
      <c r="C1171" s="4"/>
      <c r="D1171" s="4"/>
      <c r="E1171" s="4"/>
      <c r="F1171" s="11"/>
      <c r="G1171" s="227"/>
      <c r="H1171" s="169"/>
      <c r="I1171" s="165"/>
      <c r="J1171" s="216"/>
      <c r="K1171" s="216"/>
      <c r="M1171" s="216"/>
    </row>
    <row r="1172" spans="1:13" x14ac:dyDescent="0.6">
      <c r="A1172" s="218"/>
      <c r="B1172" s="36"/>
      <c r="C1172" s="4"/>
      <c r="D1172" s="4"/>
      <c r="E1172" s="4"/>
      <c r="F1172" s="11"/>
      <c r="G1172" s="227"/>
      <c r="H1172" s="169"/>
      <c r="I1172" s="165"/>
      <c r="J1172" s="216"/>
      <c r="K1172" s="216"/>
      <c r="M1172" s="216"/>
    </row>
    <row r="1173" spans="1:13" x14ac:dyDescent="0.6">
      <c r="A1173" s="218"/>
      <c r="B1173" s="36"/>
      <c r="C1173" s="4"/>
      <c r="D1173" s="4"/>
      <c r="E1173" s="4"/>
      <c r="F1173" s="11"/>
      <c r="G1173" s="227"/>
      <c r="H1173" s="169"/>
      <c r="I1173" s="165"/>
      <c r="J1173" s="216"/>
      <c r="K1173" s="216"/>
      <c r="M1173" s="216"/>
    </row>
    <row r="1174" spans="1:13" x14ac:dyDescent="0.6">
      <c r="A1174" s="218"/>
      <c r="B1174" s="36"/>
      <c r="C1174" s="4"/>
      <c r="D1174" s="4"/>
      <c r="E1174" s="4"/>
      <c r="F1174" s="11"/>
      <c r="G1174" s="227"/>
      <c r="H1174" s="169"/>
      <c r="I1174" s="165"/>
      <c r="J1174" s="216"/>
      <c r="K1174" s="216"/>
      <c r="M1174" s="216"/>
    </row>
    <row r="1175" spans="1:13" x14ac:dyDescent="0.6">
      <c r="A1175" s="218"/>
      <c r="B1175" s="36"/>
      <c r="C1175" s="4"/>
      <c r="D1175" s="4"/>
      <c r="E1175" s="4"/>
      <c r="F1175" s="11"/>
      <c r="G1175" s="227"/>
      <c r="H1175" s="169"/>
      <c r="I1175" s="165"/>
      <c r="J1175" s="216"/>
      <c r="K1175" s="216"/>
      <c r="M1175" s="216"/>
    </row>
    <row r="1176" spans="1:13" x14ac:dyDescent="0.6">
      <c r="A1176" s="218"/>
      <c r="B1176" s="36"/>
      <c r="C1176" s="4"/>
      <c r="D1176" s="4"/>
      <c r="E1176" s="4"/>
      <c r="F1176" s="11"/>
      <c r="G1176" s="227"/>
      <c r="H1176" s="169"/>
      <c r="I1176" s="165"/>
      <c r="J1176" s="216"/>
      <c r="K1176" s="216"/>
      <c r="M1176" s="216"/>
    </row>
    <row r="1177" spans="1:13" x14ac:dyDescent="0.6">
      <c r="A1177" s="218"/>
      <c r="B1177" s="36"/>
      <c r="C1177" s="4"/>
      <c r="D1177" s="4"/>
      <c r="E1177" s="4"/>
      <c r="F1177" s="11"/>
      <c r="G1177" s="227"/>
      <c r="H1177" s="169"/>
      <c r="I1177" s="165"/>
      <c r="J1177" s="216"/>
      <c r="K1177" s="216"/>
      <c r="M1177" s="216"/>
    </row>
    <row r="1178" spans="1:13" x14ac:dyDescent="0.6">
      <c r="A1178" s="218"/>
      <c r="B1178" s="36"/>
      <c r="C1178" s="4"/>
      <c r="D1178" s="4"/>
      <c r="E1178" s="4"/>
      <c r="F1178" s="11"/>
      <c r="G1178" s="227"/>
      <c r="H1178" s="169"/>
      <c r="I1178" s="165"/>
      <c r="J1178" s="216"/>
      <c r="K1178" s="216"/>
      <c r="M1178" s="216"/>
    </row>
    <row r="1179" spans="1:13" x14ac:dyDescent="0.6">
      <c r="A1179" s="218"/>
      <c r="B1179" s="36"/>
      <c r="C1179" s="4"/>
      <c r="D1179" s="4"/>
      <c r="E1179" s="4"/>
      <c r="F1179" s="11"/>
      <c r="G1179" s="227"/>
      <c r="H1179" s="169"/>
      <c r="I1179" s="165"/>
      <c r="J1179" s="216"/>
      <c r="K1179" s="216"/>
      <c r="M1179" s="216"/>
    </row>
    <row r="1180" spans="1:13" x14ac:dyDescent="0.6">
      <c r="A1180" s="218"/>
      <c r="B1180" s="36"/>
      <c r="C1180" s="4"/>
      <c r="D1180" s="4"/>
      <c r="E1180" s="4"/>
      <c r="F1180" s="11"/>
      <c r="G1180" s="227"/>
      <c r="H1180" s="169"/>
      <c r="I1180" s="165"/>
      <c r="J1180" s="216"/>
      <c r="K1180" s="216"/>
      <c r="M1180" s="216"/>
    </row>
    <row r="1181" spans="1:13" x14ac:dyDescent="0.6">
      <c r="A1181" s="218"/>
      <c r="B1181" s="36"/>
      <c r="C1181" s="4"/>
      <c r="D1181" s="4"/>
      <c r="E1181" s="4"/>
      <c r="F1181" s="11"/>
      <c r="G1181" s="227"/>
      <c r="H1181" s="169"/>
      <c r="I1181" s="165"/>
      <c r="J1181" s="216"/>
      <c r="K1181" s="216"/>
      <c r="M1181" s="216"/>
    </row>
    <row r="1182" spans="1:13" x14ac:dyDescent="0.6">
      <c r="A1182" s="218"/>
      <c r="B1182" s="36"/>
      <c r="C1182" s="4"/>
      <c r="D1182" s="4"/>
      <c r="E1182" s="4"/>
      <c r="F1182" s="11"/>
      <c r="G1182" s="227"/>
      <c r="H1182" s="169"/>
      <c r="I1182" s="165"/>
      <c r="J1182" s="216"/>
      <c r="K1182" s="216"/>
      <c r="M1182" s="216"/>
    </row>
    <row r="1183" spans="1:13" x14ac:dyDescent="0.6">
      <c r="A1183" s="218"/>
      <c r="B1183" s="36"/>
      <c r="C1183" s="4"/>
      <c r="D1183" s="4"/>
      <c r="E1183" s="4"/>
      <c r="F1183" s="11"/>
      <c r="G1183" s="227"/>
      <c r="H1183" s="169"/>
      <c r="I1183" s="165"/>
      <c r="J1183" s="216"/>
      <c r="K1183" s="216"/>
      <c r="M1183" s="216"/>
    </row>
    <row r="1184" spans="1:13" x14ac:dyDescent="0.6">
      <c r="A1184" s="218"/>
      <c r="B1184" s="36"/>
      <c r="C1184" s="4"/>
      <c r="D1184" s="4"/>
      <c r="E1184" s="4"/>
      <c r="F1184" s="11"/>
      <c r="G1184" s="227"/>
      <c r="H1184" s="169"/>
      <c r="I1184" s="165"/>
      <c r="J1184" s="216"/>
      <c r="K1184" s="216"/>
      <c r="M1184" s="216"/>
    </row>
    <row r="1185" spans="1:13" x14ac:dyDescent="0.6">
      <c r="A1185" s="218"/>
      <c r="B1185" s="36"/>
      <c r="C1185" s="4"/>
      <c r="D1185" s="4"/>
      <c r="E1185" s="4"/>
      <c r="F1185" s="11"/>
      <c r="G1185" s="227"/>
      <c r="H1185" s="169"/>
      <c r="I1185" s="165"/>
      <c r="J1185" s="216"/>
      <c r="K1185" s="216"/>
      <c r="M1185" s="216"/>
    </row>
    <row r="1186" spans="1:13" x14ac:dyDescent="0.6">
      <c r="A1186" s="218"/>
      <c r="B1186" s="36"/>
      <c r="C1186" s="4"/>
      <c r="D1186" s="4"/>
      <c r="E1186" s="4"/>
      <c r="F1186" s="11"/>
      <c r="G1186" s="227"/>
      <c r="H1186" s="169"/>
      <c r="I1186" s="165"/>
      <c r="J1186" s="216"/>
      <c r="K1186" s="216"/>
      <c r="M1186" s="216"/>
    </row>
    <row r="1187" spans="1:13" x14ac:dyDescent="0.6">
      <c r="A1187" s="218"/>
      <c r="B1187" s="36"/>
      <c r="C1187" s="4"/>
      <c r="D1187" s="4"/>
      <c r="E1187" s="4"/>
      <c r="F1187" s="11"/>
      <c r="G1187" s="227"/>
      <c r="H1187" s="169"/>
      <c r="I1187" s="165"/>
      <c r="J1187" s="216"/>
      <c r="K1187" s="216"/>
      <c r="M1187" s="216"/>
    </row>
    <row r="1188" spans="1:13" x14ac:dyDescent="0.6">
      <c r="A1188" s="218"/>
      <c r="B1188" s="36"/>
      <c r="C1188" s="4"/>
      <c r="D1188" s="4"/>
      <c r="E1188" s="4"/>
      <c r="F1188" s="11"/>
      <c r="G1188" s="227"/>
      <c r="H1188" s="169"/>
      <c r="I1188" s="165"/>
      <c r="J1188" s="216"/>
      <c r="K1188" s="216"/>
      <c r="M1188" s="216"/>
    </row>
    <row r="1189" spans="1:13" x14ac:dyDescent="0.6">
      <c r="A1189" s="218"/>
      <c r="B1189" s="36"/>
      <c r="C1189" s="4"/>
      <c r="D1189" s="4"/>
      <c r="E1189" s="4"/>
      <c r="F1189" s="11"/>
      <c r="G1189" s="227"/>
      <c r="H1189" s="169"/>
      <c r="I1189" s="165"/>
      <c r="J1189" s="216"/>
      <c r="K1189" s="216"/>
      <c r="M1189" s="216"/>
    </row>
    <row r="1190" spans="1:13" x14ac:dyDescent="0.6">
      <c r="A1190" s="218"/>
      <c r="B1190" s="36"/>
      <c r="C1190" s="4"/>
      <c r="D1190" s="4"/>
      <c r="E1190" s="4"/>
      <c r="F1190" s="11"/>
      <c r="G1190" s="227"/>
      <c r="H1190" s="169"/>
      <c r="I1190" s="165"/>
      <c r="J1190" s="216"/>
      <c r="K1190" s="216"/>
      <c r="M1190" s="216"/>
    </row>
    <row r="1191" spans="1:13" x14ac:dyDescent="0.6">
      <c r="A1191" s="218"/>
      <c r="B1191" s="36"/>
      <c r="C1191" s="4"/>
      <c r="D1191" s="4"/>
      <c r="E1191" s="4"/>
      <c r="F1191" s="11"/>
      <c r="G1191" s="227"/>
      <c r="H1191" s="169"/>
      <c r="I1191" s="165"/>
      <c r="J1191" s="216"/>
      <c r="K1191" s="216"/>
      <c r="M1191" s="216"/>
    </row>
    <row r="1192" spans="1:13" x14ac:dyDescent="0.6">
      <c r="A1192" s="218"/>
      <c r="B1192" s="36"/>
      <c r="C1192" s="4"/>
      <c r="D1192" s="4"/>
      <c r="E1192" s="4"/>
      <c r="F1192" s="11"/>
      <c r="G1192" s="227"/>
      <c r="H1192" s="169"/>
      <c r="I1192" s="165"/>
      <c r="J1192" s="216"/>
      <c r="K1192" s="216"/>
      <c r="M1192" s="216"/>
    </row>
    <row r="1193" spans="1:13" x14ac:dyDescent="0.6">
      <c r="A1193" s="218"/>
      <c r="B1193" s="36"/>
      <c r="C1193" s="4"/>
      <c r="D1193" s="4"/>
      <c r="E1193" s="4"/>
      <c r="F1193" s="11"/>
      <c r="G1193" s="227"/>
      <c r="H1193" s="169"/>
      <c r="I1193" s="165"/>
      <c r="J1193" s="216"/>
      <c r="K1193" s="216"/>
      <c r="M1193" s="216"/>
    </row>
    <row r="1194" spans="1:13" x14ac:dyDescent="0.6">
      <c r="A1194" s="218"/>
      <c r="B1194" s="36"/>
      <c r="C1194" s="4"/>
      <c r="D1194" s="4"/>
      <c r="E1194" s="4"/>
      <c r="F1194" s="11"/>
      <c r="G1194" s="227"/>
      <c r="H1194" s="169"/>
      <c r="I1194" s="165"/>
      <c r="J1194" s="216"/>
      <c r="K1194" s="216"/>
      <c r="M1194" s="216"/>
    </row>
    <row r="1195" spans="1:13" x14ac:dyDescent="0.6">
      <c r="A1195" s="218"/>
      <c r="B1195" s="36"/>
      <c r="C1195" s="4"/>
      <c r="D1195" s="4"/>
      <c r="E1195" s="4"/>
      <c r="F1195" s="11"/>
      <c r="G1195" s="227"/>
      <c r="H1195" s="169"/>
      <c r="I1195" s="165"/>
      <c r="J1195" s="216"/>
      <c r="K1195" s="216"/>
      <c r="M1195" s="216"/>
    </row>
    <row r="1196" spans="1:13" x14ac:dyDescent="0.6">
      <c r="A1196" s="218"/>
      <c r="B1196" s="36"/>
      <c r="C1196" s="4"/>
      <c r="D1196" s="4"/>
      <c r="E1196" s="4"/>
      <c r="F1196" s="11"/>
      <c r="G1196" s="227"/>
      <c r="H1196" s="169"/>
      <c r="I1196" s="165"/>
      <c r="J1196" s="216"/>
      <c r="K1196" s="216"/>
      <c r="M1196" s="216"/>
    </row>
    <row r="1197" spans="1:13" x14ac:dyDescent="0.6">
      <c r="A1197" s="218"/>
      <c r="B1197" s="36"/>
      <c r="C1197" s="4"/>
      <c r="D1197" s="4"/>
      <c r="E1197" s="4"/>
      <c r="F1197" s="11"/>
      <c r="G1197" s="227"/>
      <c r="H1197" s="169"/>
      <c r="I1197" s="165"/>
      <c r="J1197" s="216"/>
      <c r="K1197" s="216"/>
      <c r="M1197" s="216"/>
    </row>
    <row r="1198" spans="1:13" x14ac:dyDescent="0.6">
      <c r="A1198" s="218"/>
      <c r="B1198" s="36"/>
      <c r="C1198" s="4"/>
      <c r="D1198" s="4"/>
      <c r="E1198" s="4"/>
      <c r="F1198" s="11"/>
      <c r="G1198" s="227"/>
      <c r="H1198" s="169"/>
      <c r="I1198" s="165"/>
      <c r="J1198" s="216"/>
      <c r="K1198" s="216"/>
      <c r="M1198" s="216"/>
    </row>
    <row r="1199" spans="1:13" x14ac:dyDescent="0.6">
      <c r="A1199" s="218"/>
      <c r="B1199" s="36"/>
      <c r="C1199" s="4"/>
      <c r="D1199" s="4"/>
      <c r="E1199" s="4"/>
      <c r="F1199" s="11"/>
      <c r="G1199" s="227"/>
      <c r="H1199" s="169"/>
      <c r="I1199" s="165"/>
      <c r="J1199" s="216"/>
      <c r="K1199" s="216"/>
      <c r="M1199" s="216"/>
    </row>
    <row r="1200" spans="1:13" x14ac:dyDescent="0.6">
      <c r="A1200" s="218"/>
      <c r="B1200" s="36"/>
      <c r="C1200" s="4"/>
      <c r="D1200" s="4"/>
      <c r="E1200" s="4"/>
      <c r="F1200" s="11"/>
      <c r="G1200" s="227"/>
      <c r="H1200" s="169"/>
      <c r="I1200" s="165"/>
      <c r="J1200" s="216"/>
      <c r="K1200" s="216"/>
      <c r="M1200" s="216"/>
    </row>
    <row r="1201" spans="1:13" x14ac:dyDescent="0.6">
      <c r="A1201" s="218"/>
      <c r="B1201" s="36"/>
      <c r="C1201" s="4"/>
      <c r="D1201" s="4"/>
      <c r="E1201" s="4"/>
      <c r="F1201" s="11"/>
      <c r="G1201" s="227"/>
      <c r="H1201" s="169"/>
      <c r="I1201" s="165"/>
      <c r="J1201" s="216"/>
      <c r="K1201" s="216"/>
      <c r="M1201" s="216"/>
    </row>
    <row r="1202" spans="1:13" x14ac:dyDescent="0.6">
      <c r="A1202" s="218"/>
      <c r="B1202" s="36"/>
      <c r="C1202" s="4"/>
      <c r="D1202" s="4"/>
      <c r="E1202" s="4"/>
      <c r="F1202" s="11"/>
      <c r="G1202" s="227"/>
      <c r="H1202" s="169"/>
      <c r="I1202" s="165"/>
      <c r="J1202" s="216"/>
      <c r="K1202" s="216"/>
      <c r="M1202" s="216"/>
    </row>
    <row r="1203" spans="1:13" x14ac:dyDescent="0.6">
      <c r="A1203" s="218"/>
      <c r="B1203" s="36"/>
      <c r="C1203" s="4"/>
      <c r="D1203" s="4"/>
      <c r="E1203" s="4"/>
      <c r="F1203" s="11"/>
      <c r="G1203" s="227"/>
      <c r="H1203" s="169"/>
      <c r="I1203" s="165"/>
      <c r="J1203" s="216"/>
      <c r="K1203" s="216"/>
      <c r="M1203" s="216"/>
    </row>
    <row r="1204" spans="1:13" x14ac:dyDescent="0.6">
      <c r="A1204" s="218"/>
      <c r="B1204" s="36"/>
      <c r="C1204" s="4"/>
      <c r="D1204" s="4"/>
      <c r="E1204" s="4"/>
      <c r="F1204" s="11"/>
      <c r="G1204" s="227"/>
      <c r="H1204" s="169"/>
      <c r="I1204" s="165"/>
      <c r="J1204" s="216"/>
      <c r="K1204" s="216"/>
      <c r="M1204" s="216"/>
    </row>
    <row r="1205" spans="1:13" x14ac:dyDescent="0.6">
      <c r="A1205" s="218"/>
      <c r="B1205" s="36"/>
      <c r="C1205" s="4"/>
      <c r="D1205" s="4"/>
      <c r="E1205" s="4"/>
      <c r="F1205" s="11"/>
      <c r="G1205" s="227"/>
      <c r="H1205" s="169"/>
      <c r="I1205" s="165"/>
      <c r="J1205" s="216"/>
      <c r="K1205" s="216"/>
      <c r="M1205" s="216"/>
    </row>
    <row r="1206" spans="1:13" x14ac:dyDescent="0.6">
      <c r="A1206" s="218"/>
      <c r="B1206" s="36"/>
      <c r="C1206" s="4"/>
      <c r="D1206" s="4"/>
      <c r="E1206" s="4"/>
      <c r="F1206" s="11"/>
      <c r="G1206" s="227"/>
      <c r="H1206" s="169"/>
      <c r="I1206" s="165"/>
      <c r="J1206" s="216"/>
      <c r="K1206" s="216"/>
      <c r="M1206" s="216"/>
    </row>
    <row r="1207" spans="1:13" x14ac:dyDescent="0.6">
      <c r="A1207" s="218"/>
      <c r="B1207" s="36"/>
      <c r="C1207" s="4"/>
      <c r="D1207" s="4"/>
      <c r="E1207" s="3"/>
      <c r="F1207" s="11"/>
      <c r="G1207" s="227"/>
      <c r="H1207" s="169"/>
      <c r="I1207" s="165"/>
      <c r="J1207" s="216"/>
      <c r="K1207" s="216"/>
      <c r="M1207" s="216"/>
    </row>
    <row r="1208" spans="1:13" x14ac:dyDescent="0.6">
      <c r="A1208" s="218"/>
      <c r="B1208" s="36"/>
      <c r="C1208" s="4"/>
      <c r="D1208" s="4"/>
      <c r="E1208" s="3"/>
      <c r="F1208" s="11"/>
      <c r="G1208" s="227"/>
      <c r="H1208" s="169"/>
      <c r="I1208" s="165"/>
      <c r="J1208" s="216"/>
      <c r="K1208" s="216"/>
      <c r="M1208" s="216"/>
    </row>
    <row r="1209" spans="1:13" x14ac:dyDescent="0.6">
      <c r="A1209" s="218"/>
      <c r="B1209" s="36"/>
      <c r="C1209" s="4"/>
      <c r="D1209" s="4"/>
      <c r="E1209" s="3"/>
      <c r="F1209" s="11"/>
      <c r="G1209" s="227"/>
      <c r="H1209" s="169"/>
      <c r="I1209" s="165"/>
      <c r="J1209" s="216"/>
      <c r="K1209" s="216"/>
      <c r="M1209" s="216"/>
    </row>
    <row r="1210" spans="1:13" x14ac:dyDescent="0.6">
      <c r="A1210" s="218"/>
      <c r="B1210" s="36"/>
      <c r="C1210" s="4"/>
      <c r="D1210" s="4"/>
      <c r="E1210" s="3"/>
      <c r="F1210" s="11"/>
      <c r="G1210" s="227"/>
      <c r="H1210" s="169"/>
      <c r="I1210" s="165"/>
      <c r="J1210" s="216"/>
      <c r="K1210" s="216"/>
      <c r="M1210" s="216"/>
    </row>
    <row r="1211" spans="1:13" x14ac:dyDescent="0.6">
      <c r="A1211" s="218"/>
      <c r="B1211" s="36"/>
      <c r="C1211" s="4"/>
      <c r="D1211" s="4"/>
      <c r="E1211" s="3"/>
      <c r="F1211" s="11"/>
      <c r="G1211" s="227"/>
      <c r="H1211" s="169"/>
      <c r="I1211" s="165"/>
      <c r="J1211" s="216"/>
      <c r="K1211" s="216"/>
      <c r="M1211" s="216"/>
    </row>
    <row r="1212" spans="1:13" x14ac:dyDescent="0.6">
      <c r="A1212" s="218"/>
      <c r="B1212" s="36"/>
      <c r="C1212" s="4"/>
      <c r="D1212" s="4"/>
      <c r="E1212" s="3"/>
      <c r="F1212" s="11"/>
      <c r="G1212" s="227"/>
      <c r="H1212" s="169"/>
      <c r="I1212" s="165"/>
      <c r="J1212" s="216"/>
      <c r="K1212" s="216"/>
      <c r="M1212" s="216"/>
    </row>
    <row r="1213" spans="1:13" x14ac:dyDescent="0.6">
      <c r="A1213" s="218"/>
      <c r="B1213" s="36"/>
      <c r="C1213" s="4"/>
      <c r="D1213" s="4"/>
      <c r="E1213" s="3"/>
      <c r="F1213" s="11"/>
      <c r="G1213" s="227"/>
      <c r="H1213" s="169"/>
      <c r="I1213" s="165"/>
      <c r="J1213" s="216"/>
      <c r="K1213" s="216"/>
      <c r="M1213" s="216"/>
    </row>
    <row r="1214" spans="1:13" x14ac:dyDescent="0.6">
      <c r="A1214" s="218"/>
      <c r="B1214" s="36"/>
      <c r="C1214" s="4"/>
      <c r="D1214" s="4"/>
      <c r="E1214" s="3"/>
      <c r="F1214" s="11"/>
      <c r="G1214" s="227"/>
      <c r="H1214" s="169"/>
      <c r="I1214" s="165"/>
      <c r="J1214" s="216"/>
      <c r="K1214" s="216"/>
      <c r="M1214" s="216"/>
    </row>
    <row r="1215" spans="1:13" x14ac:dyDescent="0.6">
      <c r="A1215" s="218"/>
      <c r="B1215" s="36"/>
      <c r="C1215" s="4"/>
      <c r="D1215" s="4"/>
      <c r="E1215" s="3"/>
      <c r="F1215" s="11"/>
      <c r="G1215" s="227"/>
      <c r="H1215" s="169"/>
      <c r="I1215" s="165"/>
      <c r="J1215" s="216"/>
      <c r="K1215" s="216"/>
      <c r="M1215" s="216"/>
    </row>
    <row r="1216" spans="1:13" x14ac:dyDescent="0.6">
      <c r="A1216" s="218"/>
      <c r="B1216" s="36"/>
      <c r="C1216" s="4"/>
      <c r="D1216" s="4"/>
      <c r="E1216" s="3"/>
      <c r="F1216" s="11"/>
      <c r="G1216" s="227"/>
      <c r="H1216" s="169"/>
      <c r="I1216" s="165"/>
      <c r="J1216" s="216"/>
      <c r="K1216" s="216"/>
      <c r="M1216" s="216"/>
    </row>
    <row r="1217" spans="1:13" x14ac:dyDescent="0.6">
      <c r="A1217" s="218"/>
      <c r="B1217" s="36"/>
      <c r="C1217" s="4"/>
      <c r="D1217" s="4"/>
      <c r="E1217" s="3"/>
      <c r="F1217" s="11"/>
      <c r="G1217" s="227"/>
      <c r="H1217" s="169"/>
      <c r="I1217" s="165"/>
      <c r="J1217" s="216"/>
      <c r="K1217" s="216"/>
      <c r="M1217" s="216"/>
    </row>
    <row r="1218" spans="1:13" x14ac:dyDescent="0.6">
      <c r="A1218" s="218"/>
      <c r="B1218" s="36"/>
      <c r="C1218" s="4"/>
      <c r="D1218" s="4"/>
      <c r="E1218" s="3"/>
      <c r="F1218" s="11"/>
      <c r="G1218" s="227"/>
      <c r="H1218" s="169"/>
      <c r="I1218" s="165"/>
      <c r="J1218" s="216"/>
      <c r="K1218" s="216"/>
      <c r="M1218" s="216"/>
    </row>
    <row r="1219" spans="1:13" x14ac:dyDescent="0.6">
      <c r="A1219" s="218"/>
      <c r="B1219" s="36"/>
      <c r="C1219" s="4"/>
      <c r="D1219" s="4"/>
      <c r="E1219" s="3"/>
      <c r="F1219" s="11"/>
      <c r="G1219" s="227"/>
      <c r="H1219" s="169"/>
      <c r="I1219" s="165"/>
      <c r="J1219" s="216"/>
      <c r="K1219" s="216"/>
      <c r="M1219" s="216"/>
    </row>
    <row r="1220" spans="1:13" x14ac:dyDescent="0.6">
      <c r="A1220" s="218"/>
      <c r="B1220" s="36"/>
      <c r="C1220" s="4"/>
      <c r="D1220" s="4"/>
      <c r="E1220" s="3"/>
      <c r="F1220" s="11"/>
      <c r="G1220" s="227"/>
      <c r="H1220" s="169"/>
      <c r="I1220" s="165"/>
      <c r="J1220" s="216"/>
      <c r="K1220" s="216"/>
      <c r="M1220" s="216"/>
    </row>
    <row r="1221" spans="1:13" x14ac:dyDescent="0.6">
      <c r="A1221" s="218"/>
      <c r="B1221" s="36"/>
      <c r="C1221" s="4"/>
      <c r="D1221" s="4"/>
      <c r="E1221" s="3"/>
      <c r="F1221" s="11"/>
      <c r="G1221" s="227"/>
      <c r="H1221" s="169"/>
      <c r="I1221" s="165"/>
      <c r="J1221" s="216"/>
      <c r="K1221" s="216"/>
      <c r="M1221" s="216"/>
    </row>
    <row r="1222" spans="1:13" x14ac:dyDescent="0.6">
      <c r="A1222" s="218"/>
      <c r="B1222" s="36"/>
      <c r="C1222" s="4"/>
      <c r="D1222" s="4"/>
      <c r="E1222" s="3"/>
      <c r="F1222" s="11"/>
      <c r="G1222" s="227"/>
      <c r="H1222" s="169"/>
      <c r="I1222" s="165"/>
      <c r="J1222" s="216"/>
      <c r="K1222" s="216"/>
      <c r="M1222" s="216"/>
    </row>
    <row r="1223" spans="1:13" x14ac:dyDescent="0.6">
      <c r="A1223" s="218"/>
      <c r="B1223" s="36"/>
      <c r="C1223" s="4"/>
      <c r="D1223" s="4"/>
      <c r="E1223" s="3"/>
      <c r="F1223" s="11"/>
      <c r="G1223" s="227"/>
      <c r="H1223" s="169"/>
      <c r="I1223" s="165"/>
      <c r="J1223" s="216"/>
      <c r="K1223" s="216"/>
      <c r="M1223" s="216"/>
    </row>
    <row r="1224" spans="1:13" x14ac:dyDescent="0.6">
      <c r="A1224" s="218"/>
      <c r="B1224" s="36"/>
      <c r="C1224" s="4"/>
      <c r="D1224" s="4"/>
      <c r="E1224" s="3"/>
      <c r="F1224" s="11"/>
      <c r="G1224" s="227"/>
      <c r="H1224" s="169"/>
      <c r="I1224" s="165"/>
      <c r="J1224" s="216"/>
      <c r="K1224" s="216"/>
      <c r="M1224" s="216"/>
    </row>
    <row r="1225" spans="1:13" x14ac:dyDescent="0.6">
      <c r="A1225" s="218"/>
      <c r="B1225" s="36"/>
      <c r="C1225" s="4"/>
      <c r="D1225" s="4"/>
      <c r="E1225" s="3"/>
      <c r="F1225" s="11"/>
      <c r="G1225" s="227"/>
      <c r="H1225" s="169"/>
      <c r="I1225" s="165"/>
      <c r="J1225" s="216"/>
      <c r="K1225" s="216"/>
      <c r="M1225" s="216"/>
    </row>
    <row r="1226" spans="1:13" x14ac:dyDescent="0.6">
      <c r="A1226" s="218"/>
      <c r="B1226" s="36"/>
      <c r="C1226" s="4"/>
      <c r="D1226" s="4"/>
      <c r="E1226" s="3"/>
      <c r="F1226" s="11"/>
      <c r="G1226" s="227"/>
      <c r="H1226" s="169"/>
      <c r="I1226" s="165"/>
      <c r="J1226" s="216"/>
      <c r="K1226" s="216"/>
      <c r="M1226" s="216"/>
    </row>
    <row r="1227" spans="1:13" x14ac:dyDescent="0.6">
      <c r="A1227" s="218"/>
      <c r="B1227" s="36"/>
      <c r="C1227" s="4"/>
      <c r="D1227" s="4"/>
      <c r="E1227" s="3"/>
      <c r="F1227" s="11"/>
      <c r="G1227" s="227"/>
      <c r="H1227" s="169"/>
      <c r="I1227" s="165"/>
      <c r="J1227" s="216"/>
      <c r="K1227" s="216"/>
      <c r="M1227" s="216"/>
    </row>
    <row r="1228" spans="1:13" x14ac:dyDescent="0.6">
      <c r="A1228" s="218"/>
      <c r="B1228" s="36"/>
      <c r="C1228" s="4"/>
      <c r="D1228" s="4"/>
      <c r="E1228" s="3"/>
      <c r="F1228" s="11"/>
      <c r="G1228" s="227"/>
      <c r="H1228" s="169"/>
      <c r="I1228" s="165"/>
      <c r="J1228" s="216"/>
      <c r="K1228" s="216"/>
      <c r="M1228" s="216"/>
    </row>
    <row r="1229" spans="1:13" x14ac:dyDescent="0.6">
      <c r="A1229" s="218"/>
      <c r="B1229" s="36"/>
      <c r="C1229" s="4"/>
      <c r="D1229" s="4"/>
      <c r="E1229" s="3"/>
      <c r="F1229" s="11"/>
      <c r="G1229" s="227"/>
      <c r="H1229" s="169"/>
      <c r="I1229" s="165"/>
      <c r="J1229" s="216"/>
      <c r="K1229" s="216"/>
      <c r="M1229" s="216"/>
    </row>
    <row r="1230" spans="1:13" x14ac:dyDescent="0.6">
      <c r="A1230" s="218"/>
      <c r="B1230" s="36"/>
      <c r="C1230" s="4"/>
      <c r="D1230" s="4"/>
      <c r="E1230" s="3"/>
      <c r="F1230" s="11"/>
      <c r="G1230" s="227"/>
      <c r="H1230" s="169"/>
      <c r="I1230" s="165"/>
      <c r="J1230" s="216"/>
      <c r="K1230" s="216"/>
      <c r="M1230" s="216"/>
    </row>
    <row r="1231" spans="1:13" x14ac:dyDescent="0.6">
      <c r="A1231" s="218"/>
      <c r="B1231" s="36"/>
      <c r="C1231" s="4"/>
      <c r="D1231" s="4"/>
      <c r="E1231" s="3"/>
      <c r="F1231" s="11"/>
      <c r="G1231" s="227"/>
      <c r="H1231" s="169"/>
      <c r="I1231" s="165"/>
      <c r="J1231" s="216"/>
      <c r="K1231" s="216"/>
      <c r="M1231" s="216"/>
    </row>
    <row r="1232" spans="1:13" x14ac:dyDescent="0.6">
      <c r="A1232" s="218"/>
      <c r="B1232" s="36"/>
      <c r="C1232" s="4"/>
      <c r="D1232" s="4"/>
      <c r="E1232" s="3"/>
      <c r="F1232" s="11"/>
      <c r="G1232" s="227"/>
      <c r="H1232" s="169"/>
      <c r="I1232" s="165"/>
      <c r="J1232" s="216"/>
      <c r="K1232" s="216"/>
      <c r="M1232" s="216"/>
    </row>
    <row r="1233" spans="1:13" x14ac:dyDescent="0.6">
      <c r="A1233" s="218"/>
      <c r="B1233" s="36"/>
      <c r="C1233" s="4"/>
      <c r="D1233" s="4"/>
      <c r="E1233" s="3"/>
      <c r="F1233" s="11"/>
      <c r="G1233" s="227"/>
      <c r="H1233" s="169"/>
      <c r="I1233" s="165"/>
      <c r="J1233" s="216"/>
      <c r="K1233" s="216"/>
      <c r="M1233" s="216"/>
    </row>
    <row r="1234" spans="1:13" x14ac:dyDescent="0.6">
      <c r="A1234" s="218"/>
      <c r="B1234" s="36"/>
      <c r="C1234" s="4"/>
      <c r="D1234" s="4"/>
      <c r="E1234" s="3"/>
      <c r="F1234" s="11"/>
      <c r="G1234" s="227"/>
      <c r="H1234" s="169"/>
      <c r="I1234" s="165"/>
      <c r="J1234" s="216"/>
      <c r="K1234" s="216"/>
      <c r="M1234" s="216"/>
    </row>
    <row r="1235" spans="1:13" x14ac:dyDescent="0.6">
      <c r="A1235" s="218"/>
      <c r="B1235" s="36"/>
      <c r="C1235" s="4"/>
      <c r="D1235" s="4"/>
      <c r="E1235" s="3"/>
      <c r="F1235" s="11"/>
      <c r="G1235" s="227"/>
      <c r="H1235" s="169"/>
      <c r="I1235" s="165"/>
      <c r="J1235" s="216"/>
      <c r="K1235" s="216"/>
      <c r="M1235" s="216"/>
    </row>
    <row r="1236" spans="1:13" x14ac:dyDescent="0.6">
      <c r="A1236" s="218"/>
      <c r="B1236" s="36"/>
      <c r="C1236" s="4"/>
      <c r="D1236" s="4"/>
      <c r="E1236" s="3"/>
      <c r="F1236" s="11"/>
      <c r="G1236" s="227"/>
      <c r="H1236" s="169"/>
      <c r="I1236" s="165"/>
      <c r="J1236" s="216"/>
      <c r="K1236" s="216"/>
      <c r="M1236" s="216"/>
    </row>
    <row r="1237" spans="1:13" x14ac:dyDescent="0.6">
      <c r="A1237" s="218"/>
      <c r="B1237" s="36"/>
      <c r="C1237" s="4"/>
      <c r="D1237" s="4"/>
      <c r="E1237" s="3"/>
      <c r="F1237" s="11"/>
      <c r="G1237" s="227"/>
      <c r="H1237" s="169"/>
      <c r="I1237" s="165"/>
      <c r="J1237" s="216"/>
      <c r="K1237" s="216"/>
      <c r="M1237" s="216"/>
    </row>
    <row r="1238" spans="1:13" x14ac:dyDescent="0.6">
      <c r="A1238" s="218"/>
      <c r="B1238" s="36"/>
      <c r="C1238" s="4"/>
      <c r="D1238" s="4"/>
      <c r="E1238" s="3"/>
      <c r="F1238" s="11"/>
      <c r="G1238" s="227"/>
      <c r="H1238" s="169"/>
      <c r="I1238" s="165"/>
      <c r="J1238" s="216"/>
      <c r="K1238" s="216"/>
      <c r="M1238" s="216"/>
    </row>
    <row r="1239" spans="1:13" x14ac:dyDescent="0.6">
      <c r="A1239" s="218"/>
      <c r="B1239" s="36"/>
      <c r="C1239" s="4"/>
      <c r="D1239" s="4"/>
      <c r="E1239" s="3"/>
      <c r="F1239" s="11"/>
      <c r="G1239" s="227"/>
      <c r="H1239" s="169"/>
      <c r="I1239" s="165"/>
      <c r="J1239" s="216"/>
      <c r="K1239" s="216"/>
      <c r="M1239" s="216"/>
    </row>
    <row r="1240" spans="1:13" x14ac:dyDescent="0.6">
      <c r="A1240" s="218"/>
      <c r="B1240" s="36"/>
      <c r="C1240" s="4"/>
      <c r="D1240" s="4"/>
      <c r="E1240" s="3"/>
      <c r="F1240" s="11"/>
      <c r="G1240" s="227"/>
      <c r="H1240" s="169"/>
      <c r="I1240" s="165"/>
      <c r="J1240" s="216"/>
      <c r="K1240" s="216"/>
      <c r="M1240" s="216"/>
    </row>
    <row r="1241" spans="1:13" x14ac:dyDescent="0.6">
      <c r="A1241" s="218"/>
      <c r="B1241" s="36"/>
      <c r="C1241" s="4"/>
      <c r="D1241" s="4"/>
      <c r="E1241" s="3"/>
      <c r="F1241" s="11"/>
      <c r="G1241" s="227"/>
      <c r="H1241" s="169"/>
      <c r="I1241" s="165"/>
      <c r="J1241" s="216"/>
      <c r="K1241" s="216"/>
      <c r="M1241" s="216"/>
    </row>
    <row r="1242" spans="1:13" x14ac:dyDescent="0.6">
      <c r="A1242" s="218"/>
      <c r="B1242" s="36"/>
      <c r="C1242" s="4"/>
      <c r="D1242" s="4"/>
      <c r="E1242" s="3"/>
      <c r="F1242" s="11"/>
      <c r="G1242" s="227"/>
      <c r="H1242" s="169"/>
      <c r="I1242" s="165"/>
      <c r="J1242" s="216"/>
      <c r="K1242" s="216"/>
      <c r="M1242" s="216"/>
    </row>
    <row r="1243" spans="1:13" x14ac:dyDescent="0.6">
      <c r="A1243" s="218"/>
      <c r="B1243" s="36"/>
      <c r="C1243" s="4"/>
      <c r="D1243" s="4"/>
      <c r="E1243" s="3"/>
      <c r="F1243" s="11"/>
      <c r="G1243" s="227"/>
      <c r="H1243" s="169"/>
      <c r="I1243" s="165"/>
      <c r="J1243" s="216"/>
      <c r="K1243" s="216"/>
      <c r="M1243" s="216"/>
    </row>
    <row r="1244" spans="1:13" x14ac:dyDescent="0.6">
      <c r="A1244" s="218"/>
      <c r="B1244" s="36"/>
      <c r="C1244" s="4"/>
      <c r="D1244" s="4"/>
      <c r="E1244" s="3"/>
      <c r="F1244" s="11"/>
      <c r="G1244" s="227"/>
      <c r="H1244" s="169"/>
      <c r="I1244" s="165"/>
      <c r="J1244" s="216"/>
      <c r="K1244" s="216"/>
      <c r="M1244" s="216"/>
    </row>
    <row r="1245" spans="1:13" x14ac:dyDescent="0.6">
      <c r="A1245" s="218"/>
      <c r="B1245" s="36"/>
      <c r="C1245" s="4"/>
      <c r="D1245" s="4"/>
      <c r="E1245" s="3"/>
      <c r="F1245" s="11"/>
      <c r="G1245" s="227"/>
      <c r="H1245" s="169"/>
      <c r="I1245" s="165"/>
      <c r="J1245" s="216"/>
      <c r="K1245" s="216"/>
      <c r="M1245" s="216"/>
    </row>
    <row r="1246" spans="1:13" x14ac:dyDescent="0.6">
      <c r="A1246" s="218"/>
      <c r="B1246" s="36"/>
      <c r="C1246" s="4"/>
      <c r="D1246" s="4"/>
      <c r="E1246" s="3"/>
      <c r="F1246" s="11"/>
      <c r="G1246" s="227"/>
      <c r="H1246" s="169"/>
      <c r="I1246" s="165"/>
      <c r="J1246" s="216"/>
      <c r="K1246" s="216"/>
      <c r="M1246" s="216"/>
    </row>
    <row r="1247" spans="1:13" x14ac:dyDescent="0.6">
      <c r="A1247" s="218"/>
      <c r="B1247" s="36"/>
      <c r="C1247" s="4"/>
      <c r="D1247" s="4"/>
      <c r="E1247" s="3"/>
      <c r="F1247" s="11"/>
      <c r="G1247" s="227"/>
      <c r="H1247" s="169"/>
      <c r="I1247" s="165"/>
      <c r="J1247" s="216"/>
      <c r="K1247" s="216"/>
      <c r="M1247" s="216"/>
    </row>
    <row r="1248" spans="1:13" x14ac:dyDescent="0.6">
      <c r="A1248" s="218"/>
      <c r="B1248" s="36"/>
      <c r="C1248" s="4"/>
      <c r="D1248" s="4"/>
      <c r="E1248" s="3"/>
      <c r="F1248" s="11"/>
      <c r="G1248" s="227"/>
      <c r="H1248" s="169"/>
      <c r="I1248" s="165"/>
      <c r="J1248" s="216"/>
      <c r="K1248" s="216"/>
      <c r="M1248" s="216"/>
    </row>
    <row r="1249" spans="1:13" x14ac:dyDescent="0.6">
      <c r="A1249" s="218"/>
      <c r="B1249" s="36"/>
      <c r="C1249" s="4"/>
      <c r="D1249" s="4"/>
      <c r="E1249" s="3"/>
      <c r="F1249" s="11"/>
      <c r="G1249" s="227"/>
      <c r="H1249" s="169"/>
      <c r="I1249" s="165"/>
      <c r="J1249" s="216"/>
      <c r="K1249" s="216"/>
      <c r="M1249" s="216"/>
    </row>
    <row r="1250" spans="1:13" x14ac:dyDescent="0.6">
      <c r="A1250" s="218"/>
      <c r="B1250" s="36"/>
      <c r="C1250" s="4"/>
      <c r="D1250" s="4"/>
      <c r="E1250" s="3"/>
      <c r="F1250" s="11"/>
      <c r="G1250" s="227"/>
      <c r="H1250" s="169"/>
      <c r="I1250" s="165"/>
      <c r="J1250" s="216"/>
      <c r="K1250" s="216"/>
      <c r="M1250" s="216"/>
    </row>
    <row r="1251" spans="1:13" x14ac:dyDescent="0.6">
      <c r="A1251" s="218"/>
      <c r="B1251" s="36"/>
      <c r="C1251" s="4"/>
      <c r="D1251" s="4"/>
      <c r="E1251" s="3"/>
      <c r="F1251" s="11"/>
      <c r="G1251" s="227"/>
      <c r="H1251" s="169"/>
      <c r="I1251" s="165"/>
      <c r="J1251" s="216"/>
      <c r="K1251" s="216"/>
      <c r="M1251" s="216"/>
    </row>
    <row r="1252" spans="1:13" x14ac:dyDescent="0.6">
      <c r="A1252" s="218"/>
      <c r="B1252" s="36"/>
      <c r="C1252" s="4"/>
      <c r="D1252" s="4"/>
      <c r="E1252" s="3"/>
      <c r="F1252" s="11"/>
      <c r="G1252" s="227"/>
      <c r="H1252" s="169"/>
      <c r="I1252" s="165"/>
      <c r="J1252" s="216"/>
      <c r="K1252" s="216"/>
      <c r="M1252" s="216"/>
    </row>
    <row r="1253" spans="1:13" x14ac:dyDescent="0.6">
      <c r="A1253" s="218"/>
      <c r="B1253" s="36"/>
      <c r="C1253" s="4"/>
      <c r="D1253" s="4"/>
      <c r="E1253" s="3"/>
      <c r="F1253" s="11"/>
      <c r="G1253" s="227"/>
      <c r="H1253" s="169"/>
      <c r="I1253" s="165"/>
      <c r="J1253" s="216"/>
      <c r="K1253" s="216"/>
      <c r="M1253" s="216"/>
    </row>
    <row r="1254" spans="1:13" x14ac:dyDescent="0.6">
      <c r="A1254" s="218"/>
      <c r="B1254" s="36"/>
      <c r="C1254" s="4"/>
      <c r="D1254" s="4"/>
      <c r="E1254" s="3"/>
      <c r="F1254" s="11"/>
      <c r="G1254" s="227"/>
      <c r="H1254" s="169"/>
      <c r="I1254" s="165"/>
      <c r="J1254" s="216"/>
      <c r="K1254" s="216"/>
      <c r="M1254" s="216"/>
    </row>
    <row r="1255" spans="1:13" x14ac:dyDescent="0.6">
      <c r="A1255" s="218"/>
      <c r="B1255" s="36"/>
      <c r="C1255" s="4"/>
      <c r="D1255" s="4"/>
      <c r="E1255" s="3"/>
      <c r="F1255" s="11"/>
      <c r="G1255" s="227"/>
      <c r="H1255" s="169"/>
      <c r="I1255" s="165"/>
      <c r="J1255" s="216"/>
      <c r="K1255" s="216"/>
      <c r="M1255" s="216"/>
    </row>
    <row r="1256" spans="1:13" x14ac:dyDescent="0.6">
      <c r="A1256" s="218"/>
      <c r="B1256" s="36"/>
      <c r="C1256" s="4"/>
      <c r="D1256" s="4"/>
      <c r="E1256" s="3"/>
      <c r="F1256" s="11"/>
      <c r="G1256" s="227"/>
      <c r="H1256" s="169"/>
      <c r="I1256" s="165"/>
      <c r="J1256" s="216"/>
      <c r="K1256" s="216"/>
      <c r="M1256" s="216"/>
    </row>
    <row r="1257" spans="1:13" x14ac:dyDescent="0.6">
      <c r="A1257" s="218"/>
      <c r="B1257" s="36"/>
      <c r="C1257" s="4"/>
      <c r="D1257" s="4"/>
      <c r="E1257" s="3"/>
      <c r="F1257" s="11"/>
      <c r="G1257" s="227"/>
      <c r="H1257" s="169"/>
      <c r="I1257" s="165"/>
      <c r="J1257" s="216"/>
      <c r="K1257" s="216"/>
      <c r="M1257" s="216"/>
    </row>
    <row r="1258" spans="1:13" x14ac:dyDescent="0.6">
      <c r="A1258" s="218"/>
      <c r="B1258" s="36"/>
      <c r="C1258" s="4"/>
      <c r="D1258" s="4"/>
      <c r="E1258" s="3"/>
      <c r="F1258" s="11"/>
      <c r="G1258" s="227"/>
      <c r="H1258" s="169"/>
      <c r="I1258" s="165"/>
      <c r="J1258" s="216"/>
      <c r="K1258" s="216"/>
      <c r="M1258" s="216"/>
    </row>
    <row r="1259" spans="1:13" x14ac:dyDescent="0.6">
      <c r="A1259" s="218"/>
      <c r="B1259" s="36"/>
      <c r="C1259" s="4"/>
      <c r="D1259" s="4"/>
      <c r="E1259" s="3"/>
      <c r="F1259" s="11"/>
      <c r="G1259" s="227"/>
      <c r="H1259" s="169"/>
      <c r="I1259" s="165"/>
      <c r="J1259" s="216"/>
      <c r="K1259" s="216"/>
      <c r="M1259" s="216"/>
    </row>
    <row r="1260" spans="1:13" x14ac:dyDescent="0.6">
      <c r="A1260" s="218"/>
      <c r="B1260" s="36"/>
      <c r="C1260" s="4"/>
      <c r="D1260" s="4"/>
      <c r="E1260" s="3"/>
      <c r="F1260" s="11"/>
      <c r="G1260" s="227"/>
      <c r="H1260" s="169"/>
      <c r="I1260" s="165"/>
      <c r="J1260" s="216"/>
      <c r="K1260" s="216"/>
      <c r="M1260" s="216"/>
    </row>
    <row r="1261" spans="1:13" x14ac:dyDescent="0.6">
      <c r="A1261" s="218"/>
      <c r="B1261" s="36"/>
      <c r="C1261" s="4"/>
      <c r="D1261" s="4"/>
      <c r="E1261" s="3"/>
      <c r="F1261" s="11"/>
      <c r="G1261" s="227"/>
      <c r="H1261" s="169"/>
      <c r="I1261" s="165"/>
      <c r="J1261" s="216"/>
      <c r="K1261" s="216"/>
      <c r="M1261" s="216"/>
    </row>
    <row r="1262" spans="1:13" x14ac:dyDescent="0.6">
      <c r="A1262" s="218"/>
      <c r="B1262" s="36"/>
      <c r="C1262" s="4"/>
      <c r="D1262" s="4"/>
      <c r="E1262" s="3"/>
      <c r="F1262" s="11"/>
      <c r="G1262" s="227"/>
      <c r="H1262" s="169"/>
      <c r="I1262" s="165"/>
      <c r="J1262" s="216"/>
      <c r="K1262" s="216"/>
      <c r="M1262" s="216"/>
    </row>
    <row r="1263" spans="1:13" x14ac:dyDescent="0.6">
      <c r="A1263" s="218"/>
      <c r="B1263" s="36"/>
      <c r="C1263" s="4"/>
      <c r="D1263" s="4"/>
      <c r="E1263" s="3"/>
      <c r="F1263" s="11"/>
      <c r="G1263" s="227"/>
      <c r="H1263" s="169"/>
      <c r="I1263" s="165"/>
      <c r="J1263" s="216"/>
      <c r="K1263" s="216"/>
      <c r="M1263" s="216"/>
    </row>
    <row r="1264" spans="1:13" x14ac:dyDescent="0.6">
      <c r="A1264" s="218"/>
      <c r="B1264" s="36"/>
      <c r="C1264" s="4"/>
      <c r="D1264" s="4"/>
      <c r="E1264" s="3"/>
      <c r="F1264" s="11"/>
      <c r="G1264" s="227"/>
      <c r="H1264" s="169"/>
      <c r="I1264" s="165"/>
      <c r="J1264" s="216"/>
      <c r="K1264" s="216"/>
      <c r="M1264" s="216"/>
    </row>
    <row r="1265" spans="1:13" x14ac:dyDescent="0.6">
      <c r="A1265" s="218"/>
      <c r="B1265" s="36"/>
      <c r="C1265" s="4"/>
      <c r="D1265" s="4"/>
      <c r="E1265" s="3"/>
      <c r="F1265" s="11"/>
      <c r="G1265" s="227"/>
      <c r="H1265" s="169"/>
      <c r="I1265" s="165"/>
      <c r="J1265" s="216"/>
      <c r="K1265" s="216"/>
      <c r="M1265" s="216"/>
    </row>
    <row r="1266" spans="1:13" x14ac:dyDescent="0.6">
      <c r="A1266" s="218"/>
      <c r="B1266" s="36"/>
      <c r="C1266" s="4"/>
      <c r="D1266" s="4"/>
      <c r="E1266" s="3"/>
      <c r="F1266" s="11"/>
      <c r="G1266" s="227"/>
      <c r="H1266" s="169"/>
      <c r="I1266" s="165"/>
      <c r="J1266" s="216"/>
      <c r="K1266" s="216"/>
      <c r="M1266" s="216"/>
    </row>
    <row r="1267" spans="1:13" x14ac:dyDescent="0.6">
      <c r="A1267" s="218"/>
      <c r="B1267" s="36"/>
      <c r="C1267" s="4"/>
      <c r="D1267" s="4"/>
      <c r="E1267" s="3"/>
      <c r="F1267" s="11"/>
      <c r="G1267" s="227"/>
      <c r="H1267" s="169"/>
      <c r="I1267" s="165"/>
      <c r="J1267" s="216"/>
      <c r="K1267" s="216"/>
      <c r="M1267" s="216"/>
    </row>
    <row r="1268" spans="1:13" x14ac:dyDescent="0.6">
      <c r="A1268" s="218"/>
      <c r="B1268" s="36"/>
      <c r="C1268" s="4"/>
      <c r="D1268" s="4"/>
      <c r="E1268" s="3"/>
      <c r="F1268" s="11"/>
      <c r="G1268" s="227"/>
      <c r="H1268" s="169"/>
      <c r="I1268" s="165"/>
      <c r="J1268" s="216"/>
      <c r="K1268" s="216"/>
      <c r="M1268" s="216"/>
    </row>
    <row r="1269" spans="1:13" x14ac:dyDescent="0.6">
      <c r="A1269" s="218"/>
      <c r="B1269" s="36"/>
      <c r="C1269" s="4"/>
      <c r="D1269" s="4"/>
      <c r="E1269" s="3"/>
      <c r="F1269" s="11"/>
      <c r="G1269" s="227"/>
      <c r="H1269" s="169"/>
      <c r="I1269" s="165"/>
      <c r="J1269" s="216"/>
      <c r="K1269" s="216"/>
      <c r="M1269" s="216"/>
    </row>
    <row r="1270" spans="1:13" x14ac:dyDescent="0.6">
      <c r="A1270" s="218"/>
      <c r="B1270" s="36"/>
      <c r="C1270" s="4"/>
      <c r="D1270" s="4"/>
      <c r="E1270" s="3"/>
      <c r="F1270" s="11"/>
      <c r="G1270" s="227"/>
      <c r="H1270" s="169"/>
      <c r="I1270" s="165"/>
      <c r="J1270" s="216"/>
      <c r="K1270" s="216"/>
      <c r="M1270" s="216"/>
    </row>
    <row r="1271" spans="1:13" x14ac:dyDescent="0.6">
      <c r="A1271" s="218"/>
      <c r="B1271" s="36"/>
      <c r="C1271" s="4"/>
      <c r="D1271" s="4"/>
      <c r="E1271" s="3"/>
      <c r="F1271" s="11"/>
      <c r="G1271" s="227"/>
      <c r="H1271" s="169"/>
      <c r="I1271" s="165"/>
      <c r="J1271" s="216"/>
      <c r="K1271" s="216"/>
      <c r="M1271" s="216"/>
    </row>
    <row r="1272" spans="1:13" x14ac:dyDescent="0.6">
      <c r="A1272" s="218"/>
      <c r="B1272" s="36"/>
      <c r="C1272" s="4"/>
      <c r="D1272" s="4"/>
      <c r="E1272" s="3"/>
      <c r="F1272" s="11"/>
      <c r="G1272" s="227"/>
      <c r="H1272" s="169"/>
      <c r="I1272" s="165"/>
      <c r="J1272" s="216"/>
      <c r="K1272" s="216"/>
      <c r="M1272" s="216"/>
    </row>
    <row r="1273" spans="1:13" x14ac:dyDescent="0.6">
      <c r="A1273" s="218"/>
      <c r="B1273" s="36"/>
      <c r="C1273" s="4"/>
      <c r="D1273" s="4"/>
      <c r="E1273" s="3"/>
      <c r="F1273" s="11"/>
      <c r="G1273" s="227"/>
      <c r="H1273" s="169"/>
      <c r="I1273" s="165"/>
      <c r="J1273" s="216"/>
      <c r="K1273" s="216"/>
      <c r="M1273" s="216"/>
    </row>
    <row r="1274" spans="1:13" x14ac:dyDescent="0.6">
      <c r="A1274" s="218"/>
      <c r="B1274" s="36"/>
      <c r="C1274" s="4"/>
      <c r="D1274" s="4"/>
      <c r="E1274" s="3"/>
      <c r="F1274" s="11"/>
      <c r="G1274" s="227"/>
      <c r="H1274" s="169"/>
      <c r="I1274" s="165"/>
      <c r="J1274" s="216"/>
      <c r="K1274" s="216"/>
      <c r="M1274" s="216"/>
    </row>
    <row r="1275" spans="1:13" x14ac:dyDescent="0.6">
      <c r="A1275" s="218"/>
      <c r="B1275" s="36"/>
      <c r="C1275" s="4"/>
      <c r="D1275" s="4"/>
      <c r="E1275" s="3"/>
      <c r="F1275" s="11"/>
      <c r="G1275" s="227"/>
      <c r="H1275" s="169"/>
      <c r="I1275" s="165"/>
      <c r="J1275" s="216"/>
      <c r="K1275" s="216"/>
      <c r="M1275" s="216"/>
    </row>
    <row r="1276" spans="1:13" x14ac:dyDescent="0.6">
      <c r="A1276" s="218"/>
      <c r="B1276" s="36"/>
      <c r="C1276" s="4"/>
      <c r="D1276" s="4"/>
      <c r="E1276" s="3"/>
      <c r="F1276" s="11"/>
      <c r="G1276" s="227"/>
      <c r="H1276" s="169"/>
      <c r="I1276" s="165"/>
      <c r="J1276" s="216"/>
      <c r="K1276" s="216"/>
      <c r="M1276" s="216"/>
    </row>
    <row r="1277" spans="1:13" x14ac:dyDescent="0.6">
      <c r="A1277" s="218"/>
      <c r="B1277" s="36"/>
      <c r="C1277" s="4"/>
      <c r="D1277" s="4"/>
      <c r="E1277" s="3"/>
      <c r="F1277" s="11"/>
      <c r="G1277" s="227"/>
      <c r="H1277" s="169"/>
      <c r="I1277" s="165"/>
      <c r="J1277" s="216"/>
      <c r="K1277" s="216"/>
      <c r="M1277" s="216"/>
    </row>
    <row r="1278" spans="1:13" x14ac:dyDescent="0.6">
      <c r="A1278" s="218"/>
      <c r="B1278" s="36"/>
      <c r="C1278" s="4"/>
      <c r="D1278" s="4"/>
      <c r="E1278" s="3"/>
      <c r="F1278" s="11"/>
      <c r="G1278" s="227"/>
      <c r="H1278" s="169"/>
      <c r="I1278" s="165"/>
      <c r="J1278" s="216"/>
      <c r="K1278" s="216"/>
      <c r="M1278" s="216"/>
    </row>
    <row r="1279" spans="1:13" x14ac:dyDescent="0.6">
      <c r="A1279" s="218"/>
      <c r="B1279" s="36"/>
      <c r="C1279" s="4"/>
      <c r="D1279" s="4"/>
      <c r="E1279" s="3"/>
      <c r="F1279" s="11"/>
      <c r="G1279" s="227"/>
      <c r="H1279" s="169"/>
      <c r="I1279" s="165"/>
      <c r="J1279" s="216"/>
      <c r="K1279" s="216"/>
      <c r="M1279" s="216"/>
    </row>
    <row r="1280" spans="1:13" x14ac:dyDescent="0.6">
      <c r="A1280" s="218"/>
      <c r="B1280" s="36"/>
      <c r="C1280" s="4"/>
      <c r="D1280" s="4"/>
      <c r="E1280" s="3"/>
      <c r="F1280" s="11"/>
      <c r="G1280" s="227"/>
      <c r="H1280" s="169"/>
      <c r="I1280" s="165"/>
      <c r="J1280" s="216"/>
      <c r="K1280" s="216"/>
      <c r="M1280" s="216"/>
    </row>
    <row r="1281" spans="1:13" x14ac:dyDescent="0.6">
      <c r="A1281" s="218"/>
      <c r="B1281" s="36"/>
      <c r="C1281" s="4"/>
      <c r="D1281" s="4"/>
      <c r="E1281" s="3"/>
      <c r="F1281" s="11"/>
      <c r="G1281" s="227"/>
      <c r="H1281" s="169"/>
      <c r="I1281" s="165"/>
      <c r="J1281" s="216"/>
      <c r="K1281" s="216"/>
      <c r="M1281" s="216"/>
    </row>
    <row r="1282" spans="1:13" x14ac:dyDescent="0.6">
      <c r="A1282" s="218"/>
      <c r="B1282" s="36"/>
      <c r="C1282" s="4"/>
      <c r="D1282" s="4"/>
      <c r="E1282" s="3"/>
      <c r="F1282" s="11"/>
      <c r="G1282" s="227"/>
      <c r="H1282" s="169"/>
      <c r="I1282" s="165"/>
      <c r="J1282" s="216"/>
      <c r="K1282" s="216"/>
      <c r="M1282" s="216"/>
    </row>
    <row r="1283" spans="1:13" x14ac:dyDescent="0.6">
      <c r="A1283" s="218"/>
      <c r="B1283" s="36"/>
      <c r="C1283" s="4"/>
      <c r="D1283" s="4"/>
      <c r="E1283" s="3"/>
      <c r="F1283" s="11"/>
      <c r="G1283" s="227"/>
      <c r="H1283" s="169"/>
      <c r="I1283" s="165"/>
      <c r="J1283" s="216"/>
      <c r="K1283" s="216"/>
      <c r="M1283" s="216"/>
    </row>
    <row r="1284" spans="1:13" x14ac:dyDescent="0.6">
      <c r="A1284" s="218"/>
      <c r="B1284" s="36"/>
      <c r="C1284" s="4"/>
      <c r="D1284" s="4"/>
      <c r="E1284" s="3"/>
      <c r="F1284" s="11"/>
      <c r="G1284" s="227"/>
      <c r="H1284" s="169"/>
      <c r="I1284" s="165"/>
      <c r="J1284" s="216"/>
      <c r="K1284" s="216"/>
      <c r="M1284" s="216"/>
    </row>
    <row r="1285" spans="1:13" x14ac:dyDescent="0.6">
      <c r="A1285" s="218"/>
      <c r="B1285" s="36"/>
      <c r="C1285" s="4"/>
      <c r="D1285" s="4"/>
      <c r="E1285" s="3"/>
      <c r="F1285" s="11"/>
      <c r="G1285" s="227"/>
      <c r="H1285" s="169"/>
      <c r="I1285" s="165"/>
      <c r="J1285" s="216"/>
      <c r="K1285" s="216"/>
      <c r="M1285" s="216"/>
    </row>
    <row r="1286" spans="1:13" x14ac:dyDescent="0.6">
      <c r="A1286" s="218"/>
      <c r="B1286" s="36"/>
      <c r="C1286" s="4"/>
      <c r="D1286" s="4"/>
      <c r="E1286" s="3"/>
      <c r="F1286" s="11"/>
      <c r="G1286" s="227"/>
      <c r="H1286" s="169"/>
      <c r="I1286" s="165"/>
      <c r="J1286" s="216"/>
      <c r="K1286" s="216"/>
      <c r="M1286" s="216"/>
    </row>
    <row r="1287" spans="1:13" x14ac:dyDescent="0.6">
      <c r="A1287" s="218"/>
      <c r="B1287" s="36"/>
      <c r="C1287" s="4"/>
      <c r="D1287" s="4"/>
      <c r="E1287" s="3"/>
      <c r="F1287" s="11"/>
      <c r="G1287" s="227"/>
      <c r="H1287" s="169"/>
      <c r="I1287" s="165"/>
      <c r="J1287" s="216"/>
      <c r="K1287" s="216"/>
      <c r="M1287" s="216"/>
    </row>
    <row r="1288" spans="1:13" x14ac:dyDescent="0.6">
      <c r="A1288" s="218"/>
      <c r="B1288" s="36"/>
      <c r="C1288" s="4"/>
      <c r="D1288" s="4"/>
      <c r="E1288" s="3"/>
      <c r="F1288" s="11"/>
      <c r="G1288" s="227"/>
      <c r="H1288" s="169"/>
      <c r="I1288" s="165"/>
      <c r="J1288" s="216"/>
      <c r="K1288" s="216"/>
      <c r="M1288" s="216"/>
    </row>
    <row r="1289" spans="1:13" x14ac:dyDescent="0.6">
      <c r="A1289" s="218"/>
      <c r="B1289" s="36"/>
      <c r="C1289" s="4"/>
      <c r="D1289" s="4"/>
      <c r="E1289" s="3"/>
      <c r="F1289" s="11"/>
      <c r="G1289" s="227"/>
      <c r="H1289" s="169"/>
      <c r="I1289" s="165"/>
      <c r="J1289" s="216"/>
      <c r="K1289" s="216"/>
      <c r="M1289" s="216"/>
    </row>
    <row r="1290" spans="1:13" x14ac:dyDescent="0.6">
      <c r="A1290" s="218"/>
      <c r="B1290" s="36"/>
      <c r="C1290" s="4"/>
      <c r="D1290" s="4"/>
      <c r="E1290" s="3"/>
      <c r="F1290" s="11"/>
      <c r="G1290" s="227"/>
      <c r="H1290" s="169"/>
      <c r="I1290" s="165"/>
      <c r="J1290" s="216"/>
      <c r="K1290" s="216"/>
      <c r="M1290" s="216"/>
    </row>
    <row r="1291" spans="1:13" x14ac:dyDescent="0.6">
      <c r="A1291" s="218"/>
      <c r="B1291" s="36"/>
      <c r="C1291" s="4"/>
      <c r="D1291" s="4"/>
      <c r="E1291" s="3"/>
      <c r="F1291" s="11"/>
      <c r="G1291" s="227"/>
      <c r="H1291" s="169"/>
      <c r="I1291" s="165"/>
      <c r="J1291" s="216"/>
      <c r="K1291" s="216"/>
      <c r="M1291" s="216"/>
    </row>
    <row r="1292" spans="1:13" x14ac:dyDescent="0.6">
      <c r="A1292" s="218"/>
      <c r="B1292" s="36"/>
      <c r="C1292" s="4"/>
      <c r="D1292" s="4"/>
      <c r="E1292" s="3"/>
      <c r="F1292" s="11"/>
      <c r="G1292" s="227"/>
      <c r="H1292" s="169"/>
      <c r="I1292" s="165"/>
      <c r="J1292" s="216"/>
      <c r="K1292" s="216"/>
      <c r="M1292" s="216"/>
    </row>
    <row r="1293" spans="1:13" x14ac:dyDescent="0.6">
      <c r="A1293" s="218"/>
      <c r="B1293" s="36"/>
      <c r="C1293" s="4"/>
      <c r="D1293" s="4"/>
      <c r="E1293" s="3"/>
      <c r="F1293" s="11"/>
      <c r="G1293" s="227"/>
      <c r="H1293" s="169"/>
      <c r="I1293" s="165"/>
      <c r="J1293" s="216"/>
      <c r="K1293" s="216"/>
      <c r="M1293" s="216"/>
    </row>
    <row r="1294" spans="1:13" x14ac:dyDescent="0.6">
      <c r="A1294" s="218"/>
      <c r="B1294" s="36"/>
      <c r="C1294" s="4"/>
      <c r="D1294" s="4"/>
      <c r="E1294" s="3"/>
      <c r="F1294" s="11"/>
      <c r="G1294" s="227"/>
      <c r="H1294" s="169"/>
      <c r="I1294" s="165"/>
      <c r="J1294" s="216"/>
      <c r="K1294" s="216"/>
      <c r="M1294" s="216"/>
    </row>
    <row r="1295" spans="1:13" x14ac:dyDescent="0.6">
      <c r="A1295" s="218"/>
      <c r="B1295" s="36"/>
      <c r="C1295" s="4"/>
      <c r="D1295" s="4"/>
      <c r="E1295" s="3"/>
      <c r="F1295" s="11"/>
      <c r="G1295" s="227"/>
      <c r="H1295" s="169"/>
      <c r="I1295" s="165"/>
      <c r="J1295" s="216"/>
      <c r="K1295" s="216"/>
      <c r="M1295" s="216"/>
    </row>
    <row r="1296" spans="1:13" x14ac:dyDescent="0.6">
      <c r="A1296" s="218"/>
      <c r="B1296" s="36"/>
      <c r="C1296" s="4"/>
      <c r="D1296" s="4"/>
      <c r="E1296" s="3"/>
      <c r="F1296" s="11"/>
      <c r="G1296" s="227"/>
      <c r="H1296" s="169"/>
      <c r="I1296" s="165"/>
      <c r="J1296" s="216"/>
      <c r="K1296" s="216"/>
      <c r="M1296" s="216"/>
    </row>
    <row r="1297" spans="1:13" x14ac:dyDescent="0.6">
      <c r="A1297" s="218"/>
      <c r="B1297" s="36"/>
      <c r="C1297" s="4"/>
      <c r="D1297" s="4"/>
      <c r="E1297" s="3"/>
      <c r="F1297" s="11"/>
      <c r="G1297" s="227"/>
      <c r="H1297" s="169"/>
      <c r="I1297" s="165"/>
      <c r="J1297" s="216"/>
      <c r="K1297" s="216"/>
      <c r="M1297" s="216"/>
    </row>
    <row r="1298" spans="1:13" x14ac:dyDescent="0.6">
      <c r="A1298" s="218"/>
      <c r="B1298" s="36"/>
      <c r="C1298" s="4"/>
      <c r="D1298" s="4"/>
      <c r="E1298" s="3"/>
      <c r="F1298" s="11"/>
      <c r="G1298" s="227"/>
      <c r="H1298" s="169"/>
      <c r="I1298" s="165"/>
      <c r="J1298" s="216"/>
      <c r="K1298" s="216"/>
      <c r="M1298" s="216"/>
    </row>
    <row r="1299" spans="1:13" x14ac:dyDescent="0.6">
      <c r="A1299" s="218"/>
      <c r="B1299" s="36"/>
      <c r="C1299" s="4"/>
      <c r="D1299" s="4"/>
      <c r="E1299" s="3"/>
      <c r="F1299" s="11"/>
      <c r="G1299" s="227"/>
      <c r="H1299" s="169"/>
      <c r="I1299" s="165"/>
      <c r="J1299" s="216"/>
      <c r="K1299" s="216"/>
      <c r="M1299" s="216"/>
    </row>
    <row r="1300" spans="1:13" x14ac:dyDescent="0.6">
      <c r="A1300" s="218"/>
      <c r="B1300" s="36"/>
      <c r="C1300" s="4"/>
      <c r="D1300" s="4"/>
      <c r="E1300" s="3"/>
      <c r="F1300" s="11"/>
      <c r="G1300" s="227"/>
      <c r="H1300" s="169"/>
      <c r="I1300" s="165"/>
      <c r="J1300" s="216"/>
      <c r="K1300" s="216"/>
      <c r="M1300" s="216"/>
    </row>
    <row r="1301" spans="1:13" x14ac:dyDescent="0.6">
      <c r="A1301" s="218"/>
      <c r="B1301" s="36"/>
      <c r="C1301" s="4"/>
      <c r="D1301" s="4"/>
      <c r="E1301" s="3"/>
      <c r="F1301" s="11"/>
      <c r="G1301" s="227"/>
      <c r="H1301" s="169"/>
      <c r="I1301" s="165"/>
      <c r="J1301" s="216"/>
      <c r="K1301" s="216"/>
      <c r="M1301" s="216"/>
    </row>
    <row r="1302" spans="1:13" x14ac:dyDescent="0.6">
      <c r="A1302" s="218"/>
      <c r="B1302" s="36"/>
      <c r="C1302" s="4"/>
      <c r="D1302" s="4"/>
      <c r="E1302" s="3"/>
      <c r="F1302" s="11"/>
      <c r="G1302" s="227"/>
      <c r="H1302" s="169"/>
      <c r="I1302" s="165"/>
      <c r="J1302" s="216"/>
      <c r="K1302" s="216"/>
      <c r="M1302" s="216"/>
    </row>
    <row r="1303" spans="1:13" x14ac:dyDescent="0.6">
      <c r="A1303" s="218"/>
      <c r="B1303" s="36"/>
      <c r="C1303" s="4"/>
      <c r="D1303" s="4"/>
      <c r="E1303" s="3"/>
      <c r="F1303" s="11"/>
      <c r="G1303" s="227"/>
      <c r="H1303" s="169"/>
      <c r="I1303" s="165"/>
      <c r="J1303" s="216"/>
      <c r="K1303" s="216"/>
      <c r="M1303" s="216"/>
    </row>
    <row r="1304" spans="1:13" x14ac:dyDescent="0.6">
      <c r="A1304" s="218"/>
      <c r="B1304" s="36"/>
      <c r="C1304" s="4"/>
      <c r="D1304" s="4"/>
      <c r="E1304" s="3"/>
      <c r="F1304" s="11"/>
      <c r="G1304" s="227"/>
      <c r="H1304" s="169"/>
      <c r="I1304" s="165"/>
      <c r="J1304" s="216"/>
      <c r="K1304" s="216"/>
      <c r="M1304" s="216"/>
    </row>
    <row r="1305" spans="1:13" x14ac:dyDescent="0.6">
      <c r="A1305" s="218"/>
      <c r="B1305" s="36"/>
      <c r="C1305" s="4"/>
      <c r="D1305" s="4"/>
      <c r="E1305" s="3"/>
      <c r="F1305" s="11"/>
      <c r="G1305" s="227"/>
      <c r="H1305" s="169"/>
      <c r="I1305" s="165"/>
      <c r="J1305" s="216"/>
      <c r="K1305" s="216"/>
      <c r="M1305" s="216"/>
    </row>
    <row r="1306" spans="1:13" x14ac:dyDescent="0.6">
      <c r="A1306" s="218"/>
      <c r="B1306" s="36"/>
      <c r="C1306" s="4"/>
      <c r="D1306" s="4"/>
      <c r="E1306" s="3"/>
      <c r="F1306" s="11"/>
      <c r="G1306" s="227"/>
      <c r="H1306" s="169"/>
      <c r="I1306" s="165"/>
      <c r="J1306" s="216"/>
      <c r="K1306" s="216"/>
      <c r="M1306" s="216"/>
    </row>
    <row r="1307" spans="1:13" x14ac:dyDescent="0.6">
      <c r="A1307" s="218"/>
      <c r="B1307" s="36"/>
      <c r="C1307" s="4"/>
      <c r="D1307" s="4"/>
      <c r="E1307" s="3"/>
      <c r="F1307" s="11"/>
      <c r="G1307" s="227"/>
      <c r="H1307" s="169"/>
      <c r="I1307" s="165"/>
      <c r="J1307" s="216"/>
      <c r="K1307" s="216"/>
      <c r="M1307" s="216"/>
    </row>
    <row r="1308" spans="1:13" x14ac:dyDescent="0.6">
      <c r="A1308" s="218"/>
      <c r="B1308" s="36"/>
      <c r="C1308" s="4"/>
      <c r="D1308" s="4"/>
      <c r="E1308" s="3"/>
      <c r="F1308" s="11"/>
      <c r="G1308" s="227"/>
      <c r="H1308" s="169"/>
      <c r="I1308" s="165"/>
      <c r="J1308" s="216"/>
      <c r="K1308" s="216"/>
      <c r="M1308" s="216"/>
    </row>
    <row r="1309" spans="1:13" x14ac:dyDescent="0.6">
      <c r="A1309" s="218"/>
      <c r="B1309" s="36"/>
      <c r="C1309" s="4"/>
      <c r="D1309" s="4"/>
      <c r="E1309" s="3"/>
      <c r="F1309" s="11"/>
      <c r="G1309" s="227"/>
      <c r="H1309" s="169"/>
      <c r="I1309" s="165"/>
      <c r="J1309" s="216"/>
      <c r="K1309" s="216"/>
      <c r="M1309" s="216"/>
    </row>
    <row r="1310" spans="1:13" x14ac:dyDescent="0.6">
      <c r="A1310" s="218"/>
      <c r="B1310" s="36"/>
      <c r="C1310" s="4"/>
      <c r="D1310" s="4"/>
      <c r="E1310" s="3"/>
      <c r="F1310" s="11"/>
      <c r="G1310" s="227"/>
      <c r="H1310" s="169"/>
      <c r="I1310" s="165"/>
      <c r="J1310" s="216"/>
      <c r="K1310" s="216"/>
      <c r="M1310" s="216"/>
    </row>
    <row r="1311" spans="1:13" x14ac:dyDescent="0.6">
      <c r="A1311" s="218"/>
      <c r="B1311" s="36"/>
      <c r="C1311" s="4"/>
      <c r="D1311" s="4"/>
      <c r="E1311" s="3"/>
      <c r="F1311" s="11"/>
      <c r="G1311" s="227"/>
      <c r="H1311" s="169"/>
      <c r="I1311" s="165"/>
      <c r="J1311" s="216"/>
      <c r="K1311" s="216"/>
      <c r="M1311" s="216"/>
    </row>
    <row r="1312" spans="1:13" x14ac:dyDescent="0.6">
      <c r="A1312" s="218"/>
      <c r="B1312" s="36"/>
      <c r="C1312" s="4"/>
      <c r="D1312" s="4"/>
      <c r="E1312" s="3"/>
      <c r="F1312" s="11"/>
      <c r="G1312" s="227"/>
      <c r="H1312" s="169"/>
      <c r="I1312" s="165"/>
      <c r="J1312" s="216"/>
      <c r="K1312" s="216"/>
      <c r="M1312" s="216"/>
    </row>
    <row r="1313" spans="1:13" x14ac:dyDescent="0.6">
      <c r="A1313" s="218"/>
      <c r="B1313" s="36"/>
      <c r="C1313" s="4"/>
      <c r="D1313" s="4"/>
      <c r="E1313" s="3"/>
      <c r="F1313" s="11"/>
      <c r="G1313" s="227"/>
      <c r="H1313" s="169"/>
      <c r="I1313" s="165"/>
      <c r="J1313" s="216"/>
      <c r="K1313" s="216"/>
      <c r="M1313" s="216"/>
    </row>
    <row r="1314" spans="1:13" x14ac:dyDescent="0.6">
      <c r="A1314" s="218"/>
      <c r="B1314" s="36"/>
      <c r="C1314" s="4"/>
      <c r="D1314" s="4"/>
      <c r="E1314" s="3"/>
      <c r="F1314" s="11"/>
      <c r="G1314" s="227"/>
      <c r="H1314" s="169"/>
      <c r="I1314" s="165"/>
      <c r="J1314" s="216"/>
      <c r="K1314" s="216"/>
      <c r="M1314" s="216"/>
    </row>
    <row r="1315" spans="1:13" x14ac:dyDescent="0.6">
      <c r="A1315" s="218"/>
      <c r="B1315" s="36"/>
      <c r="C1315" s="4"/>
      <c r="D1315" s="4"/>
      <c r="E1315" s="3"/>
      <c r="F1315" s="11"/>
      <c r="G1315" s="227"/>
      <c r="H1315" s="169"/>
      <c r="I1315" s="165"/>
      <c r="J1315" s="216"/>
      <c r="K1315" s="216"/>
      <c r="M1315" s="216"/>
    </row>
    <row r="1316" spans="1:13" x14ac:dyDescent="0.6">
      <c r="A1316" s="218"/>
      <c r="B1316" s="36"/>
      <c r="C1316" s="4"/>
      <c r="D1316" s="4"/>
      <c r="E1316" s="3"/>
      <c r="F1316" s="11"/>
      <c r="G1316" s="227"/>
      <c r="H1316" s="169"/>
      <c r="I1316" s="165"/>
      <c r="J1316" s="216"/>
      <c r="K1316" s="216"/>
      <c r="M1316" s="216"/>
    </row>
    <row r="1317" spans="1:13" x14ac:dyDescent="0.6">
      <c r="A1317" s="218"/>
      <c r="B1317" s="36"/>
      <c r="C1317" s="4"/>
      <c r="D1317" s="4"/>
      <c r="E1317" s="3"/>
      <c r="F1317" s="11"/>
      <c r="G1317" s="227"/>
      <c r="H1317" s="169"/>
      <c r="I1317" s="165"/>
      <c r="J1317" s="216"/>
      <c r="K1317" s="216"/>
      <c r="M1317" s="216"/>
    </row>
    <row r="1318" spans="1:13" x14ac:dyDescent="0.6">
      <c r="A1318" s="218"/>
      <c r="B1318" s="36"/>
      <c r="C1318" s="4"/>
      <c r="D1318" s="4"/>
      <c r="E1318" s="3"/>
      <c r="F1318" s="11"/>
      <c r="G1318" s="227"/>
      <c r="H1318" s="169"/>
      <c r="I1318" s="165"/>
      <c r="J1318" s="216"/>
      <c r="K1318" s="216"/>
      <c r="M1318" s="216"/>
    </row>
    <row r="1319" spans="1:13" x14ac:dyDescent="0.6">
      <c r="A1319" s="218"/>
      <c r="B1319" s="36"/>
      <c r="C1319" s="4"/>
      <c r="D1319" s="4"/>
      <c r="E1319" s="3"/>
      <c r="F1319" s="11"/>
      <c r="G1319" s="227"/>
      <c r="H1319" s="169"/>
      <c r="I1319" s="165"/>
      <c r="J1319" s="216"/>
      <c r="K1319" s="216"/>
      <c r="M1319" s="216"/>
    </row>
    <row r="1320" spans="1:13" x14ac:dyDescent="0.6">
      <c r="A1320" s="218"/>
      <c r="B1320" s="36"/>
      <c r="C1320" s="4"/>
      <c r="D1320" s="4"/>
      <c r="E1320" s="3"/>
      <c r="F1320" s="11"/>
      <c r="G1320" s="227"/>
      <c r="H1320" s="169"/>
      <c r="I1320" s="165"/>
      <c r="J1320" s="216"/>
      <c r="K1320" s="216"/>
      <c r="M1320" s="216"/>
    </row>
    <row r="1321" spans="1:13" x14ac:dyDescent="0.6">
      <c r="A1321" s="218"/>
      <c r="B1321" s="36"/>
      <c r="C1321" s="4"/>
      <c r="D1321" s="4"/>
      <c r="E1321" s="1"/>
      <c r="F1321" s="11"/>
      <c r="G1321" s="227"/>
      <c r="H1321" s="169"/>
      <c r="I1321" s="165"/>
      <c r="J1321" s="216"/>
      <c r="K1321" s="216"/>
      <c r="M1321" s="216"/>
    </row>
    <row r="1322" spans="1:13" x14ac:dyDescent="0.6">
      <c r="A1322" s="218"/>
      <c r="B1322" s="36"/>
      <c r="C1322" s="4"/>
      <c r="D1322" s="4"/>
      <c r="E1322" s="1"/>
      <c r="F1322" s="11"/>
      <c r="G1322" s="227"/>
      <c r="H1322" s="169"/>
      <c r="I1322" s="165"/>
      <c r="J1322" s="216"/>
      <c r="K1322" s="216"/>
      <c r="M1322" s="216"/>
    </row>
    <row r="1323" spans="1:13" x14ac:dyDescent="0.6">
      <c r="A1323" s="218"/>
      <c r="B1323" s="36"/>
      <c r="C1323" s="4"/>
      <c r="D1323" s="4"/>
      <c r="E1323" s="1"/>
      <c r="F1323" s="11"/>
      <c r="G1323" s="227"/>
      <c r="H1323" s="169"/>
      <c r="I1323" s="165"/>
      <c r="J1323" s="216"/>
      <c r="K1323" s="216"/>
      <c r="M1323" s="216"/>
    </row>
    <row r="1324" spans="1:13" x14ac:dyDescent="0.6">
      <c r="A1324" s="218"/>
      <c r="B1324" s="36"/>
      <c r="C1324" s="4"/>
      <c r="D1324" s="4"/>
      <c r="E1324" s="1"/>
      <c r="F1324" s="11"/>
      <c r="G1324" s="227"/>
      <c r="H1324" s="169"/>
      <c r="I1324" s="170"/>
      <c r="J1324" s="216"/>
      <c r="K1324" s="216"/>
      <c r="M1324" s="216"/>
    </row>
    <row r="1325" spans="1:13" x14ac:dyDescent="0.6">
      <c r="A1325" s="218"/>
      <c r="B1325" s="36"/>
      <c r="C1325" s="4"/>
      <c r="D1325" s="4"/>
      <c r="E1325" s="1"/>
      <c r="F1325" s="11"/>
      <c r="G1325" s="227"/>
      <c r="H1325" s="169"/>
      <c r="I1325" s="170"/>
      <c r="J1325" s="216"/>
      <c r="K1325" s="216"/>
      <c r="M1325" s="216"/>
    </row>
    <row r="1326" spans="1:13" x14ac:dyDescent="0.6">
      <c r="A1326" s="223"/>
      <c r="B1326" s="36"/>
      <c r="C1326" s="4"/>
      <c r="D1326" s="4"/>
      <c r="E1326" s="1"/>
      <c r="F1326" s="11"/>
      <c r="G1326" s="227"/>
      <c r="H1326" s="169"/>
      <c r="I1326" s="170"/>
      <c r="J1326" s="216"/>
      <c r="K1326" s="216"/>
      <c r="M1326" s="216"/>
    </row>
    <row r="1327" spans="1:13" x14ac:dyDescent="0.6">
      <c r="A1327" s="223"/>
      <c r="B1327" s="36"/>
      <c r="C1327" s="4"/>
      <c r="D1327" s="4"/>
      <c r="E1327" s="1"/>
      <c r="F1327" s="11"/>
      <c r="G1327" s="227"/>
      <c r="H1327" s="169"/>
      <c r="I1327" s="170"/>
      <c r="J1327" s="216"/>
      <c r="K1327" s="216"/>
      <c r="M1327" s="216"/>
    </row>
    <row r="1328" spans="1:13" x14ac:dyDescent="0.6">
      <c r="A1328" s="223"/>
      <c r="B1328" s="36"/>
      <c r="C1328" s="4"/>
      <c r="D1328" s="4"/>
      <c r="E1328" s="1"/>
      <c r="F1328" s="11"/>
      <c r="G1328" s="227"/>
      <c r="H1328" s="169"/>
      <c r="I1328" s="170"/>
      <c r="J1328" s="216"/>
      <c r="K1328" s="216"/>
      <c r="M1328" s="216"/>
    </row>
    <row r="1329" spans="1:13" x14ac:dyDescent="0.6">
      <c r="A1329" s="223"/>
      <c r="B1329" s="36"/>
      <c r="C1329" s="4"/>
      <c r="D1329" s="4"/>
      <c r="E1329" s="1"/>
      <c r="F1329" s="11"/>
      <c r="G1329" s="227"/>
      <c r="H1329" s="169"/>
      <c r="I1329" s="170"/>
      <c r="J1329" s="216"/>
      <c r="K1329" s="216"/>
      <c r="M1329" s="216"/>
    </row>
    <row r="1330" spans="1:13" x14ac:dyDescent="0.6">
      <c r="A1330" s="223"/>
      <c r="B1330" s="36"/>
      <c r="C1330" s="4"/>
      <c r="D1330" s="4"/>
      <c r="E1330" s="1"/>
      <c r="F1330" s="11"/>
      <c r="G1330" s="227"/>
      <c r="H1330" s="169"/>
      <c r="I1330" s="170"/>
      <c r="J1330" s="216"/>
      <c r="K1330" s="216"/>
      <c r="M1330" s="216"/>
    </row>
    <row r="1331" spans="1:13" x14ac:dyDescent="0.6">
      <c r="A1331" s="223"/>
      <c r="B1331" s="36"/>
      <c r="C1331" s="4"/>
      <c r="D1331" s="4"/>
      <c r="E1331" s="1"/>
      <c r="F1331" s="11"/>
      <c r="G1331" s="227"/>
      <c r="H1331" s="169"/>
      <c r="I1331" s="170"/>
      <c r="J1331" s="216"/>
      <c r="K1331" s="216"/>
      <c r="M1331" s="216"/>
    </row>
    <row r="1332" spans="1:13" x14ac:dyDescent="0.6">
      <c r="A1332" s="223"/>
      <c r="B1332" s="36"/>
      <c r="C1332" s="4"/>
      <c r="D1332" s="4"/>
      <c r="E1332" s="1"/>
      <c r="F1332" s="11"/>
      <c r="G1332" s="227"/>
      <c r="H1332" s="169"/>
      <c r="I1332" s="170"/>
      <c r="J1332" s="216"/>
      <c r="K1332" s="216"/>
      <c r="M1332" s="216"/>
    </row>
    <row r="1333" spans="1:13" x14ac:dyDescent="0.6">
      <c r="A1333" s="223"/>
      <c r="B1333" s="36"/>
      <c r="C1333" s="4"/>
      <c r="D1333" s="4"/>
      <c r="E1333" s="1"/>
      <c r="F1333" s="11"/>
      <c r="G1333" s="227"/>
      <c r="H1333" s="169"/>
      <c r="I1333" s="170"/>
      <c r="J1333" s="216"/>
      <c r="K1333" s="216"/>
      <c r="M1333" s="216"/>
    </row>
    <row r="1334" spans="1:13" x14ac:dyDescent="0.6">
      <c r="A1334" s="223"/>
      <c r="B1334" s="36"/>
      <c r="C1334" s="4"/>
      <c r="D1334" s="4"/>
      <c r="E1334" s="1"/>
      <c r="F1334" s="11"/>
      <c r="G1334" s="227"/>
      <c r="H1334" s="169"/>
      <c r="I1334" s="170"/>
      <c r="J1334" s="216"/>
      <c r="K1334" s="216"/>
      <c r="M1334" s="216"/>
    </row>
    <row r="1335" spans="1:13" x14ac:dyDescent="0.6">
      <c r="A1335" s="223"/>
      <c r="B1335" s="36"/>
      <c r="C1335" s="4"/>
      <c r="D1335" s="4"/>
      <c r="E1335" s="1"/>
      <c r="F1335" s="11"/>
      <c r="G1335" s="227"/>
      <c r="H1335" s="169"/>
      <c r="I1335" s="170"/>
      <c r="J1335" s="216"/>
      <c r="K1335" s="216"/>
      <c r="M1335" s="216"/>
    </row>
    <row r="1336" spans="1:13" x14ac:dyDescent="0.6">
      <c r="A1336" s="223"/>
      <c r="B1336" s="36"/>
      <c r="C1336" s="4"/>
      <c r="D1336" s="4"/>
      <c r="E1336" s="1"/>
      <c r="F1336" s="11"/>
      <c r="G1336" s="227"/>
      <c r="H1336" s="169"/>
      <c r="I1336" s="170"/>
      <c r="J1336" s="216"/>
      <c r="K1336" s="216"/>
      <c r="M1336" s="216"/>
    </row>
    <row r="1337" spans="1:13" x14ac:dyDescent="0.6">
      <c r="A1337" s="223"/>
      <c r="B1337" s="36"/>
      <c r="C1337" s="4"/>
      <c r="D1337" s="4"/>
      <c r="E1337" s="1"/>
      <c r="F1337" s="11"/>
      <c r="G1337" s="227"/>
      <c r="H1337" s="169"/>
      <c r="I1337" s="170"/>
      <c r="J1337" s="216"/>
      <c r="K1337" s="216"/>
      <c r="M1337" s="216"/>
    </row>
    <row r="1338" spans="1:13" x14ac:dyDescent="0.6">
      <c r="A1338" s="223"/>
      <c r="B1338" s="36"/>
      <c r="C1338" s="4"/>
      <c r="D1338" s="4"/>
      <c r="E1338" s="1"/>
      <c r="F1338" s="11"/>
      <c r="G1338" s="227"/>
      <c r="H1338" s="169"/>
      <c r="I1338" s="170"/>
      <c r="J1338" s="216"/>
      <c r="K1338" s="216"/>
      <c r="M1338" s="216"/>
    </row>
    <row r="1339" spans="1:13" x14ac:dyDescent="0.6">
      <c r="A1339" s="223"/>
      <c r="B1339" s="36"/>
      <c r="C1339" s="4"/>
      <c r="D1339" s="4"/>
      <c r="E1339" s="1"/>
      <c r="F1339" s="11"/>
      <c r="G1339" s="227"/>
      <c r="H1339" s="169"/>
      <c r="I1339" s="170"/>
      <c r="J1339" s="216"/>
      <c r="K1339" s="216"/>
      <c r="M1339" s="216"/>
    </row>
    <row r="1340" spans="1:13" x14ac:dyDescent="0.6">
      <c r="A1340" s="223"/>
      <c r="B1340" s="36"/>
      <c r="C1340" s="4"/>
      <c r="D1340" s="4"/>
      <c r="E1340" s="1"/>
      <c r="F1340" s="11"/>
      <c r="G1340" s="227"/>
      <c r="H1340" s="169"/>
      <c r="I1340" s="170"/>
      <c r="J1340" s="216"/>
      <c r="K1340" s="216"/>
      <c r="M1340" s="216"/>
    </row>
    <row r="1341" spans="1:13" x14ac:dyDescent="0.6">
      <c r="A1341" s="223"/>
      <c r="B1341" s="36"/>
      <c r="C1341" s="4"/>
      <c r="D1341" s="4"/>
      <c r="E1341" s="1"/>
      <c r="F1341" s="11"/>
      <c r="G1341" s="227"/>
      <c r="H1341" s="169"/>
      <c r="I1341" s="170"/>
      <c r="J1341" s="216"/>
      <c r="K1341" s="216"/>
      <c r="M1341" s="216"/>
    </row>
    <row r="1342" spans="1:13" x14ac:dyDescent="0.6">
      <c r="A1342" s="223"/>
      <c r="B1342" s="36"/>
      <c r="C1342" s="4"/>
      <c r="D1342" s="4"/>
      <c r="E1342" s="1"/>
      <c r="F1342" s="11"/>
      <c r="G1342" s="227"/>
      <c r="H1342" s="169"/>
      <c r="I1342" s="170"/>
      <c r="J1342" s="216"/>
      <c r="K1342" s="216"/>
      <c r="M1342" s="216"/>
    </row>
    <row r="1343" spans="1:13" x14ac:dyDescent="0.6">
      <c r="A1343" s="223"/>
      <c r="B1343" s="36"/>
      <c r="C1343" s="4"/>
      <c r="D1343" s="4"/>
      <c r="E1343" s="1"/>
      <c r="F1343" s="11"/>
      <c r="G1343" s="227"/>
      <c r="H1343" s="169"/>
      <c r="I1343" s="170"/>
      <c r="J1343" s="216"/>
      <c r="K1343" s="216"/>
      <c r="M1343" s="216"/>
    </row>
    <row r="1344" spans="1:13" x14ac:dyDescent="0.6">
      <c r="A1344" s="223"/>
      <c r="B1344" s="36"/>
      <c r="C1344" s="4"/>
      <c r="D1344" s="4"/>
      <c r="E1344" s="1"/>
      <c r="F1344" s="11"/>
      <c r="G1344" s="227"/>
      <c r="H1344" s="169"/>
      <c r="I1344" s="170"/>
      <c r="J1344" s="216"/>
      <c r="K1344" s="216"/>
      <c r="M1344" s="216"/>
    </row>
    <row r="1345" spans="1:13" x14ac:dyDescent="0.6">
      <c r="A1345" s="223"/>
      <c r="B1345" s="36"/>
      <c r="C1345" s="4"/>
      <c r="D1345" s="4"/>
      <c r="E1345" s="1"/>
      <c r="F1345" s="11"/>
      <c r="G1345" s="227"/>
      <c r="H1345" s="169"/>
      <c r="I1345" s="170"/>
      <c r="J1345" s="216"/>
      <c r="K1345" s="216"/>
      <c r="M1345" s="216"/>
    </row>
    <row r="1346" spans="1:13" x14ac:dyDescent="0.6">
      <c r="A1346" s="223"/>
      <c r="B1346" s="36"/>
      <c r="C1346" s="4"/>
      <c r="D1346" s="4"/>
      <c r="E1346" s="1"/>
      <c r="F1346" s="11"/>
      <c r="G1346" s="227"/>
      <c r="H1346" s="169"/>
      <c r="I1346" s="170"/>
      <c r="J1346" s="216"/>
      <c r="K1346" s="216"/>
      <c r="M1346" s="216"/>
    </row>
    <row r="1347" spans="1:13" x14ac:dyDescent="0.6">
      <c r="A1347" s="223"/>
      <c r="B1347" s="36"/>
      <c r="C1347" s="4"/>
      <c r="D1347" s="4"/>
      <c r="E1347" s="1"/>
      <c r="F1347" s="11"/>
      <c r="G1347" s="227"/>
      <c r="H1347" s="169"/>
      <c r="I1347" s="170"/>
      <c r="J1347" s="216"/>
      <c r="K1347" s="216"/>
      <c r="M1347" s="216"/>
    </row>
    <row r="1348" spans="1:13" x14ac:dyDescent="0.6">
      <c r="A1348" s="223"/>
      <c r="B1348" s="36"/>
      <c r="C1348" s="4"/>
      <c r="D1348" s="4"/>
      <c r="E1348" s="1"/>
      <c r="F1348" s="11"/>
      <c r="G1348" s="227"/>
      <c r="H1348" s="169"/>
      <c r="I1348" s="170"/>
      <c r="J1348" s="216"/>
      <c r="K1348" s="216"/>
      <c r="M1348" s="216"/>
    </row>
    <row r="1349" spans="1:13" x14ac:dyDescent="0.6">
      <c r="A1349" s="223"/>
      <c r="B1349" s="36"/>
      <c r="C1349" s="4"/>
      <c r="D1349" s="4"/>
      <c r="E1349" s="1"/>
      <c r="F1349" s="11"/>
      <c r="G1349" s="227"/>
      <c r="H1349" s="169"/>
      <c r="I1349" s="170"/>
      <c r="J1349" s="216"/>
      <c r="K1349" s="216"/>
      <c r="M1349" s="216"/>
    </row>
    <row r="1350" spans="1:13" x14ac:dyDescent="0.6">
      <c r="A1350" s="223"/>
      <c r="B1350" s="36"/>
      <c r="C1350" s="4"/>
      <c r="D1350" s="4"/>
      <c r="E1350" s="1"/>
      <c r="F1350" s="11"/>
      <c r="G1350" s="227"/>
      <c r="H1350" s="169"/>
      <c r="I1350" s="170"/>
      <c r="J1350" s="216"/>
      <c r="K1350" s="216"/>
      <c r="M1350" s="216"/>
    </row>
    <row r="1351" spans="1:13" x14ac:dyDescent="0.6">
      <c r="A1351" s="223"/>
      <c r="B1351" s="36"/>
      <c r="C1351" s="4"/>
      <c r="D1351" s="4"/>
      <c r="E1351" s="1"/>
      <c r="F1351" s="11"/>
      <c r="G1351" s="227"/>
      <c r="H1351" s="169"/>
      <c r="I1351" s="170"/>
      <c r="J1351" s="216"/>
      <c r="K1351" s="216"/>
      <c r="M1351" s="216"/>
    </row>
    <row r="1352" spans="1:13" x14ac:dyDescent="0.6">
      <c r="A1352" s="223"/>
      <c r="B1352" s="36"/>
      <c r="C1352" s="4"/>
      <c r="D1352" s="4"/>
      <c r="E1352" s="1"/>
      <c r="F1352" s="11"/>
      <c r="G1352" s="227"/>
      <c r="H1352" s="169"/>
      <c r="I1352" s="170"/>
      <c r="J1352" s="216"/>
      <c r="K1352" s="216"/>
      <c r="M1352" s="216"/>
    </row>
    <row r="1353" spans="1:13" x14ac:dyDescent="0.6">
      <c r="A1353" s="223"/>
      <c r="B1353" s="36"/>
      <c r="C1353" s="4"/>
      <c r="D1353" s="4"/>
      <c r="E1353" s="1"/>
      <c r="F1353" s="11"/>
      <c r="G1353" s="227"/>
      <c r="H1353" s="169"/>
      <c r="I1353" s="170"/>
      <c r="J1353" s="216"/>
      <c r="K1353" s="216"/>
      <c r="M1353" s="216"/>
    </row>
    <row r="1354" spans="1:13" x14ac:dyDescent="0.6">
      <c r="A1354" s="223"/>
      <c r="B1354" s="36"/>
      <c r="C1354" s="4"/>
      <c r="D1354" s="4"/>
      <c r="E1354" s="1"/>
      <c r="F1354" s="11"/>
      <c r="G1354" s="227"/>
      <c r="H1354" s="169"/>
      <c r="I1354" s="170"/>
      <c r="J1354" s="216"/>
      <c r="K1354" s="216"/>
      <c r="M1354" s="216"/>
    </row>
    <row r="1355" spans="1:13" x14ac:dyDescent="0.6">
      <c r="A1355" s="223"/>
      <c r="B1355" s="36"/>
      <c r="C1355" s="4"/>
      <c r="D1355" s="4"/>
      <c r="E1355" s="1"/>
      <c r="F1355" s="11"/>
      <c r="G1355" s="227"/>
      <c r="H1355" s="169"/>
      <c r="I1355" s="170"/>
      <c r="J1355" s="216"/>
      <c r="K1355" s="216"/>
      <c r="M1355" s="216"/>
    </row>
    <row r="1356" spans="1:13" x14ac:dyDescent="0.6">
      <c r="A1356" s="223"/>
      <c r="B1356" s="36"/>
      <c r="C1356" s="4"/>
      <c r="D1356" s="4"/>
      <c r="E1356" s="1"/>
      <c r="F1356" s="11"/>
      <c r="G1356" s="227"/>
      <c r="H1356" s="169"/>
      <c r="I1356" s="170"/>
      <c r="J1356" s="216"/>
      <c r="K1356" s="216"/>
      <c r="M1356" s="216"/>
    </row>
    <row r="1357" spans="1:13" x14ac:dyDescent="0.6">
      <c r="A1357" s="223"/>
      <c r="B1357" s="36"/>
      <c r="C1357" s="4"/>
      <c r="D1357" s="4"/>
      <c r="E1357" s="1"/>
      <c r="F1357" s="11"/>
      <c r="G1357" s="227"/>
      <c r="H1357" s="169"/>
      <c r="I1357" s="170"/>
      <c r="J1357" s="216"/>
      <c r="K1357" s="216"/>
      <c r="M1357" s="216"/>
    </row>
    <row r="1358" spans="1:13" x14ac:dyDescent="0.6">
      <c r="A1358" s="223"/>
      <c r="B1358" s="36"/>
      <c r="C1358" s="4"/>
      <c r="D1358" s="4"/>
      <c r="E1358" s="1"/>
      <c r="F1358" s="11"/>
      <c r="G1358" s="227"/>
      <c r="H1358" s="169"/>
      <c r="I1358" s="170"/>
      <c r="J1358" s="216"/>
      <c r="K1358" s="216"/>
      <c r="M1358" s="216"/>
    </row>
    <row r="1359" spans="1:13" x14ac:dyDescent="0.6">
      <c r="A1359" s="223"/>
      <c r="B1359" s="36"/>
      <c r="C1359" s="4"/>
      <c r="D1359" s="4"/>
      <c r="E1359" s="1"/>
      <c r="F1359" s="11"/>
      <c r="G1359" s="227"/>
      <c r="H1359" s="169"/>
      <c r="I1359" s="170"/>
      <c r="J1359" s="216"/>
      <c r="K1359" s="216"/>
      <c r="M1359" s="216"/>
    </row>
    <row r="1360" spans="1:13" x14ac:dyDescent="0.6">
      <c r="A1360" s="223"/>
      <c r="B1360" s="36"/>
      <c r="C1360" s="4"/>
      <c r="D1360" s="4"/>
      <c r="E1360" s="1"/>
      <c r="F1360" s="11"/>
      <c r="G1360" s="227"/>
      <c r="H1360" s="169"/>
      <c r="I1360" s="170"/>
      <c r="J1360" s="216"/>
      <c r="K1360" s="216"/>
      <c r="M1360" s="216"/>
    </row>
    <row r="1361" spans="1:13" x14ac:dyDescent="0.6">
      <c r="A1361" s="223"/>
      <c r="B1361" s="36"/>
      <c r="C1361" s="4"/>
      <c r="D1361" s="4"/>
      <c r="E1361" s="1"/>
      <c r="F1361" s="11"/>
      <c r="G1361" s="227"/>
      <c r="H1361" s="169"/>
      <c r="I1361" s="170"/>
      <c r="J1361" s="216"/>
      <c r="K1361" s="216"/>
      <c r="M1361" s="216"/>
    </row>
    <row r="1362" spans="1:13" x14ac:dyDescent="0.6">
      <c r="A1362" s="223"/>
      <c r="B1362" s="36"/>
      <c r="C1362" s="4"/>
      <c r="D1362" s="4"/>
      <c r="E1362" s="1"/>
      <c r="F1362" s="11"/>
      <c r="G1362" s="227"/>
      <c r="H1362" s="169"/>
      <c r="I1362" s="170"/>
      <c r="J1362" s="216"/>
      <c r="K1362" s="216"/>
      <c r="M1362" s="216"/>
    </row>
    <row r="1363" spans="1:13" x14ac:dyDescent="0.6">
      <c r="A1363" s="223"/>
      <c r="B1363" s="36"/>
      <c r="C1363" s="4"/>
      <c r="D1363" s="4"/>
      <c r="E1363" s="1"/>
      <c r="F1363" s="11"/>
      <c r="G1363" s="227"/>
      <c r="H1363" s="169"/>
      <c r="I1363" s="170"/>
      <c r="J1363" s="216"/>
      <c r="K1363" s="216"/>
      <c r="M1363" s="216"/>
    </row>
    <row r="1364" spans="1:13" x14ac:dyDescent="0.6">
      <c r="A1364" s="223"/>
      <c r="B1364" s="36"/>
      <c r="C1364" s="4"/>
      <c r="D1364" s="4"/>
      <c r="E1364" s="1"/>
      <c r="F1364" s="11"/>
      <c r="G1364" s="227"/>
      <c r="H1364" s="169"/>
      <c r="I1364" s="170"/>
      <c r="J1364" s="216"/>
      <c r="K1364" s="216"/>
      <c r="M1364" s="216"/>
    </row>
    <row r="1365" spans="1:13" x14ac:dyDescent="0.6">
      <c r="A1365" s="223"/>
      <c r="B1365" s="36"/>
      <c r="C1365" s="4"/>
      <c r="D1365" s="4"/>
      <c r="E1365" s="1"/>
      <c r="F1365" s="11"/>
      <c r="G1365" s="227"/>
      <c r="H1365" s="169"/>
      <c r="I1365" s="170"/>
      <c r="J1365" s="216"/>
      <c r="K1365" s="216"/>
      <c r="M1365" s="216"/>
    </row>
    <row r="1366" spans="1:13" x14ac:dyDescent="0.6">
      <c r="A1366" s="223"/>
      <c r="B1366" s="36"/>
      <c r="C1366" s="4"/>
      <c r="D1366" s="4"/>
      <c r="E1366" s="1"/>
      <c r="F1366" s="11"/>
      <c r="G1366" s="227"/>
      <c r="H1366" s="169"/>
      <c r="I1366" s="170"/>
      <c r="J1366" s="216"/>
      <c r="K1366" s="216"/>
      <c r="M1366" s="216"/>
    </row>
    <row r="1367" spans="1:13" x14ac:dyDescent="0.6">
      <c r="A1367" s="223"/>
      <c r="B1367" s="36"/>
      <c r="C1367" s="4"/>
      <c r="D1367" s="4"/>
      <c r="E1367" s="1"/>
      <c r="F1367" s="11"/>
      <c r="G1367" s="227"/>
      <c r="H1367" s="169"/>
      <c r="I1367" s="170"/>
      <c r="J1367" s="216"/>
      <c r="K1367" s="216"/>
      <c r="M1367" s="216"/>
    </row>
    <row r="1368" spans="1:13" x14ac:dyDescent="0.6">
      <c r="A1368" s="223"/>
      <c r="B1368" s="36"/>
      <c r="C1368" s="4"/>
      <c r="D1368" s="4"/>
      <c r="E1368" s="1"/>
      <c r="F1368" s="11"/>
      <c r="G1368" s="227"/>
      <c r="H1368" s="169"/>
      <c r="I1368" s="170"/>
      <c r="J1368" s="216"/>
      <c r="K1368" s="216"/>
      <c r="M1368" s="216"/>
    </row>
    <row r="1369" spans="1:13" x14ac:dyDescent="0.6">
      <c r="A1369" s="223"/>
      <c r="B1369" s="36"/>
      <c r="C1369" s="4"/>
      <c r="D1369" s="4"/>
      <c r="E1369" s="1"/>
      <c r="F1369" s="11"/>
      <c r="G1369" s="227"/>
      <c r="H1369" s="169"/>
      <c r="I1369" s="170"/>
      <c r="J1369" s="216"/>
      <c r="K1369" s="216"/>
      <c r="M1369" s="216"/>
    </row>
    <row r="1370" spans="1:13" x14ac:dyDescent="0.6">
      <c r="A1370" s="223"/>
      <c r="B1370" s="36"/>
      <c r="C1370" s="4"/>
      <c r="D1370" s="4"/>
      <c r="E1370" s="1"/>
      <c r="F1370" s="11"/>
      <c r="G1370" s="227"/>
      <c r="H1370" s="169"/>
      <c r="I1370" s="170"/>
      <c r="J1370" s="216"/>
      <c r="K1370" s="216"/>
      <c r="M1370" s="216"/>
    </row>
    <row r="1371" spans="1:13" x14ac:dyDescent="0.6">
      <c r="A1371" s="223"/>
      <c r="B1371" s="36"/>
      <c r="C1371" s="4"/>
      <c r="D1371" s="4"/>
      <c r="E1371" s="1"/>
      <c r="F1371" s="11"/>
      <c r="G1371" s="227"/>
      <c r="H1371" s="169"/>
      <c r="I1371" s="170"/>
      <c r="J1371" s="216"/>
      <c r="K1371" s="216"/>
      <c r="M1371" s="216"/>
    </row>
    <row r="1372" spans="1:13" x14ac:dyDescent="0.6">
      <c r="A1372" s="223"/>
      <c r="B1372" s="36"/>
      <c r="C1372" s="4"/>
      <c r="D1372" s="4"/>
      <c r="E1372" s="1"/>
      <c r="F1372" s="11"/>
      <c r="G1372" s="227"/>
      <c r="H1372" s="169"/>
      <c r="I1372" s="170"/>
      <c r="J1372" s="216"/>
      <c r="K1372" s="216"/>
      <c r="M1372" s="216"/>
    </row>
    <row r="1373" spans="1:13" x14ac:dyDescent="0.6">
      <c r="A1373" s="223"/>
      <c r="B1373" s="36"/>
      <c r="C1373" s="4"/>
      <c r="D1373" s="4"/>
      <c r="E1373" s="1"/>
      <c r="F1373" s="11"/>
      <c r="G1373" s="227"/>
      <c r="H1373" s="169"/>
      <c r="I1373" s="170"/>
      <c r="J1373" s="216"/>
      <c r="K1373" s="216"/>
      <c r="M1373" s="216"/>
    </row>
    <row r="1374" spans="1:13" x14ac:dyDescent="0.6">
      <c r="A1374" s="223"/>
      <c r="B1374" s="36"/>
      <c r="C1374" s="4"/>
      <c r="D1374" s="4"/>
      <c r="E1374" s="1"/>
      <c r="F1374" s="11"/>
      <c r="G1374" s="227"/>
      <c r="H1374" s="169"/>
      <c r="I1374" s="170"/>
      <c r="J1374" s="216"/>
      <c r="K1374" s="216"/>
      <c r="M1374" s="216"/>
    </row>
    <row r="1375" spans="1:13" x14ac:dyDescent="0.6">
      <c r="A1375" s="223"/>
      <c r="B1375" s="36"/>
      <c r="C1375" s="4"/>
      <c r="D1375" s="4"/>
      <c r="E1375" s="1"/>
      <c r="F1375" s="11"/>
      <c r="G1375" s="227"/>
      <c r="H1375" s="169"/>
      <c r="I1375" s="170"/>
      <c r="J1375" s="216"/>
      <c r="K1375" s="216"/>
      <c r="M1375" s="216"/>
    </row>
    <row r="1376" spans="1:13" x14ac:dyDescent="0.6">
      <c r="A1376" s="223"/>
      <c r="B1376" s="36"/>
      <c r="C1376" s="4"/>
      <c r="D1376" s="4"/>
      <c r="E1376" s="1"/>
      <c r="F1376" s="11"/>
      <c r="G1376" s="227"/>
      <c r="H1376" s="169"/>
      <c r="I1376" s="170"/>
      <c r="J1376" s="216"/>
      <c r="K1376" s="216"/>
      <c r="M1376" s="216"/>
    </row>
    <row r="1377" spans="1:13" x14ac:dyDescent="0.6">
      <c r="A1377" s="223"/>
      <c r="B1377" s="36"/>
      <c r="C1377" s="4"/>
      <c r="D1377" s="4"/>
      <c r="E1377" s="1"/>
      <c r="F1377" s="11"/>
      <c r="G1377" s="227"/>
      <c r="H1377" s="169"/>
      <c r="I1377" s="170"/>
      <c r="J1377" s="216"/>
      <c r="K1377" s="216"/>
      <c r="M1377" s="216"/>
    </row>
    <row r="1378" spans="1:13" x14ac:dyDescent="0.6">
      <c r="A1378" s="223"/>
      <c r="B1378" s="36"/>
      <c r="C1378" s="4"/>
      <c r="D1378" s="4"/>
      <c r="E1378" s="1"/>
      <c r="F1378" s="11"/>
      <c r="G1378" s="227"/>
      <c r="H1378" s="169"/>
      <c r="I1378" s="170"/>
      <c r="J1378" s="216"/>
      <c r="K1378" s="216"/>
      <c r="M1378" s="216"/>
    </row>
    <row r="1379" spans="1:13" x14ac:dyDescent="0.6">
      <c r="A1379" s="223"/>
      <c r="B1379" s="36"/>
      <c r="C1379" s="4"/>
      <c r="D1379" s="4"/>
      <c r="E1379" s="1"/>
      <c r="F1379" s="11"/>
      <c r="G1379" s="227"/>
      <c r="H1379" s="169"/>
      <c r="I1379" s="170"/>
      <c r="J1379" s="216"/>
      <c r="K1379" s="216"/>
      <c r="M1379" s="216"/>
    </row>
    <row r="1380" spans="1:13" x14ac:dyDescent="0.6">
      <c r="A1380" s="223"/>
      <c r="B1380" s="36"/>
      <c r="C1380" s="4"/>
      <c r="D1380" s="4"/>
      <c r="E1380" s="1"/>
      <c r="F1380" s="11"/>
      <c r="G1380" s="227"/>
      <c r="H1380" s="169"/>
      <c r="I1380" s="170"/>
      <c r="J1380" s="216"/>
      <c r="K1380" s="216"/>
      <c r="M1380" s="216"/>
    </row>
    <row r="1381" spans="1:13" x14ac:dyDescent="0.6">
      <c r="A1381" s="223"/>
      <c r="B1381" s="36"/>
      <c r="C1381" s="4"/>
      <c r="D1381" s="4"/>
      <c r="E1381" s="1"/>
      <c r="F1381" s="11"/>
      <c r="G1381" s="227"/>
      <c r="H1381" s="169"/>
      <c r="I1381" s="170"/>
      <c r="J1381" s="216"/>
      <c r="K1381" s="216"/>
      <c r="M1381" s="216"/>
    </row>
    <row r="1382" spans="1:13" x14ac:dyDescent="0.6">
      <c r="A1382" s="223"/>
      <c r="B1382" s="36"/>
      <c r="C1382" s="4"/>
      <c r="D1382" s="4"/>
      <c r="E1382" s="1"/>
      <c r="F1382" s="11"/>
      <c r="G1382" s="227"/>
      <c r="H1382" s="169"/>
      <c r="I1382" s="170"/>
      <c r="J1382" s="216"/>
      <c r="K1382" s="216"/>
      <c r="M1382" s="216"/>
    </row>
    <row r="1383" spans="1:13" x14ac:dyDescent="0.6">
      <c r="A1383" s="223"/>
      <c r="B1383" s="36"/>
      <c r="C1383" s="4"/>
      <c r="D1383" s="4"/>
      <c r="E1383" s="1"/>
      <c r="F1383" s="11"/>
      <c r="G1383" s="227"/>
      <c r="H1383" s="169"/>
      <c r="I1383" s="170"/>
      <c r="J1383" s="216"/>
      <c r="K1383" s="216"/>
      <c r="M1383" s="216"/>
    </row>
    <row r="1384" spans="1:13" x14ac:dyDescent="0.6">
      <c r="A1384" s="223"/>
      <c r="B1384" s="36"/>
      <c r="C1384" s="4"/>
      <c r="D1384" s="4"/>
      <c r="E1384" s="1"/>
      <c r="F1384" s="11"/>
      <c r="G1384" s="227"/>
      <c r="H1384" s="169"/>
      <c r="I1384" s="170"/>
      <c r="J1384" s="216"/>
      <c r="K1384" s="216"/>
      <c r="M1384" s="216"/>
    </row>
    <row r="1385" spans="1:13" x14ac:dyDescent="0.6">
      <c r="A1385" s="223"/>
      <c r="B1385" s="36"/>
      <c r="C1385" s="4"/>
      <c r="D1385" s="4"/>
      <c r="E1385" s="1"/>
      <c r="F1385" s="11"/>
      <c r="G1385" s="227"/>
      <c r="H1385" s="169"/>
      <c r="I1385" s="170"/>
      <c r="J1385" s="216"/>
      <c r="K1385" s="216"/>
      <c r="M1385" s="216"/>
    </row>
    <row r="1386" spans="1:13" x14ac:dyDescent="0.6">
      <c r="A1386" s="223"/>
      <c r="B1386" s="36"/>
      <c r="C1386" s="4"/>
      <c r="D1386" s="4"/>
      <c r="E1386" s="1"/>
      <c r="F1386" s="11"/>
      <c r="G1386" s="227"/>
      <c r="H1386" s="169"/>
      <c r="I1386" s="170"/>
      <c r="J1386" s="216"/>
      <c r="K1386" s="216"/>
      <c r="M1386" s="216"/>
    </row>
    <row r="1387" spans="1:13" x14ac:dyDescent="0.6">
      <c r="A1387" s="223"/>
      <c r="B1387" s="36"/>
      <c r="C1387" s="4"/>
      <c r="D1387" s="4"/>
      <c r="E1387" s="1"/>
      <c r="F1387" s="11"/>
      <c r="G1387" s="227"/>
      <c r="H1387" s="169"/>
      <c r="I1387" s="170"/>
      <c r="J1387" s="216"/>
      <c r="K1387" s="216"/>
      <c r="M1387" s="216"/>
    </row>
    <row r="1388" spans="1:13" x14ac:dyDescent="0.6">
      <c r="A1388" s="223"/>
      <c r="B1388" s="36"/>
      <c r="C1388" s="4"/>
      <c r="D1388" s="4"/>
      <c r="E1388" s="1"/>
      <c r="F1388" s="11"/>
      <c r="G1388" s="227"/>
      <c r="H1388" s="169"/>
      <c r="I1388" s="170"/>
      <c r="J1388" s="216"/>
      <c r="K1388" s="216"/>
      <c r="M1388" s="216"/>
    </row>
    <row r="1389" spans="1:13" x14ac:dyDescent="0.6">
      <c r="A1389" s="223"/>
      <c r="B1389" s="36"/>
      <c r="C1389" s="4"/>
      <c r="D1389" s="4"/>
      <c r="E1389" s="1"/>
      <c r="F1389" s="11"/>
      <c r="G1389" s="227"/>
      <c r="H1389" s="169"/>
      <c r="I1389" s="170"/>
      <c r="J1389" s="216"/>
      <c r="K1389" s="216"/>
      <c r="M1389" s="216"/>
    </row>
    <row r="1390" spans="1:13" x14ac:dyDescent="0.6">
      <c r="A1390" s="223"/>
      <c r="B1390" s="36"/>
      <c r="C1390" s="4"/>
      <c r="D1390" s="4"/>
      <c r="E1390" s="1"/>
      <c r="F1390" s="11"/>
      <c r="G1390" s="227"/>
      <c r="H1390" s="169"/>
      <c r="I1390" s="170"/>
      <c r="J1390" s="216"/>
      <c r="K1390" s="216"/>
      <c r="M1390" s="216"/>
    </row>
    <row r="1391" spans="1:13" x14ac:dyDescent="0.6">
      <c r="A1391" s="223"/>
      <c r="B1391" s="36"/>
      <c r="C1391" s="4"/>
      <c r="D1391" s="4"/>
      <c r="E1391" s="1"/>
      <c r="F1391" s="11"/>
      <c r="G1391" s="227"/>
      <c r="H1391" s="169"/>
      <c r="I1391" s="170"/>
      <c r="J1391" s="216"/>
      <c r="K1391" s="216"/>
      <c r="M1391" s="216"/>
    </row>
    <row r="1392" spans="1:13" x14ac:dyDescent="0.6">
      <c r="A1392" s="223"/>
      <c r="B1392" s="36"/>
      <c r="C1392" s="4"/>
      <c r="D1392" s="4"/>
      <c r="E1392" s="1"/>
      <c r="F1392" s="11"/>
      <c r="G1392" s="227"/>
      <c r="H1392" s="169"/>
      <c r="I1392" s="170"/>
      <c r="J1392" s="216"/>
      <c r="K1392" s="216"/>
      <c r="M1392" s="216"/>
    </row>
    <row r="1393" spans="1:13" x14ac:dyDescent="0.6">
      <c r="A1393" s="223"/>
      <c r="B1393" s="36"/>
      <c r="C1393" s="4"/>
      <c r="D1393" s="4"/>
      <c r="E1393" s="1"/>
      <c r="F1393" s="11"/>
      <c r="G1393" s="227"/>
      <c r="H1393" s="169"/>
      <c r="I1393" s="170"/>
      <c r="J1393" s="216"/>
      <c r="K1393" s="216"/>
      <c r="M1393" s="216"/>
    </row>
    <row r="1394" spans="1:13" x14ac:dyDescent="0.6">
      <c r="A1394" s="223"/>
      <c r="B1394" s="36"/>
      <c r="C1394" s="4"/>
      <c r="D1394" s="4"/>
      <c r="E1394" s="1"/>
      <c r="F1394" s="11"/>
      <c r="G1394" s="227"/>
      <c r="H1394" s="169"/>
      <c r="I1394" s="170"/>
      <c r="J1394" s="216"/>
      <c r="K1394" s="216"/>
      <c r="M1394" s="216"/>
    </row>
    <row r="1395" spans="1:13" x14ac:dyDescent="0.6">
      <c r="A1395" s="223"/>
      <c r="B1395" s="36"/>
      <c r="C1395" s="4"/>
      <c r="D1395" s="4"/>
      <c r="E1395" s="1"/>
      <c r="F1395" s="11"/>
      <c r="G1395" s="227"/>
      <c r="H1395" s="169"/>
      <c r="I1395" s="170"/>
      <c r="J1395" s="216"/>
      <c r="K1395" s="216"/>
      <c r="M1395" s="216"/>
    </row>
    <row r="1396" spans="1:13" x14ac:dyDescent="0.6">
      <c r="A1396" s="223"/>
      <c r="B1396" s="36"/>
      <c r="C1396" s="4"/>
      <c r="D1396" s="4"/>
      <c r="E1396" s="1"/>
      <c r="F1396" s="11"/>
      <c r="G1396" s="227"/>
      <c r="H1396" s="169"/>
      <c r="I1396" s="170"/>
      <c r="J1396" s="216"/>
      <c r="K1396" s="216"/>
      <c r="M1396" s="216"/>
    </row>
    <row r="1397" spans="1:13" x14ac:dyDescent="0.6">
      <c r="A1397" s="223"/>
      <c r="B1397" s="36"/>
      <c r="C1397" s="4"/>
      <c r="D1397" s="4"/>
      <c r="E1397" s="1"/>
      <c r="F1397" s="11"/>
      <c r="G1397" s="227"/>
      <c r="H1397" s="169"/>
      <c r="I1397" s="170"/>
      <c r="J1397" s="216"/>
      <c r="K1397" s="216"/>
      <c r="M1397" s="216"/>
    </row>
    <row r="1398" spans="1:13" x14ac:dyDescent="0.6">
      <c r="A1398" s="223"/>
      <c r="B1398" s="36"/>
      <c r="C1398" s="4"/>
      <c r="D1398" s="4"/>
      <c r="E1398" s="1"/>
      <c r="F1398" s="11"/>
      <c r="G1398" s="227"/>
      <c r="H1398" s="169"/>
      <c r="I1398" s="170"/>
      <c r="J1398" s="216"/>
      <c r="K1398" s="216"/>
      <c r="M1398" s="216"/>
    </row>
    <row r="1399" spans="1:13" x14ac:dyDescent="0.6">
      <c r="A1399" s="223"/>
      <c r="B1399" s="36"/>
      <c r="C1399" s="4"/>
      <c r="D1399" s="4"/>
      <c r="E1399" s="1"/>
      <c r="F1399" s="11"/>
      <c r="G1399" s="227"/>
      <c r="H1399" s="169"/>
      <c r="I1399" s="170"/>
      <c r="J1399" s="216"/>
      <c r="K1399" s="216"/>
      <c r="M1399" s="216"/>
    </row>
    <row r="1400" spans="1:13" x14ac:dyDescent="0.6">
      <c r="A1400" s="223"/>
      <c r="B1400" s="36"/>
      <c r="C1400" s="4"/>
      <c r="D1400" s="4"/>
      <c r="E1400" s="1"/>
      <c r="F1400" s="11"/>
      <c r="G1400" s="227"/>
      <c r="H1400" s="169"/>
      <c r="I1400" s="170"/>
      <c r="J1400" s="216"/>
      <c r="K1400" s="216"/>
      <c r="M1400" s="216"/>
    </row>
    <row r="1401" spans="1:13" x14ac:dyDescent="0.6">
      <c r="A1401" s="223"/>
      <c r="B1401" s="36"/>
      <c r="C1401" s="4"/>
      <c r="D1401" s="4"/>
      <c r="E1401" s="1"/>
      <c r="F1401" s="11"/>
      <c r="G1401" s="227"/>
      <c r="H1401" s="169"/>
      <c r="I1401" s="170"/>
      <c r="J1401" s="216"/>
      <c r="K1401" s="216"/>
      <c r="M1401" s="216"/>
    </row>
    <row r="1402" spans="1:13" x14ac:dyDescent="0.6">
      <c r="A1402" s="223"/>
      <c r="B1402" s="36"/>
      <c r="C1402" s="4"/>
      <c r="D1402" s="4"/>
      <c r="E1402" s="1"/>
      <c r="F1402" s="11"/>
      <c r="G1402" s="227"/>
      <c r="H1402" s="169"/>
      <c r="I1402" s="170"/>
      <c r="J1402" s="216"/>
      <c r="K1402" s="216"/>
      <c r="M1402" s="216"/>
    </row>
    <row r="1403" spans="1:13" x14ac:dyDescent="0.6">
      <c r="A1403" s="223"/>
      <c r="B1403" s="36"/>
      <c r="C1403" s="4"/>
      <c r="D1403" s="4"/>
      <c r="E1403" s="1"/>
      <c r="F1403" s="11"/>
      <c r="G1403" s="227"/>
      <c r="H1403" s="169"/>
      <c r="I1403" s="170"/>
      <c r="J1403" s="216"/>
      <c r="K1403" s="216"/>
      <c r="M1403" s="216"/>
    </row>
    <row r="1404" spans="1:13" x14ac:dyDescent="0.6">
      <c r="A1404" s="223"/>
      <c r="B1404" s="36"/>
      <c r="C1404" s="4"/>
      <c r="D1404" s="4"/>
      <c r="E1404" s="1"/>
      <c r="F1404" s="11"/>
      <c r="G1404" s="227"/>
      <c r="H1404" s="169"/>
      <c r="I1404" s="170"/>
      <c r="J1404" s="216"/>
      <c r="K1404" s="216"/>
      <c r="M1404" s="216"/>
    </row>
    <row r="1405" spans="1:13" x14ac:dyDescent="0.6">
      <c r="A1405" s="223"/>
      <c r="B1405" s="36"/>
      <c r="C1405" s="4"/>
      <c r="D1405" s="4"/>
      <c r="E1405" s="1"/>
      <c r="F1405" s="11"/>
      <c r="G1405" s="227"/>
      <c r="H1405" s="169"/>
      <c r="I1405" s="170"/>
      <c r="J1405" s="216"/>
      <c r="K1405" s="216"/>
      <c r="M1405" s="216"/>
    </row>
    <row r="1406" spans="1:13" x14ac:dyDescent="0.6">
      <c r="A1406" s="223"/>
      <c r="B1406" s="36"/>
      <c r="C1406" s="4"/>
      <c r="D1406" s="4"/>
      <c r="E1406" s="1"/>
      <c r="F1406" s="11"/>
      <c r="G1406" s="227"/>
      <c r="H1406" s="169"/>
      <c r="I1406" s="170"/>
      <c r="J1406" s="216"/>
      <c r="K1406" s="216"/>
      <c r="M1406" s="216"/>
    </row>
    <row r="1407" spans="1:13" x14ac:dyDescent="0.6">
      <c r="A1407" s="223"/>
      <c r="B1407" s="36"/>
      <c r="C1407" s="4"/>
      <c r="D1407" s="4"/>
      <c r="E1407" s="1"/>
      <c r="F1407" s="11"/>
      <c r="G1407" s="227"/>
      <c r="H1407" s="169"/>
      <c r="I1407" s="170"/>
      <c r="J1407" s="216"/>
      <c r="K1407" s="216"/>
      <c r="M1407" s="216"/>
    </row>
    <row r="1408" spans="1:13" x14ac:dyDescent="0.6">
      <c r="A1408" s="223"/>
      <c r="B1408" s="36"/>
      <c r="C1408" s="4"/>
      <c r="D1408" s="4"/>
      <c r="E1408" s="1"/>
      <c r="F1408" s="11"/>
      <c r="G1408" s="227"/>
      <c r="H1408" s="169"/>
      <c r="I1408" s="170"/>
      <c r="J1408" s="216"/>
      <c r="K1408" s="216"/>
      <c r="M1408" s="216"/>
    </row>
    <row r="1409" spans="1:13" x14ac:dyDescent="0.6">
      <c r="A1409" s="223"/>
      <c r="B1409" s="36"/>
      <c r="C1409" s="4"/>
      <c r="D1409" s="4"/>
      <c r="E1409" s="1"/>
      <c r="F1409" s="11"/>
      <c r="G1409" s="227"/>
      <c r="H1409" s="169"/>
      <c r="I1409" s="170"/>
      <c r="J1409" s="216"/>
      <c r="K1409" s="216"/>
      <c r="M1409" s="216"/>
    </row>
    <row r="1410" spans="1:13" x14ac:dyDescent="0.6">
      <c r="A1410" s="223"/>
      <c r="B1410" s="36"/>
      <c r="C1410" s="4"/>
      <c r="D1410" s="4"/>
      <c r="E1410" s="1"/>
      <c r="F1410" s="11"/>
      <c r="G1410" s="227"/>
      <c r="H1410" s="169"/>
      <c r="I1410" s="170"/>
      <c r="J1410" s="216"/>
      <c r="K1410" s="216"/>
      <c r="M1410" s="216"/>
    </row>
    <row r="1411" spans="1:13" x14ac:dyDescent="0.6">
      <c r="A1411" s="223"/>
      <c r="B1411" s="36"/>
      <c r="C1411" s="4"/>
      <c r="D1411" s="4"/>
      <c r="E1411" s="1"/>
      <c r="F1411" s="11"/>
      <c r="G1411" s="227"/>
      <c r="H1411" s="169"/>
      <c r="I1411" s="170"/>
      <c r="J1411" s="216"/>
      <c r="K1411" s="216"/>
      <c r="M1411" s="216"/>
    </row>
    <row r="1412" spans="1:13" x14ac:dyDescent="0.6">
      <c r="A1412" s="223"/>
      <c r="B1412" s="36"/>
      <c r="C1412" s="4"/>
      <c r="D1412" s="4"/>
      <c r="E1412" s="1"/>
      <c r="F1412" s="11"/>
      <c r="G1412" s="227"/>
      <c r="H1412" s="169"/>
      <c r="I1412" s="170"/>
      <c r="J1412" s="216"/>
      <c r="K1412" s="216"/>
      <c r="M1412" s="216"/>
    </row>
    <row r="1413" spans="1:13" x14ac:dyDescent="0.6">
      <c r="A1413" s="223"/>
      <c r="B1413" s="36"/>
      <c r="C1413" s="4"/>
      <c r="D1413" s="4"/>
      <c r="E1413" s="1"/>
      <c r="F1413" s="11"/>
      <c r="G1413" s="227"/>
      <c r="H1413" s="169"/>
      <c r="I1413" s="170"/>
      <c r="J1413" s="216"/>
      <c r="K1413" s="216"/>
      <c r="M1413" s="216"/>
    </row>
    <row r="1414" spans="1:13" x14ac:dyDescent="0.6">
      <c r="A1414" s="223"/>
      <c r="B1414" s="36"/>
      <c r="C1414" s="4"/>
      <c r="D1414" s="4"/>
      <c r="E1414" s="1"/>
      <c r="F1414" s="11"/>
      <c r="G1414" s="227"/>
      <c r="H1414" s="169"/>
      <c r="I1414" s="170"/>
      <c r="J1414" s="216"/>
      <c r="K1414" s="216"/>
      <c r="M1414" s="216"/>
    </row>
    <row r="1415" spans="1:13" x14ac:dyDescent="0.6">
      <c r="A1415" s="223"/>
      <c r="B1415" s="36"/>
      <c r="C1415" s="4"/>
      <c r="D1415" s="4"/>
      <c r="E1415" s="1"/>
      <c r="F1415" s="11"/>
      <c r="G1415" s="227"/>
      <c r="H1415" s="169"/>
      <c r="I1415" s="170"/>
      <c r="J1415" s="216"/>
      <c r="K1415" s="216"/>
      <c r="M1415" s="216"/>
    </row>
    <row r="1416" spans="1:13" x14ac:dyDescent="0.6">
      <c r="A1416" s="223"/>
      <c r="B1416" s="36"/>
      <c r="C1416" s="4"/>
      <c r="D1416" s="4"/>
      <c r="E1416" s="1"/>
      <c r="F1416" s="11"/>
      <c r="G1416" s="227"/>
      <c r="H1416" s="169"/>
      <c r="I1416" s="170"/>
      <c r="J1416" s="216"/>
      <c r="K1416" s="216"/>
      <c r="M1416" s="216"/>
    </row>
    <row r="1417" spans="1:13" x14ac:dyDescent="0.6">
      <c r="A1417" s="223"/>
      <c r="B1417" s="36"/>
      <c r="C1417" s="4"/>
      <c r="D1417" s="4"/>
      <c r="E1417" s="1"/>
      <c r="F1417" s="11"/>
      <c r="G1417" s="227"/>
      <c r="H1417" s="169"/>
      <c r="I1417" s="170"/>
      <c r="J1417" s="216"/>
      <c r="K1417" s="216"/>
      <c r="M1417" s="216"/>
    </row>
    <row r="1418" spans="1:13" x14ac:dyDescent="0.6">
      <c r="A1418" s="223"/>
      <c r="B1418" s="36"/>
      <c r="C1418" s="4"/>
      <c r="D1418" s="4"/>
      <c r="E1418" s="1"/>
      <c r="F1418" s="11"/>
      <c r="G1418" s="227"/>
      <c r="H1418" s="169"/>
      <c r="I1418" s="170"/>
      <c r="J1418" s="216"/>
      <c r="K1418" s="216"/>
      <c r="M1418" s="216"/>
    </row>
    <row r="1419" spans="1:13" x14ac:dyDescent="0.6">
      <c r="A1419" s="223"/>
      <c r="B1419" s="36"/>
      <c r="C1419" s="4"/>
      <c r="D1419" s="4"/>
      <c r="E1419" s="1"/>
      <c r="F1419" s="11"/>
      <c r="G1419" s="227"/>
      <c r="H1419" s="169"/>
      <c r="I1419" s="170"/>
      <c r="J1419" s="216"/>
      <c r="K1419" s="216"/>
      <c r="M1419" s="216"/>
    </row>
    <row r="1420" spans="1:13" x14ac:dyDescent="0.6">
      <c r="A1420" s="223"/>
      <c r="B1420" s="36"/>
      <c r="C1420" s="4"/>
      <c r="D1420" s="4"/>
      <c r="E1420" s="1"/>
      <c r="F1420" s="11"/>
      <c r="G1420" s="227"/>
      <c r="H1420" s="169"/>
      <c r="I1420" s="170"/>
      <c r="J1420" s="216"/>
      <c r="K1420" s="216"/>
      <c r="M1420" s="216"/>
    </row>
    <row r="1421" spans="1:13" x14ac:dyDescent="0.6">
      <c r="A1421" s="223"/>
      <c r="B1421" s="36"/>
      <c r="C1421" s="4"/>
      <c r="D1421" s="4"/>
      <c r="E1421" s="1"/>
      <c r="F1421" s="11"/>
      <c r="G1421" s="227"/>
      <c r="H1421" s="169"/>
      <c r="I1421" s="170"/>
      <c r="J1421" s="216"/>
      <c r="K1421" s="216"/>
      <c r="M1421" s="216"/>
    </row>
    <row r="1422" spans="1:13" x14ac:dyDescent="0.6">
      <c r="A1422" s="223"/>
      <c r="B1422" s="36"/>
      <c r="C1422" s="4"/>
      <c r="D1422" s="4"/>
      <c r="E1422" s="1"/>
      <c r="F1422" s="11"/>
      <c r="G1422" s="227"/>
      <c r="H1422" s="169"/>
      <c r="I1422" s="170"/>
      <c r="J1422" s="216"/>
      <c r="K1422" s="216"/>
      <c r="M1422" s="216"/>
    </row>
    <row r="1423" spans="1:13" x14ac:dyDescent="0.6">
      <c r="A1423" s="223"/>
      <c r="B1423" s="36"/>
      <c r="C1423" s="4"/>
      <c r="D1423" s="4"/>
      <c r="E1423" s="1"/>
      <c r="F1423" s="11"/>
      <c r="G1423" s="227"/>
      <c r="H1423" s="169"/>
      <c r="I1423" s="170"/>
      <c r="J1423" s="216"/>
      <c r="K1423" s="216"/>
      <c r="M1423" s="216"/>
    </row>
    <row r="1424" spans="1:13" x14ac:dyDescent="0.6">
      <c r="A1424" s="223"/>
      <c r="B1424" s="36"/>
      <c r="C1424" s="4"/>
      <c r="D1424" s="4"/>
      <c r="E1424" s="1"/>
      <c r="F1424" s="11"/>
      <c r="G1424" s="227"/>
      <c r="H1424" s="169"/>
      <c r="I1424" s="170"/>
      <c r="J1424" s="216"/>
      <c r="K1424" s="216"/>
      <c r="M1424" s="216"/>
    </row>
    <row r="1425" spans="1:13" x14ac:dyDescent="0.6">
      <c r="A1425" s="223"/>
      <c r="B1425" s="36"/>
      <c r="C1425" s="4"/>
      <c r="D1425" s="4"/>
      <c r="E1425" s="1"/>
      <c r="F1425" s="11"/>
      <c r="G1425" s="227"/>
      <c r="H1425" s="169"/>
      <c r="I1425" s="170"/>
      <c r="J1425" s="216"/>
      <c r="K1425" s="216"/>
      <c r="M1425" s="216"/>
    </row>
    <row r="1426" spans="1:13" x14ac:dyDescent="0.6">
      <c r="A1426" s="223"/>
      <c r="B1426" s="36"/>
      <c r="C1426" s="4"/>
      <c r="D1426" s="4"/>
      <c r="E1426" s="1"/>
      <c r="F1426" s="11"/>
      <c r="G1426" s="227"/>
      <c r="H1426" s="169"/>
      <c r="I1426" s="170"/>
      <c r="J1426" s="216"/>
      <c r="K1426" s="216"/>
      <c r="M1426" s="216"/>
    </row>
    <row r="1427" spans="1:13" x14ac:dyDescent="0.6">
      <c r="A1427" s="223"/>
      <c r="B1427" s="36"/>
      <c r="C1427" s="4"/>
      <c r="D1427" s="4"/>
      <c r="E1427" s="1"/>
      <c r="F1427" s="11"/>
      <c r="G1427" s="227"/>
      <c r="H1427" s="169"/>
      <c r="I1427" s="170"/>
      <c r="J1427" s="216"/>
      <c r="K1427" s="216"/>
      <c r="M1427" s="216"/>
    </row>
    <row r="1428" spans="1:13" x14ac:dyDescent="0.6">
      <c r="A1428" s="223"/>
      <c r="B1428" s="36"/>
      <c r="C1428" s="4"/>
      <c r="D1428" s="4"/>
      <c r="E1428" s="1"/>
      <c r="F1428" s="11"/>
      <c r="G1428" s="227"/>
      <c r="H1428" s="169"/>
      <c r="I1428" s="170"/>
      <c r="J1428" s="216"/>
      <c r="K1428" s="216"/>
      <c r="M1428" s="216"/>
    </row>
    <row r="1429" spans="1:13" x14ac:dyDescent="0.6">
      <c r="A1429" s="223"/>
      <c r="B1429" s="36"/>
      <c r="C1429" s="4"/>
      <c r="D1429" s="4"/>
      <c r="E1429" s="1"/>
      <c r="F1429" s="11"/>
      <c r="G1429" s="227"/>
      <c r="H1429" s="169"/>
      <c r="I1429" s="170"/>
      <c r="J1429" s="216"/>
      <c r="K1429" s="216"/>
      <c r="M1429" s="216"/>
    </row>
    <row r="1430" spans="1:13" x14ac:dyDescent="0.6">
      <c r="A1430" s="223"/>
      <c r="B1430" s="36"/>
      <c r="C1430" s="4"/>
      <c r="D1430" s="4"/>
      <c r="E1430" s="1"/>
      <c r="F1430" s="11"/>
      <c r="G1430" s="227"/>
      <c r="H1430" s="169"/>
      <c r="I1430" s="170"/>
      <c r="J1430" s="216"/>
      <c r="K1430" s="216"/>
      <c r="M1430" s="216"/>
    </row>
    <row r="1431" spans="1:13" x14ac:dyDescent="0.6">
      <c r="A1431" s="223"/>
      <c r="B1431" s="36"/>
      <c r="C1431" s="4"/>
      <c r="D1431" s="4"/>
      <c r="E1431" s="1"/>
      <c r="F1431" s="11"/>
      <c r="G1431" s="227"/>
      <c r="H1431" s="169"/>
      <c r="I1431" s="170"/>
      <c r="J1431" s="216"/>
      <c r="K1431" s="216"/>
      <c r="M1431" s="216"/>
    </row>
    <row r="1432" spans="1:13" x14ac:dyDescent="0.6">
      <c r="A1432" s="223"/>
      <c r="B1432" s="36"/>
      <c r="C1432" s="4"/>
      <c r="D1432" s="4"/>
      <c r="E1432" s="1"/>
      <c r="F1432" s="11"/>
      <c r="G1432" s="227"/>
      <c r="H1432" s="169"/>
      <c r="I1432" s="170"/>
      <c r="J1432" s="216"/>
      <c r="K1432" s="216"/>
      <c r="M1432" s="216"/>
    </row>
    <row r="1433" spans="1:13" x14ac:dyDescent="0.6">
      <c r="A1433" s="223"/>
      <c r="B1433" s="36"/>
      <c r="C1433" s="4"/>
      <c r="D1433" s="4"/>
      <c r="E1433" s="1"/>
      <c r="F1433" s="11"/>
      <c r="G1433" s="227"/>
      <c r="H1433" s="169"/>
      <c r="I1433" s="170"/>
      <c r="J1433" s="216"/>
      <c r="K1433" s="216"/>
      <c r="M1433" s="216"/>
    </row>
    <row r="1434" spans="1:13" x14ac:dyDescent="0.6">
      <c r="A1434" s="223"/>
      <c r="B1434" s="36"/>
      <c r="C1434" s="4"/>
      <c r="D1434" s="4"/>
      <c r="E1434" s="1"/>
      <c r="F1434" s="11"/>
      <c r="G1434" s="227"/>
      <c r="H1434" s="169"/>
      <c r="I1434" s="170"/>
      <c r="J1434" s="216"/>
      <c r="K1434" s="216"/>
      <c r="M1434" s="216"/>
    </row>
    <row r="1435" spans="1:13" x14ac:dyDescent="0.6">
      <c r="A1435" s="223"/>
      <c r="B1435" s="36"/>
      <c r="C1435" s="4"/>
      <c r="D1435" s="4"/>
      <c r="E1435" s="1"/>
      <c r="F1435" s="11"/>
      <c r="G1435" s="227"/>
      <c r="H1435" s="169"/>
      <c r="I1435" s="170"/>
      <c r="J1435" s="216"/>
      <c r="K1435" s="216"/>
      <c r="M1435" s="216"/>
    </row>
    <row r="1436" spans="1:13" x14ac:dyDescent="0.6">
      <c r="A1436" s="223"/>
      <c r="B1436" s="36"/>
      <c r="C1436" s="4"/>
      <c r="D1436" s="4"/>
      <c r="E1436" s="1"/>
      <c r="F1436" s="11"/>
      <c r="G1436" s="227"/>
      <c r="H1436" s="169"/>
      <c r="I1436" s="170"/>
      <c r="J1436" s="216"/>
      <c r="K1436" s="216"/>
      <c r="M1436" s="216"/>
    </row>
    <row r="1437" spans="1:13" x14ac:dyDescent="0.6">
      <c r="A1437" s="223"/>
      <c r="B1437" s="36"/>
      <c r="C1437" s="4"/>
      <c r="D1437" s="4"/>
      <c r="E1437" s="1"/>
      <c r="F1437" s="11"/>
      <c r="G1437" s="227"/>
      <c r="H1437" s="169"/>
      <c r="I1437" s="170"/>
      <c r="J1437" s="216"/>
      <c r="K1437" s="216"/>
      <c r="M1437" s="216"/>
    </row>
    <row r="1438" spans="1:13" x14ac:dyDescent="0.6">
      <c r="A1438" s="223"/>
      <c r="B1438" s="36"/>
      <c r="C1438" s="4"/>
      <c r="D1438" s="4"/>
      <c r="E1438" s="1"/>
      <c r="F1438" s="11"/>
      <c r="G1438" s="227"/>
      <c r="H1438" s="169"/>
      <c r="I1438" s="170"/>
      <c r="J1438" s="216"/>
      <c r="K1438" s="216"/>
      <c r="M1438" s="216"/>
    </row>
    <row r="1439" spans="1:13" x14ac:dyDescent="0.6">
      <c r="A1439" s="223"/>
      <c r="B1439" s="36"/>
      <c r="C1439" s="4"/>
      <c r="D1439" s="4"/>
      <c r="E1439" s="1"/>
      <c r="F1439" s="11"/>
      <c r="G1439" s="227"/>
      <c r="H1439" s="169"/>
      <c r="I1439" s="170"/>
      <c r="J1439" s="216"/>
      <c r="K1439" s="216"/>
      <c r="M1439" s="216"/>
    </row>
    <row r="1440" spans="1:13" x14ac:dyDescent="0.6">
      <c r="A1440" s="223"/>
      <c r="B1440" s="36"/>
      <c r="C1440" s="4"/>
      <c r="D1440" s="4"/>
      <c r="E1440" s="1"/>
      <c r="F1440" s="11"/>
      <c r="G1440" s="227"/>
      <c r="H1440" s="169"/>
      <c r="I1440" s="170"/>
      <c r="J1440" s="216"/>
      <c r="K1440" s="216"/>
      <c r="M1440" s="216"/>
    </row>
    <row r="1441" spans="1:13" x14ac:dyDescent="0.6">
      <c r="A1441" s="223"/>
      <c r="B1441" s="36"/>
      <c r="C1441" s="4"/>
      <c r="D1441" s="4"/>
      <c r="E1441" s="1"/>
      <c r="F1441" s="11"/>
      <c r="G1441" s="227"/>
      <c r="H1441" s="169"/>
      <c r="I1441" s="170"/>
      <c r="J1441" s="216"/>
      <c r="K1441" s="216"/>
      <c r="M1441" s="216"/>
    </row>
    <row r="1442" spans="1:13" x14ac:dyDescent="0.6">
      <c r="A1442" s="223"/>
      <c r="B1442" s="36"/>
      <c r="C1442" s="4"/>
      <c r="D1442" s="4"/>
      <c r="E1442" s="1"/>
      <c r="F1442" s="11"/>
      <c r="G1442" s="227"/>
      <c r="H1442" s="169"/>
      <c r="I1442" s="170"/>
      <c r="J1442" s="216"/>
      <c r="K1442" s="216"/>
      <c r="M1442" s="216"/>
    </row>
    <row r="1443" spans="1:13" x14ac:dyDescent="0.6">
      <c r="A1443" s="223"/>
      <c r="B1443" s="36"/>
      <c r="C1443" s="4"/>
      <c r="D1443" s="4"/>
      <c r="E1443" s="1"/>
      <c r="F1443" s="11"/>
      <c r="G1443" s="227"/>
      <c r="H1443" s="169"/>
      <c r="I1443" s="170"/>
      <c r="J1443" s="216"/>
      <c r="K1443" s="216"/>
      <c r="M1443" s="216"/>
    </row>
    <row r="1444" spans="1:13" x14ac:dyDescent="0.6">
      <c r="A1444" s="223"/>
      <c r="B1444" s="36"/>
      <c r="C1444" s="4"/>
      <c r="D1444" s="4"/>
      <c r="E1444" s="1"/>
      <c r="F1444" s="11"/>
      <c r="G1444" s="227"/>
      <c r="H1444" s="169"/>
      <c r="I1444" s="170"/>
      <c r="J1444" s="216"/>
      <c r="K1444" s="216"/>
      <c r="M1444" s="216"/>
    </row>
    <row r="1445" spans="1:13" x14ac:dyDescent="0.6">
      <c r="A1445" s="223"/>
      <c r="B1445" s="36"/>
      <c r="C1445" s="4"/>
      <c r="D1445" s="4"/>
      <c r="E1445" s="1"/>
      <c r="F1445" s="11"/>
      <c r="G1445" s="227"/>
      <c r="H1445" s="169"/>
      <c r="I1445" s="170"/>
      <c r="J1445" s="216"/>
      <c r="K1445" s="216"/>
      <c r="M1445" s="216"/>
    </row>
    <row r="1446" spans="1:13" x14ac:dyDescent="0.6">
      <c r="A1446" s="223"/>
      <c r="B1446" s="36"/>
      <c r="C1446" s="4"/>
      <c r="D1446" s="4"/>
      <c r="E1446" s="1"/>
      <c r="F1446" s="11"/>
      <c r="G1446" s="227"/>
      <c r="H1446" s="169"/>
      <c r="I1446" s="170"/>
      <c r="J1446" s="216"/>
      <c r="K1446" s="216"/>
      <c r="M1446" s="216"/>
    </row>
    <row r="1447" spans="1:13" x14ac:dyDescent="0.6">
      <c r="A1447" s="223"/>
      <c r="B1447" s="36"/>
      <c r="C1447" s="4"/>
      <c r="D1447" s="4"/>
      <c r="E1447" s="1"/>
      <c r="F1447" s="11"/>
      <c r="G1447" s="227"/>
      <c r="H1447" s="169"/>
      <c r="I1447" s="170"/>
      <c r="J1447" s="216"/>
      <c r="K1447" s="216"/>
      <c r="M1447" s="216"/>
    </row>
    <row r="1448" spans="1:13" x14ac:dyDescent="0.6">
      <c r="A1448" s="223"/>
      <c r="B1448" s="36"/>
      <c r="C1448" s="4"/>
      <c r="D1448" s="4"/>
      <c r="E1448" s="1"/>
      <c r="F1448" s="11"/>
      <c r="G1448" s="227"/>
      <c r="H1448" s="169"/>
      <c r="I1448" s="170"/>
      <c r="J1448" s="216"/>
      <c r="K1448" s="216"/>
      <c r="M1448" s="216"/>
    </row>
    <row r="1449" spans="1:13" x14ac:dyDescent="0.6">
      <c r="A1449" s="223"/>
      <c r="B1449" s="36"/>
      <c r="C1449" s="4"/>
      <c r="D1449" s="4"/>
      <c r="E1449" s="1"/>
      <c r="F1449" s="11"/>
      <c r="G1449" s="227"/>
      <c r="H1449" s="169"/>
      <c r="I1449" s="170"/>
      <c r="J1449" s="216"/>
      <c r="K1449" s="216"/>
      <c r="M1449" s="216"/>
    </row>
    <row r="1450" spans="1:13" x14ac:dyDescent="0.6">
      <c r="A1450" s="223"/>
      <c r="B1450" s="36"/>
      <c r="C1450" s="4"/>
      <c r="D1450" s="4"/>
      <c r="E1450" s="1"/>
      <c r="F1450" s="11"/>
      <c r="G1450" s="227"/>
      <c r="H1450" s="169"/>
      <c r="I1450" s="170"/>
      <c r="J1450" s="216"/>
      <c r="K1450" s="216"/>
      <c r="M1450" s="216"/>
    </row>
    <row r="1451" spans="1:13" x14ac:dyDescent="0.6">
      <c r="A1451" s="223"/>
      <c r="B1451" s="36"/>
      <c r="C1451" s="4"/>
      <c r="D1451" s="4"/>
      <c r="E1451" s="1"/>
      <c r="F1451" s="11"/>
      <c r="G1451" s="227"/>
      <c r="H1451" s="169"/>
      <c r="I1451" s="170"/>
      <c r="J1451" s="216"/>
      <c r="K1451" s="216"/>
      <c r="M1451" s="216"/>
    </row>
    <row r="1452" spans="1:13" x14ac:dyDescent="0.6">
      <c r="A1452" s="223"/>
      <c r="B1452" s="36"/>
      <c r="C1452" s="4"/>
      <c r="D1452" s="4"/>
      <c r="E1452" s="1"/>
      <c r="F1452" s="11"/>
      <c r="G1452" s="227"/>
      <c r="H1452" s="169"/>
      <c r="I1452" s="170"/>
      <c r="J1452" s="216"/>
      <c r="K1452" s="216"/>
      <c r="M1452" s="216"/>
    </row>
    <row r="1453" spans="1:13" x14ac:dyDescent="0.6">
      <c r="A1453" s="223"/>
      <c r="B1453" s="36"/>
      <c r="C1453" s="4"/>
      <c r="D1453" s="4"/>
      <c r="E1453" s="1"/>
      <c r="F1453" s="11"/>
      <c r="G1453" s="227"/>
      <c r="H1453" s="169"/>
      <c r="I1453" s="170"/>
      <c r="J1453" s="216"/>
      <c r="K1453" s="216"/>
      <c r="M1453" s="216"/>
    </row>
    <row r="1454" spans="1:13" x14ac:dyDescent="0.6">
      <c r="A1454" s="223"/>
      <c r="B1454" s="36"/>
      <c r="C1454" s="4"/>
      <c r="D1454" s="4"/>
      <c r="E1454" s="1"/>
      <c r="F1454" s="11"/>
      <c r="G1454" s="227"/>
      <c r="H1454" s="169"/>
      <c r="I1454" s="170"/>
      <c r="J1454" s="216"/>
      <c r="K1454" s="216"/>
      <c r="M1454" s="216"/>
    </row>
    <row r="1455" spans="1:13" x14ac:dyDescent="0.6">
      <c r="A1455" s="223"/>
      <c r="B1455" s="36"/>
      <c r="C1455" s="4"/>
      <c r="D1455" s="4"/>
      <c r="E1455" s="1"/>
      <c r="F1455" s="11"/>
      <c r="G1455" s="227"/>
      <c r="H1455" s="169"/>
      <c r="I1455" s="170"/>
      <c r="J1455" s="216"/>
      <c r="K1455" s="216"/>
      <c r="M1455" s="216"/>
    </row>
    <row r="1456" spans="1:13" x14ac:dyDescent="0.6">
      <c r="A1456" s="223"/>
      <c r="B1456" s="36"/>
      <c r="C1456" s="4"/>
      <c r="D1456" s="4"/>
      <c r="E1456" s="1"/>
      <c r="F1456" s="11"/>
      <c r="G1456" s="227"/>
      <c r="H1456" s="169"/>
      <c r="I1456" s="170"/>
      <c r="J1456" s="216"/>
      <c r="K1456" s="216"/>
      <c r="M1456" s="216"/>
    </row>
    <row r="1457" spans="1:13" x14ac:dyDescent="0.6">
      <c r="A1457" s="223"/>
      <c r="B1457" s="36"/>
      <c r="C1457" s="4"/>
      <c r="D1457" s="4"/>
      <c r="E1457" s="1"/>
      <c r="F1457" s="11"/>
      <c r="G1457" s="227"/>
      <c r="H1457" s="169"/>
      <c r="I1457" s="170"/>
      <c r="J1457" s="216"/>
      <c r="K1457" s="216"/>
      <c r="M1457" s="216"/>
    </row>
    <row r="1458" spans="1:13" x14ac:dyDescent="0.6">
      <c r="A1458" s="223"/>
      <c r="B1458" s="36"/>
      <c r="C1458" s="4"/>
      <c r="D1458" s="4"/>
      <c r="E1458" s="1"/>
      <c r="F1458" s="11"/>
      <c r="G1458" s="227"/>
      <c r="H1458" s="169"/>
      <c r="I1458" s="170"/>
      <c r="J1458" s="216"/>
      <c r="K1458" s="216"/>
      <c r="M1458" s="216"/>
    </row>
    <row r="1459" spans="1:13" x14ac:dyDescent="0.6">
      <c r="A1459" s="223"/>
      <c r="B1459" s="36"/>
      <c r="C1459" s="4"/>
      <c r="D1459" s="4"/>
      <c r="E1459" s="1"/>
      <c r="F1459" s="11"/>
      <c r="G1459" s="227"/>
      <c r="H1459" s="169"/>
      <c r="I1459" s="170"/>
      <c r="J1459" s="216"/>
      <c r="K1459" s="216"/>
      <c r="M1459" s="216"/>
    </row>
    <row r="1460" spans="1:13" x14ac:dyDescent="0.6">
      <c r="A1460" s="223"/>
      <c r="B1460" s="36"/>
      <c r="C1460" s="4"/>
      <c r="D1460" s="4"/>
      <c r="E1460" s="1"/>
      <c r="F1460" s="11"/>
      <c r="G1460" s="227"/>
      <c r="H1460" s="169"/>
      <c r="I1460" s="170"/>
      <c r="J1460" s="216"/>
      <c r="K1460" s="216"/>
      <c r="M1460" s="216"/>
    </row>
    <row r="1461" spans="1:13" x14ac:dyDescent="0.6">
      <c r="A1461" s="223"/>
      <c r="B1461" s="36"/>
      <c r="C1461" s="4"/>
      <c r="D1461" s="4"/>
      <c r="E1461" s="1"/>
      <c r="F1461" s="11"/>
      <c r="G1461" s="227"/>
      <c r="H1461" s="169"/>
      <c r="I1461" s="170"/>
      <c r="J1461" s="216"/>
      <c r="K1461" s="216"/>
      <c r="M1461" s="216"/>
    </row>
    <row r="1462" spans="1:13" x14ac:dyDescent="0.6">
      <c r="A1462" s="223"/>
      <c r="B1462" s="36"/>
      <c r="C1462" s="4"/>
      <c r="D1462" s="4"/>
      <c r="E1462" s="1"/>
      <c r="F1462" s="11"/>
      <c r="G1462" s="227"/>
      <c r="H1462" s="169"/>
      <c r="I1462" s="170"/>
      <c r="J1462" s="216"/>
      <c r="K1462" s="216"/>
      <c r="M1462" s="216"/>
    </row>
    <row r="1463" spans="1:13" x14ac:dyDescent="0.6">
      <c r="A1463" s="223"/>
      <c r="B1463" s="36"/>
      <c r="C1463" s="4"/>
      <c r="D1463" s="4"/>
      <c r="E1463" s="1"/>
      <c r="F1463" s="11"/>
      <c r="G1463" s="227"/>
      <c r="H1463" s="169"/>
      <c r="I1463" s="170"/>
      <c r="J1463" s="216"/>
      <c r="K1463" s="216"/>
      <c r="M1463" s="216"/>
    </row>
    <row r="1464" spans="1:13" x14ac:dyDescent="0.6">
      <c r="A1464" s="223"/>
      <c r="B1464" s="36"/>
      <c r="C1464" s="4"/>
      <c r="D1464" s="4"/>
      <c r="E1464" s="1"/>
      <c r="F1464" s="11"/>
      <c r="G1464" s="227"/>
      <c r="H1464" s="169"/>
      <c r="I1464" s="170"/>
      <c r="J1464" s="216"/>
      <c r="K1464" s="216"/>
      <c r="M1464" s="216"/>
    </row>
    <row r="1465" spans="1:13" x14ac:dyDescent="0.6">
      <c r="A1465" s="223"/>
      <c r="B1465" s="36"/>
      <c r="C1465" s="4"/>
      <c r="D1465" s="4"/>
      <c r="E1465" s="1"/>
      <c r="F1465" s="11"/>
      <c r="G1465" s="227"/>
      <c r="H1465" s="169"/>
      <c r="I1465" s="170"/>
      <c r="J1465" s="216"/>
      <c r="K1465" s="216"/>
      <c r="M1465" s="216"/>
    </row>
    <row r="1466" spans="1:13" x14ac:dyDescent="0.6">
      <c r="A1466" s="223"/>
      <c r="B1466" s="36"/>
      <c r="C1466" s="4"/>
      <c r="D1466" s="4"/>
      <c r="E1466" s="1"/>
      <c r="F1466" s="11"/>
      <c r="G1466" s="227"/>
      <c r="H1466" s="169"/>
      <c r="I1466" s="170"/>
      <c r="J1466" s="216"/>
      <c r="K1466" s="216"/>
      <c r="M1466" s="216"/>
    </row>
    <row r="1467" spans="1:13" x14ac:dyDescent="0.6">
      <c r="A1467" s="223"/>
      <c r="B1467" s="36"/>
      <c r="C1467" s="4"/>
      <c r="D1467" s="4"/>
      <c r="E1467" s="1"/>
      <c r="F1467" s="11"/>
      <c r="G1467" s="227"/>
      <c r="H1467" s="169"/>
      <c r="I1467" s="170"/>
      <c r="J1467" s="216"/>
      <c r="K1467" s="216"/>
      <c r="M1467" s="216"/>
    </row>
    <row r="1468" spans="1:13" x14ac:dyDescent="0.6">
      <c r="A1468" s="223"/>
      <c r="B1468" s="36"/>
      <c r="C1468" s="4"/>
      <c r="D1468" s="4"/>
      <c r="E1468" s="1"/>
      <c r="F1468" s="11"/>
      <c r="G1468" s="227"/>
      <c r="H1468" s="169"/>
      <c r="I1468" s="170"/>
      <c r="J1468" s="216"/>
      <c r="K1468" s="216"/>
      <c r="M1468" s="216"/>
    </row>
    <row r="1469" spans="1:13" x14ac:dyDescent="0.6">
      <c r="A1469" s="223"/>
      <c r="B1469" s="36"/>
      <c r="C1469" s="4"/>
      <c r="D1469" s="4"/>
      <c r="E1469" s="1"/>
      <c r="F1469" s="11"/>
      <c r="G1469" s="227"/>
      <c r="H1469" s="169"/>
      <c r="I1469" s="170"/>
      <c r="J1469" s="216"/>
      <c r="K1469" s="216"/>
      <c r="M1469" s="216"/>
    </row>
    <row r="1470" spans="1:13" x14ac:dyDescent="0.6">
      <c r="A1470" s="223"/>
      <c r="B1470" s="36"/>
      <c r="C1470" s="4"/>
      <c r="D1470" s="4"/>
      <c r="E1470" s="1"/>
      <c r="F1470" s="11"/>
      <c r="G1470" s="227"/>
      <c r="H1470" s="169"/>
      <c r="I1470" s="170"/>
      <c r="J1470" s="216"/>
      <c r="K1470" s="216"/>
      <c r="M1470" s="216"/>
    </row>
    <row r="1471" spans="1:13" x14ac:dyDescent="0.6">
      <c r="A1471" s="223"/>
      <c r="B1471" s="36"/>
      <c r="C1471" s="4"/>
      <c r="D1471" s="4"/>
      <c r="E1471" s="1"/>
      <c r="F1471" s="11"/>
      <c r="G1471" s="227"/>
      <c r="H1471" s="169"/>
      <c r="I1471" s="170"/>
      <c r="J1471" s="216"/>
      <c r="K1471" s="216"/>
      <c r="M1471" s="216"/>
    </row>
    <row r="1472" spans="1:13" x14ac:dyDescent="0.6">
      <c r="A1472" s="223"/>
      <c r="B1472" s="36"/>
      <c r="C1472" s="4"/>
      <c r="D1472" s="4"/>
      <c r="E1472" s="1"/>
      <c r="F1472" s="11"/>
      <c r="G1472" s="227"/>
      <c r="H1472" s="169"/>
      <c r="I1472" s="170"/>
      <c r="J1472" s="216"/>
      <c r="K1472" s="216"/>
      <c r="M1472" s="216"/>
    </row>
    <row r="1473" spans="1:13" x14ac:dyDescent="0.6">
      <c r="A1473" s="223"/>
      <c r="B1473" s="36"/>
      <c r="C1473" s="4"/>
      <c r="D1473" s="4"/>
      <c r="E1473" s="1"/>
      <c r="F1473" s="11"/>
      <c r="G1473" s="227"/>
      <c r="H1473" s="169"/>
      <c r="I1473" s="170"/>
      <c r="J1473" s="216"/>
      <c r="K1473" s="216"/>
      <c r="M1473" s="216"/>
    </row>
    <row r="1474" spans="1:13" x14ac:dyDescent="0.6">
      <c r="A1474" s="223"/>
      <c r="B1474" s="36"/>
      <c r="C1474" s="4"/>
      <c r="D1474" s="4"/>
      <c r="E1474" s="1"/>
      <c r="F1474" s="11"/>
      <c r="G1474" s="227"/>
      <c r="H1474" s="169"/>
      <c r="I1474" s="170"/>
      <c r="J1474" s="216"/>
      <c r="K1474" s="216"/>
      <c r="M1474" s="216"/>
    </row>
    <row r="1475" spans="1:13" x14ac:dyDescent="0.6">
      <c r="A1475" s="223"/>
      <c r="B1475" s="36"/>
      <c r="C1475" s="4"/>
      <c r="D1475" s="4"/>
      <c r="E1475" s="1"/>
      <c r="F1475" s="11"/>
      <c r="G1475" s="227"/>
      <c r="H1475" s="169"/>
      <c r="I1475" s="170"/>
      <c r="J1475" s="216"/>
      <c r="K1475" s="216"/>
      <c r="M1475" s="216"/>
    </row>
    <row r="1476" spans="1:13" x14ac:dyDescent="0.6">
      <c r="A1476" s="223"/>
      <c r="B1476" s="36"/>
      <c r="C1476" s="4"/>
      <c r="D1476" s="4"/>
      <c r="E1476" s="1"/>
      <c r="F1476" s="11"/>
      <c r="G1476" s="227"/>
      <c r="H1476" s="169"/>
      <c r="I1476" s="170"/>
      <c r="J1476" s="216"/>
      <c r="K1476" s="216"/>
      <c r="M1476" s="216"/>
    </row>
    <row r="1477" spans="1:13" x14ac:dyDescent="0.6">
      <c r="A1477" s="223"/>
      <c r="B1477" s="36"/>
      <c r="C1477" s="4"/>
      <c r="D1477" s="4"/>
      <c r="E1477" s="1"/>
      <c r="F1477" s="11"/>
      <c r="G1477" s="227"/>
      <c r="H1477" s="169"/>
      <c r="I1477" s="170"/>
      <c r="J1477" s="216"/>
      <c r="K1477" s="216"/>
      <c r="M1477" s="216"/>
    </row>
    <row r="1478" spans="1:13" x14ac:dyDescent="0.6">
      <c r="A1478" s="223"/>
      <c r="B1478" s="36"/>
      <c r="C1478" s="4"/>
      <c r="D1478" s="4"/>
      <c r="E1478" s="1"/>
      <c r="F1478" s="11"/>
      <c r="G1478" s="227"/>
      <c r="H1478" s="169"/>
      <c r="I1478" s="170"/>
      <c r="J1478" s="216"/>
      <c r="K1478" s="216"/>
      <c r="M1478" s="216"/>
    </row>
    <row r="1479" spans="1:13" x14ac:dyDescent="0.6">
      <c r="A1479" s="223"/>
      <c r="B1479" s="36"/>
      <c r="C1479" s="4"/>
      <c r="D1479" s="4"/>
      <c r="E1479" s="1"/>
      <c r="F1479" s="11"/>
      <c r="G1479" s="227"/>
      <c r="H1479" s="169"/>
      <c r="I1479" s="170"/>
      <c r="J1479" s="216"/>
      <c r="K1479" s="216"/>
      <c r="M1479" s="216"/>
    </row>
    <row r="1480" spans="1:13" x14ac:dyDescent="0.6">
      <c r="A1480" s="223"/>
      <c r="B1480" s="36"/>
      <c r="C1480" s="4"/>
      <c r="D1480" s="4"/>
      <c r="E1480" s="1"/>
      <c r="F1480" s="11"/>
      <c r="G1480" s="227"/>
      <c r="H1480" s="169"/>
      <c r="I1480" s="170"/>
      <c r="J1480" s="216"/>
      <c r="K1480" s="216"/>
      <c r="M1480" s="216"/>
    </row>
    <row r="1481" spans="1:13" x14ac:dyDescent="0.6">
      <c r="A1481" s="223"/>
      <c r="B1481" s="36"/>
      <c r="C1481" s="4"/>
      <c r="D1481" s="4"/>
      <c r="E1481" s="1"/>
      <c r="F1481" s="11"/>
      <c r="G1481" s="227"/>
      <c r="H1481" s="169"/>
      <c r="I1481" s="170"/>
      <c r="J1481" s="216"/>
      <c r="K1481" s="216"/>
      <c r="M1481" s="216"/>
    </row>
    <row r="1482" spans="1:13" x14ac:dyDescent="0.6">
      <c r="A1482" s="223"/>
      <c r="B1482" s="36"/>
      <c r="C1482" s="4"/>
      <c r="D1482" s="4"/>
      <c r="E1482" s="1"/>
      <c r="F1482" s="11"/>
      <c r="G1482" s="227"/>
      <c r="H1482" s="169"/>
      <c r="I1482" s="170"/>
      <c r="J1482" s="216"/>
      <c r="K1482" s="216"/>
      <c r="M1482" s="216"/>
    </row>
    <row r="1483" spans="1:13" x14ac:dyDescent="0.6">
      <c r="A1483" s="223"/>
      <c r="B1483" s="36"/>
      <c r="C1483" s="4"/>
      <c r="D1483" s="4"/>
      <c r="E1483" s="1"/>
      <c r="F1483" s="11"/>
      <c r="G1483" s="227"/>
      <c r="H1483" s="169"/>
      <c r="I1483" s="170"/>
      <c r="J1483" s="216"/>
      <c r="K1483" s="216"/>
      <c r="M1483" s="216"/>
    </row>
    <row r="1484" spans="1:13" x14ac:dyDescent="0.6">
      <c r="A1484" s="223"/>
      <c r="B1484" s="36"/>
      <c r="C1484" s="4"/>
      <c r="D1484" s="4"/>
      <c r="E1484" s="1"/>
      <c r="F1484" s="11"/>
      <c r="G1484" s="227"/>
      <c r="H1484" s="169"/>
      <c r="I1484" s="170"/>
      <c r="J1484" s="216"/>
      <c r="K1484" s="216"/>
      <c r="M1484" s="216"/>
    </row>
    <row r="1485" spans="1:13" x14ac:dyDescent="0.6">
      <c r="A1485" s="223"/>
      <c r="B1485" s="36"/>
      <c r="C1485" s="4"/>
      <c r="D1485" s="4"/>
      <c r="E1485" s="1"/>
      <c r="F1485" s="11"/>
      <c r="G1485" s="227"/>
      <c r="H1485" s="169"/>
      <c r="I1485" s="170"/>
      <c r="J1485" s="216"/>
      <c r="K1485" s="216"/>
      <c r="M1485" s="216"/>
    </row>
    <row r="1486" spans="1:13" x14ac:dyDescent="0.6">
      <c r="A1486" s="223"/>
      <c r="B1486" s="36"/>
      <c r="C1486" s="4"/>
      <c r="D1486" s="4"/>
      <c r="E1486" s="1"/>
      <c r="F1486" s="11"/>
      <c r="G1486" s="227"/>
      <c r="H1486" s="169"/>
      <c r="I1486" s="170"/>
      <c r="J1486" s="216"/>
      <c r="K1486" s="216"/>
      <c r="M1486" s="216"/>
    </row>
    <row r="1487" spans="1:13" x14ac:dyDescent="0.6">
      <c r="A1487" s="223"/>
      <c r="B1487" s="36"/>
      <c r="C1487" s="4"/>
      <c r="D1487" s="4"/>
      <c r="E1487" s="1"/>
      <c r="F1487" s="11"/>
      <c r="G1487" s="227"/>
      <c r="H1487" s="169"/>
      <c r="I1487" s="170"/>
      <c r="J1487" s="216"/>
      <c r="K1487" s="216"/>
      <c r="M1487" s="216"/>
    </row>
    <row r="1488" spans="1:13" x14ac:dyDescent="0.6">
      <c r="A1488" s="223"/>
      <c r="B1488" s="36"/>
      <c r="C1488" s="4"/>
      <c r="D1488" s="4"/>
      <c r="E1488" s="1"/>
      <c r="F1488" s="11"/>
      <c r="G1488" s="227"/>
      <c r="H1488" s="169"/>
      <c r="I1488" s="170"/>
      <c r="J1488" s="216"/>
      <c r="K1488" s="216"/>
      <c r="M1488" s="216"/>
    </row>
    <row r="1489" spans="1:13" x14ac:dyDescent="0.6">
      <c r="A1489" s="223"/>
      <c r="B1489" s="36"/>
      <c r="C1489" s="4"/>
      <c r="D1489" s="4"/>
      <c r="E1489" s="1"/>
      <c r="F1489" s="11"/>
      <c r="G1489" s="227"/>
      <c r="H1489" s="169"/>
      <c r="I1489" s="170"/>
      <c r="J1489" s="216"/>
      <c r="K1489" s="216"/>
      <c r="M1489" s="216"/>
    </row>
    <row r="1490" spans="1:13" x14ac:dyDescent="0.6">
      <c r="A1490" s="223"/>
      <c r="B1490" s="36"/>
      <c r="C1490" s="4"/>
      <c r="D1490" s="4"/>
      <c r="E1490" s="1"/>
      <c r="F1490" s="11"/>
      <c r="G1490" s="227"/>
      <c r="H1490" s="169"/>
      <c r="I1490" s="170"/>
      <c r="J1490" s="216"/>
      <c r="K1490" s="216"/>
      <c r="M1490" s="216"/>
    </row>
    <row r="1491" spans="1:13" x14ac:dyDescent="0.6">
      <c r="A1491" s="223"/>
      <c r="B1491" s="36"/>
      <c r="C1491" s="4"/>
      <c r="D1491" s="4"/>
      <c r="E1491" s="1"/>
      <c r="F1491" s="11"/>
      <c r="G1491" s="227"/>
      <c r="H1491" s="169"/>
      <c r="I1491" s="170"/>
      <c r="J1491" s="216"/>
      <c r="K1491" s="216"/>
      <c r="M1491" s="216"/>
    </row>
    <row r="1492" spans="1:13" x14ac:dyDescent="0.6">
      <c r="A1492" s="223"/>
      <c r="B1492" s="36"/>
      <c r="C1492" s="4"/>
      <c r="D1492" s="4"/>
      <c r="E1492" s="1"/>
      <c r="F1492" s="11"/>
      <c r="G1492" s="227"/>
      <c r="H1492" s="169"/>
      <c r="I1492" s="170"/>
      <c r="J1492" s="216"/>
      <c r="K1492" s="216"/>
      <c r="M1492" s="216"/>
    </row>
    <row r="1493" spans="1:13" x14ac:dyDescent="0.6">
      <c r="A1493" s="223"/>
      <c r="B1493" s="36"/>
      <c r="C1493" s="4"/>
      <c r="D1493" s="4"/>
      <c r="E1493" s="1"/>
      <c r="F1493" s="11"/>
      <c r="G1493" s="227"/>
      <c r="H1493" s="169"/>
      <c r="I1493" s="170"/>
      <c r="J1493" s="216"/>
      <c r="K1493" s="216"/>
      <c r="M1493" s="216"/>
    </row>
    <row r="1494" spans="1:13" x14ac:dyDescent="0.6">
      <c r="A1494" s="223"/>
      <c r="B1494" s="36"/>
      <c r="C1494" s="4"/>
      <c r="D1494" s="4"/>
      <c r="E1494" s="1"/>
      <c r="F1494" s="11"/>
      <c r="G1494" s="227"/>
      <c r="H1494" s="169"/>
      <c r="I1494" s="170"/>
      <c r="J1494" s="216"/>
      <c r="K1494" s="216"/>
      <c r="M1494" s="216"/>
    </row>
    <row r="1495" spans="1:13" x14ac:dyDescent="0.6">
      <c r="A1495" s="223"/>
      <c r="B1495" s="36"/>
      <c r="C1495" s="4"/>
      <c r="D1495" s="4"/>
      <c r="E1495" s="1"/>
      <c r="F1495" s="11"/>
      <c r="G1495" s="227"/>
      <c r="H1495" s="169"/>
      <c r="I1495" s="170"/>
      <c r="J1495" s="216"/>
      <c r="K1495" s="216"/>
      <c r="M1495" s="216"/>
    </row>
    <row r="1496" spans="1:13" x14ac:dyDescent="0.6">
      <c r="A1496" s="223"/>
      <c r="B1496" s="36"/>
      <c r="C1496" s="4"/>
      <c r="D1496" s="4"/>
      <c r="E1496" s="1"/>
      <c r="F1496" s="11"/>
      <c r="G1496" s="227"/>
      <c r="H1496" s="169"/>
      <c r="I1496" s="170"/>
      <c r="J1496" s="216"/>
      <c r="K1496" s="216"/>
      <c r="M1496" s="216"/>
    </row>
    <row r="1497" spans="1:13" x14ac:dyDescent="0.6">
      <c r="A1497" s="223"/>
      <c r="B1497" s="36"/>
      <c r="C1497" s="4"/>
      <c r="D1497" s="4"/>
      <c r="E1497" s="1"/>
      <c r="F1497" s="11"/>
      <c r="G1497" s="227"/>
      <c r="H1497" s="169"/>
      <c r="I1497" s="170"/>
      <c r="J1497" s="216"/>
      <c r="K1497" s="216"/>
      <c r="M1497" s="216"/>
    </row>
    <row r="1498" spans="1:13" x14ac:dyDescent="0.6">
      <c r="A1498" s="223"/>
      <c r="B1498" s="36"/>
      <c r="C1498" s="4"/>
      <c r="D1498" s="4"/>
      <c r="E1498" s="1"/>
      <c r="F1498" s="11"/>
      <c r="G1498" s="227"/>
      <c r="H1498" s="169"/>
      <c r="I1498" s="170"/>
      <c r="J1498" s="216"/>
      <c r="K1498" s="216"/>
      <c r="M1498" s="216"/>
    </row>
    <row r="1499" spans="1:13" x14ac:dyDescent="0.6">
      <c r="A1499" s="223"/>
      <c r="B1499" s="36"/>
      <c r="C1499" s="4"/>
      <c r="D1499" s="4"/>
      <c r="E1499" s="1"/>
      <c r="F1499" s="11"/>
      <c r="G1499" s="227"/>
      <c r="H1499" s="169"/>
      <c r="I1499" s="170"/>
      <c r="J1499" s="216"/>
      <c r="K1499" s="216"/>
      <c r="M1499" s="216"/>
    </row>
    <row r="1500" spans="1:13" x14ac:dyDescent="0.6">
      <c r="A1500" s="223"/>
      <c r="B1500" s="36"/>
      <c r="C1500" s="4"/>
      <c r="D1500" s="4"/>
      <c r="E1500" s="1"/>
      <c r="F1500" s="11"/>
      <c r="G1500" s="227"/>
      <c r="H1500" s="169"/>
      <c r="I1500" s="170"/>
      <c r="J1500" s="216"/>
      <c r="K1500" s="216"/>
      <c r="M1500" s="216"/>
    </row>
    <row r="1501" spans="1:13" x14ac:dyDescent="0.6">
      <c r="A1501" s="223"/>
      <c r="B1501" s="36"/>
      <c r="C1501" s="4"/>
      <c r="D1501" s="4"/>
      <c r="E1501" s="1"/>
      <c r="F1501" s="11"/>
      <c r="G1501" s="227"/>
      <c r="H1501" s="169"/>
      <c r="I1501" s="170"/>
      <c r="J1501" s="216"/>
      <c r="K1501" s="216"/>
      <c r="M1501" s="216"/>
    </row>
    <row r="1502" spans="1:13" x14ac:dyDescent="0.6">
      <c r="A1502" s="223"/>
      <c r="B1502" s="36"/>
      <c r="C1502" s="4"/>
      <c r="D1502" s="4"/>
      <c r="E1502" s="1"/>
      <c r="F1502" s="11"/>
      <c r="G1502" s="227"/>
      <c r="H1502" s="169"/>
      <c r="I1502" s="170"/>
      <c r="J1502" s="216"/>
      <c r="K1502" s="216"/>
      <c r="M1502" s="216"/>
    </row>
    <row r="1503" spans="1:13" x14ac:dyDescent="0.6">
      <c r="A1503" s="223"/>
      <c r="B1503" s="36"/>
      <c r="C1503" s="4"/>
      <c r="D1503" s="4"/>
      <c r="E1503" s="1"/>
      <c r="F1503" s="11"/>
      <c r="G1503" s="227"/>
      <c r="H1503" s="169"/>
      <c r="I1503" s="170"/>
      <c r="J1503" s="216"/>
      <c r="K1503" s="216"/>
      <c r="M1503" s="216"/>
    </row>
    <row r="1504" spans="1:13" x14ac:dyDescent="0.6">
      <c r="A1504" s="223"/>
      <c r="B1504" s="36"/>
      <c r="C1504" s="4"/>
      <c r="D1504" s="4"/>
      <c r="E1504" s="1"/>
      <c r="F1504" s="11"/>
      <c r="G1504" s="227"/>
      <c r="H1504" s="169"/>
      <c r="I1504" s="170"/>
      <c r="J1504" s="216"/>
      <c r="K1504" s="216"/>
      <c r="M1504" s="216"/>
    </row>
    <row r="1505" spans="1:13" x14ac:dyDescent="0.6">
      <c r="A1505" s="223"/>
      <c r="B1505" s="36"/>
      <c r="C1505" s="4"/>
      <c r="D1505" s="4"/>
      <c r="E1505" s="1"/>
      <c r="F1505" s="11"/>
      <c r="G1505" s="227"/>
      <c r="H1505" s="169"/>
      <c r="I1505" s="170"/>
      <c r="J1505" s="216"/>
      <c r="K1505" s="216"/>
      <c r="M1505" s="216"/>
    </row>
    <row r="1506" spans="1:13" x14ac:dyDescent="0.6">
      <c r="A1506" s="223"/>
      <c r="B1506" s="36"/>
      <c r="C1506" s="4"/>
      <c r="D1506" s="4"/>
      <c r="E1506" s="1"/>
      <c r="F1506" s="11"/>
      <c r="G1506" s="227"/>
      <c r="H1506" s="169"/>
      <c r="I1506" s="170"/>
      <c r="J1506" s="216"/>
      <c r="K1506" s="216"/>
      <c r="M1506" s="216"/>
    </row>
    <row r="1507" spans="1:13" x14ac:dyDescent="0.6">
      <c r="A1507" s="223"/>
      <c r="B1507" s="36"/>
      <c r="C1507" s="4"/>
      <c r="D1507" s="4"/>
      <c r="E1507" s="1"/>
      <c r="F1507" s="11"/>
      <c r="G1507" s="227"/>
      <c r="H1507" s="169"/>
      <c r="I1507" s="170"/>
      <c r="J1507" s="216"/>
      <c r="K1507" s="216"/>
      <c r="M1507" s="216"/>
    </row>
    <row r="1508" spans="1:13" x14ac:dyDescent="0.6">
      <c r="A1508" s="223"/>
      <c r="B1508" s="36"/>
      <c r="C1508" s="4"/>
      <c r="D1508" s="4"/>
      <c r="E1508" s="1"/>
      <c r="F1508" s="11"/>
      <c r="G1508" s="227"/>
      <c r="H1508" s="169"/>
      <c r="I1508" s="170"/>
      <c r="J1508" s="216"/>
      <c r="K1508" s="216"/>
      <c r="M1508" s="216"/>
    </row>
    <row r="1509" spans="1:13" x14ac:dyDescent="0.6">
      <c r="A1509" s="223"/>
      <c r="B1509" s="36"/>
      <c r="C1509" s="4"/>
      <c r="D1509" s="4"/>
      <c r="E1509" s="1"/>
      <c r="F1509" s="11"/>
      <c r="G1509" s="227"/>
      <c r="H1509" s="169"/>
      <c r="I1509" s="170"/>
      <c r="J1509" s="216"/>
      <c r="K1509" s="216"/>
      <c r="M1509" s="216"/>
    </row>
    <row r="1510" spans="1:13" x14ac:dyDescent="0.6">
      <c r="A1510" s="223"/>
      <c r="B1510" s="36"/>
      <c r="C1510" s="4"/>
      <c r="D1510" s="4"/>
      <c r="E1510" s="1"/>
      <c r="F1510" s="11"/>
      <c r="G1510" s="227"/>
      <c r="H1510" s="169"/>
      <c r="I1510" s="170"/>
      <c r="J1510" s="216"/>
      <c r="K1510" s="216"/>
      <c r="M1510" s="216"/>
    </row>
    <row r="1511" spans="1:13" x14ac:dyDescent="0.6">
      <c r="A1511" s="223"/>
      <c r="B1511" s="36"/>
      <c r="C1511" s="4"/>
      <c r="D1511" s="4"/>
      <c r="E1511" s="1"/>
      <c r="F1511" s="11"/>
      <c r="G1511" s="227"/>
      <c r="H1511" s="169"/>
      <c r="I1511" s="170"/>
      <c r="J1511" s="216"/>
      <c r="K1511" s="216"/>
      <c r="M1511" s="216"/>
    </row>
    <row r="1512" spans="1:13" x14ac:dyDescent="0.6">
      <c r="A1512" s="223"/>
      <c r="B1512" s="36"/>
      <c r="C1512" s="4"/>
      <c r="D1512" s="4"/>
      <c r="E1512" s="1"/>
      <c r="F1512" s="11"/>
      <c r="G1512" s="227"/>
      <c r="H1512" s="169"/>
      <c r="I1512" s="170"/>
      <c r="J1512" s="216"/>
      <c r="K1512" s="216"/>
      <c r="M1512" s="216"/>
    </row>
    <row r="1513" spans="1:13" x14ac:dyDescent="0.6">
      <c r="A1513" s="223"/>
      <c r="B1513" s="36"/>
      <c r="C1513" s="4"/>
      <c r="D1513" s="4"/>
      <c r="E1513" s="1"/>
      <c r="F1513" s="11"/>
      <c r="G1513" s="227"/>
      <c r="H1513" s="169"/>
      <c r="I1513" s="170"/>
      <c r="J1513" s="216"/>
      <c r="K1513" s="216"/>
      <c r="M1513" s="216"/>
    </row>
    <row r="1514" spans="1:13" x14ac:dyDescent="0.6">
      <c r="A1514" s="223"/>
      <c r="B1514" s="36"/>
      <c r="C1514" s="4"/>
      <c r="D1514" s="4"/>
      <c r="E1514" s="1"/>
      <c r="F1514" s="11"/>
      <c r="G1514" s="227"/>
      <c r="H1514" s="169"/>
      <c r="I1514" s="170"/>
      <c r="J1514" s="216"/>
      <c r="K1514" s="216"/>
      <c r="M1514" s="216"/>
    </row>
    <row r="1515" spans="1:13" x14ac:dyDescent="0.6">
      <c r="A1515" s="223"/>
      <c r="B1515" s="36"/>
      <c r="C1515" s="4"/>
      <c r="D1515" s="4"/>
      <c r="E1515" s="1"/>
      <c r="F1515" s="11"/>
      <c r="G1515" s="227"/>
      <c r="H1515" s="169"/>
      <c r="I1515" s="170"/>
      <c r="J1515" s="216"/>
      <c r="K1515" s="216"/>
      <c r="M1515" s="216"/>
    </row>
    <row r="1516" spans="1:13" x14ac:dyDescent="0.6">
      <c r="A1516" s="223"/>
      <c r="B1516" s="36"/>
      <c r="C1516" s="4"/>
      <c r="D1516" s="4"/>
      <c r="E1516" s="1"/>
      <c r="F1516" s="11"/>
      <c r="G1516" s="227"/>
      <c r="H1516" s="169"/>
      <c r="I1516" s="170"/>
      <c r="J1516" s="216"/>
      <c r="K1516" s="216"/>
      <c r="M1516" s="216"/>
    </row>
    <row r="1517" spans="1:13" x14ac:dyDescent="0.6">
      <c r="A1517" s="223"/>
      <c r="B1517" s="36"/>
      <c r="C1517" s="4"/>
      <c r="D1517" s="4"/>
      <c r="E1517" s="1"/>
      <c r="F1517" s="11"/>
      <c r="G1517" s="227"/>
      <c r="H1517" s="169"/>
      <c r="I1517" s="170"/>
      <c r="J1517" s="216"/>
      <c r="K1517" s="216"/>
      <c r="M1517" s="216"/>
    </row>
    <row r="1518" spans="1:13" x14ac:dyDescent="0.6">
      <c r="A1518" s="223"/>
      <c r="B1518" s="36"/>
      <c r="C1518" s="4"/>
      <c r="D1518" s="4"/>
      <c r="E1518" s="1"/>
      <c r="F1518" s="11"/>
      <c r="G1518" s="227"/>
      <c r="H1518" s="169"/>
      <c r="I1518" s="170"/>
      <c r="J1518" s="216"/>
      <c r="K1518" s="216"/>
      <c r="M1518" s="216"/>
    </row>
    <row r="1519" spans="1:13" x14ac:dyDescent="0.6">
      <c r="A1519" s="223"/>
      <c r="B1519" s="36"/>
      <c r="C1519" s="4"/>
      <c r="D1519" s="4"/>
      <c r="E1519" s="1"/>
      <c r="F1519" s="11"/>
      <c r="G1519" s="227"/>
      <c r="H1519" s="169"/>
      <c r="I1519" s="170"/>
      <c r="J1519" s="216"/>
      <c r="K1519" s="216"/>
      <c r="M1519" s="216"/>
    </row>
    <row r="1520" spans="1:13" x14ac:dyDescent="0.6">
      <c r="A1520" s="223"/>
      <c r="B1520" s="36"/>
      <c r="C1520" s="4"/>
      <c r="D1520" s="4"/>
      <c r="E1520" s="1"/>
      <c r="F1520" s="11"/>
      <c r="G1520" s="227"/>
      <c r="H1520" s="169"/>
      <c r="I1520" s="170"/>
      <c r="J1520" s="216"/>
      <c r="K1520" s="216"/>
      <c r="M1520" s="216"/>
    </row>
    <row r="1521" spans="1:13" x14ac:dyDescent="0.6">
      <c r="A1521" s="223"/>
      <c r="B1521" s="36"/>
      <c r="C1521" s="4"/>
      <c r="D1521" s="4"/>
      <c r="E1521" s="1"/>
      <c r="F1521" s="11"/>
      <c r="G1521" s="227"/>
      <c r="H1521" s="169"/>
      <c r="I1521" s="170"/>
      <c r="J1521" s="216"/>
      <c r="K1521" s="216"/>
      <c r="M1521" s="216"/>
    </row>
    <row r="1522" spans="1:13" x14ac:dyDescent="0.6">
      <c r="A1522" s="223"/>
      <c r="B1522" s="36"/>
      <c r="C1522" s="4"/>
      <c r="D1522" s="4"/>
      <c r="E1522" s="1"/>
      <c r="F1522" s="11"/>
      <c r="G1522" s="227"/>
      <c r="H1522" s="169"/>
      <c r="I1522" s="170"/>
      <c r="J1522" s="216"/>
      <c r="K1522" s="216"/>
      <c r="M1522" s="216"/>
    </row>
    <row r="1523" spans="1:13" x14ac:dyDescent="0.6">
      <c r="A1523" s="223"/>
      <c r="B1523" s="36"/>
      <c r="C1523" s="4"/>
      <c r="D1523" s="4"/>
      <c r="E1523" s="1"/>
      <c r="F1523" s="11"/>
      <c r="G1523" s="227"/>
      <c r="H1523" s="169"/>
      <c r="I1523" s="170"/>
      <c r="J1523" s="216"/>
      <c r="K1523" s="216"/>
      <c r="M1523" s="216"/>
    </row>
    <row r="1524" spans="1:13" x14ac:dyDescent="0.6">
      <c r="A1524" s="223"/>
      <c r="B1524" s="36"/>
      <c r="C1524" s="4"/>
      <c r="D1524" s="4"/>
      <c r="E1524" s="1"/>
      <c r="F1524" s="11"/>
      <c r="G1524" s="227"/>
      <c r="H1524" s="169"/>
      <c r="I1524" s="170"/>
      <c r="J1524" s="216"/>
      <c r="K1524" s="216"/>
      <c r="M1524" s="216"/>
    </row>
    <row r="1525" spans="1:13" x14ac:dyDescent="0.6">
      <c r="A1525" s="223"/>
      <c r="B1525" s="36"/>
      <c r="C1525" s="4"/>
      <c r="D1525" s="4"/>
      <c r="E1525" s="1"/>
      <c r="F1525" s="11"/>
      <c r="G1525" s="227"/>
      <c r="H1525" s="169"/>
      <c r="I1525" s="170"/>
      <c r="J1525" s="216"/>
      <c r="K1525" s="216"/>
      <c r="M1525" s="216"/>
    </row>
    <row r="1526" spans="1:13" x14ac:dyDescent="0.6">
      <c r="A1526" s="223"/>
      <c r="B1526" s="36"/>
      <c r="C1526" s="4"/>
      <c r="D1526" s="4"/>
      <c r="E1526" s="1"/>
      <c r="F1526" s="11"/>
      <c r="G1526" s="227"/>
      <c r="H1526" s="169"/>
      <c r="I1526" s="170"/>
      <c r="J1526" s="216"/>
      <c r="K1526" s="216"/>
      <c r="M1526" s="216"/>
    </row>
    <row r="1527" spans="1:13" x14ac:dyDescent="0.6">
      <c r="A1527" s="223"/>
      <c r="B1527" s="36"/>
      <c r="C1527" s="4"/>
      <c r="D1527" s="4"/>
      <c r="E1527" s="1"/>
      <c r="F1527" s="11"/>
      <c r="G1527" s="227"/>
      <c r="H1527" s="169"/>
      <c r="I1527" s="170"/>
      <c r="J1527" s="216"/>
      <c r="K1527" s="216"/>
      <c r="M1527" s="216"/>
    </row>
    <row r="1528" spans="1:13" x14ac:dyDescent="0.6">
      <c r="A1528" s="223"/>
      <c r="B1528" s="36"/>
      <c r="C1528" s="4"/>
      <c r="D1528" s="4"/>
      <c r="E1528" s="1"/>
      <c r="F1528" s="11"/>
      <c r="G1528" s="227"/>
      <c r="H1528" s="169"/>
      <c r="I1528" s="170"/>
      <c r="J1528" s="216"/>
      <c r="K1528" s="216"/>
      <c r="M1528" s="216"/>
    </row>
    <row r="1529" spans="1:13" x14ac:dyDescent="0.6">
      <c r="A1529" s="223"/>
      <c r="B1529" s="36"/>
      <c r="C1529" s="4"/>
      <c r="D1529" s="4"/>
      <c r="E1529" s="1"/>
      <c r="F1529" s="11"/>
      <c r="G1529" s="227"/>
      <c r="H1529" s="169"/>
      <c r="I1529" s="170"/>
      <c r="J1529" s="216"/>
      <c r="K1529" s="216"/>
      <c r="M1529" s="216"/>
    </row>
    <row r="1530" spans="1:13" x14ac:dyDescent="0.6">
      <c r="A1530" s="223"/>
      <c r="B1530" s="36"/>
      <c r="C1530" s="4"/>
      <c r="D1530" s="4"/>
      <c r="E1530" s="1"/>
      <c r="F1530" s="11"/>
      <c r="G1530" s="227"/>
      <c r="H1530" s="169"/>
      <c r="I1530" s="170"/>
      <c r="J1530" s="216"/>
      <c r="K1530" s="216"/>
      <c r="M1530" s="216"/>
    </row>
    <row r="1531" spans="1:13" x14ac:dyDescent="0.6">
      <c r="A1531" s="223"/>
      <c r="B1531" s="36"/>
      <c r="C1531" s="4"/>
      <c r="D1531" s="4"/>
      <c r="E1531" s="1"/>
      <c r="F1531" s="11"/>
      <c r="G1531" s="227"/>
      <c r="H1531" s="169"/>
      <c r="I1531" s="170"/>
      <c r="J1531" s="216"/>
      <c r="K1531" s="216"/>
      <c r="M1531" s="216"/>
    </row>
    <row r="1532" spans="1:13" x14ac:dyDescent="0.6">
      <c r="A1532" s="223"/>
      <c r="B1532" s="36"/>
      <c r="C1532" s="4"/>
      <c r="D1532" s="4"/>
      <c r="E1532" s="1"/>
      <c r="F1532" s="11"/>
      <c r="G1532" s="227"/>
      <c r="H1532" s="169"/>
      <c r="I1532" s="170"/>
      <c r="J1532" s="216"/>
      <c r="K1532" s="216"/>
      <c r="M1532" s="216"/>
    </row>
    <row r="1533" spans="1:13" x14ac:dyDescent="0.6">
      <c r="A1533" s="223"/>
      <c r="B1533" s="36"/>
      <c r="C1533" s="4"/>
      <c r="D1533" s="4"/>
      <c r="E1533" s="1"/>
      <c r="F1533" s="11"/>
      <c r="G1533" s="227"/>
      <c r="H1533" s="169"/>
      <c r="I1533" s="170"/>
      <c r="J1533" s="216"/>
      <c r="K1533" s="216"/>
      <c r="M1533" s="216"/>
    </row>
    <row r="1534" spans="1:13" x14ac:dyDescent="0.6">
      <c r="A1534" s="223"/>
      <c r="B1534" s="36"/>
      <c r="C1534" s="4"/>
      <c r="D1534" s="4"/>
      <c r="E1534" s="1"/>
      <c r="F1534" s="11"/>
      <c r="G1534" s="227"/>
      <c r="H1534" s="169"/>
      <c r="I1534" s="170"/>
      <c r="J1534" s="216"/>
      <c r="K1534" s="216"/>
      <c r="M1534" s="216"/>
    </row>
    <row r="1535" spans="1:13" x14ac:dyDescent="0.6">
      <c r="A1535" s="223"/>
      <c r="B1535" s="36"/>
      <c r="C1535" s="4"/>
      <c r="D1535" s="4"/>
      <c r="E1535" s="1"/>
      <c r="F1535" s="11"/>
      <c r="G1535" s="227"/>
      <c r="H1535" s="169"/>
      <c r="I1535" s="170"/>
      <c r="J1535" s="216"/>
      <c r="K1535" s="216"/>
      <c r="M1535" s="216"/>
    </row>
    <row r="1536" spans="1:13" x14ac:dyDescent="0.6">
      <c r="A1536" s="223"/>
      <c r="B1536" s="36"/>
      <c r="C1536" s="4"/>
      <c r="D1536" s="4"/>
      <c r="E1536" s="1"/>
      <c r="F1536" s="11"/>
      <c r="G1536" s="227"/>
      <c r="H1536" s="169"/>
      <c r="I1536" s="170"/>
      <c r="J1536" s="216"/>
      <c r="K1536" s="216"/>
      <c r="M1536" s="216"/>
    </row>
    <row r="1537" spans="1:13" x14ac:dyDescent="0.6">
      <c r="A1537" s="223"/>
      <c r="B1537" s="36"/>
      <c r="C1537" s="4"/>
      <c r="D1537" s="4"/>
      <c r="E1537" s="1"/>
      <c r="F1537" s="11"/>
      <c r="G1537" s="227"/>
      <c r="H1537" s="169"/>
      <c r="I1537" s="170"/>
      <c r="J1537" s="216"/>
      <c r="K1537" s="216"/>
      <c r="M1537" s="216"/>
    </row>
    <row r="1538" spans="1:13" x14ac:dyDescent="0.6">
      <c r="A1538" s="223"/>
      <c r="B1538" s="36"/>
      <c r="C1538" s="4"/>
      <c r="D1538" s="4"/>
      <c r="E1538" s="1"/>
      <c r="F1538" s="11"/>
      <c r="G1538" s="227"/>
      <c r="H1538" s="169"/>
      <c r="I1538" s="170"/>
      <c r="J1538" s="216"/>
      <c r="K1538" s="216"/>
      <c r="M1538" s="216"/>
    </row>
    <row r="1539" spans="1:13" x14ac:dyDescent="0.6">
      <c r="A1539" s="223"/>
      <c r="B1539" s="36"/>
      <c r="C1539" s="4"/>
      <c r="D1539" s="4"/>
      <c r="E1539" s="1"/>
      <c r="F1539" s="11"/>
      <c r="G1539" s="227"/>
      <c r="H1539" s="169"/>
      <c r="I1539" s="170"/>
      <c r="J1539" s="216"/>
      <c r="K1539" s="216"/>
      <c r="M1539" s="216"/>
    </row>
    <row r="1540" spans="1:13" x14ac:dyDescent="0.6">
      <c r="A1540" s="223"/>
      <c r="B1540" s="36"/>
      <c r="C1540" s="4"/>
      <c r="D1540" s="4"/>
      <c r="E1540" s="1"/>
      <c r="F1540" s="11"/>
      <c r="G1540" s="227"/>
      <c r="H1540" s="169"/>
      <c r="I1540" s="170"/>
      <c r="J1540" s="216"/>
      <c r="K1540" s="216"/>
      <c r="M1540" s="216"/>
    </row>
    <row r="1541" spans="1:13" x14ac:dyDescent="0.6">
      <c r="A1541" s="223"/>
      <c r="B1541" s="36"/>
      <c r="C1541" s="4"/>
      <c r="D1541" s="4"/>
      <c r="E1541" s="1"/>
      <c r="F1541" s="11"/>
      <c r="G1541" s="227"/>
      <c r="H1541" s="169"/>
      <c r="I1541" s="170"/>
      <c r="J1541" s="216"/>
      <c r="K1541" s="216"/>
      <c r="M1541" s="216"/>
    </row>
    <row r="1542" spans="1:13" x14ac:dyDescent="0.6">
      <c r="A1542" s="223"/>
      <c r="B1542" s="36"/>
      <c r="C1542" s="4"/>
      <c r="D1542" s="4"/>
      <c r="E1542" s="1"/>
      <c r="F1542" s="11"/>
      <c r="G1542" s="227"/>
      <c r="H1542" s="169"/>
      <c r="I1542" s="170"/>
      <c r="J1542" s="216"/>
      <c r="K1542" s="216"/>
      <c r="M1542" s="216"/>
    </row>
    <row r="1543" spans="1:13" x14ac:dyDescent="0.6">
      <c r="A1543" s="223"/>
      <c r="B1543" s="36"/>
      <c r="C1543" s="4"/>
      <c r="D1543" s="4"/>
      <c r="E1543" s="1"/>
      <c r="F1543" s="11"/>
      <c r="G1543" s="227"/>
      <c r="H1543" s="169"/>
      <c r="I1543" s="170"/>
      <c r="J1543" s="216"/>
      <c r="K1543" s="216"/>
      <c r="M1543" s="216"/>
    </row>
    <row r="1544" spans="1:13" x14ac:dyDescent="0.6">
      <c r="A1544" s="223"/>
      <c r="B1544" s="36"/>
      <c r="C1544" s="4"/>
      <c r="D1544" s="4"/>
      <c r="E1544" s="1"/>
      <c r="F1544" s="11"/>
      <c r="G1544" s="227"/>
      <c r="H1544" s="169"/>
      <c r="I1544" s="170"/>
      <c r="J1544" s="216"/>
      <c r="K1544" s="216"/>
      <c r="M1544" s="216"/>
    </row>
    <row r="1545" spans="1:13" x14ac:dyDescent="0.6">
      <c r="A1545" s="223"/>
      <c r="B1545" s="36"/>
      <c r="C1545" s="4"/>
      <c r="D1545" s="4"/>
      <c r="E1545" s="1"/>
      <c r="F1545" s="11"/>
      <c r="G1545" s="227"/>
      <c r="H1545" s="169"/>
      <c r="I1545" s="170"/>
      <c r="J1545" s="216"/>
      <c r="K1545" s="216"/>
      <c r="M1545" s="216"/>
    </row>
    <row r="1546" spans="1:13" x14ac:dyDescent="0.6">
      <c r="A1546" s="223"/>
      <c r="B1546" s="36"/>
      <c r="C1546" s="4"/>
      <c r="D1546" s="4"/>
      <c r="E1546" s="1"/>
      <c r="F1546" s="11"/>
      <c r="G1546" s="227"/>
      <c r="H1546" s="169"/>
      <c r="I1546" s="170"/>
      <c r="J1546" s="216"/>
      <c r="K1546" s="216"/>
      <c r="M1546" s="216"/>
    </row>
    <row r="1547" spans="1:13" x14ac:dyDescent="0.6">
      <c r="A1547" s="223"/>
      <c r="B1547" s="36"/>
      <c r="C1547" s="4"/>
      <c r="D1547" s="4"/>
      <c r="E1547" s="1"/>
      <c r="F1547" s="11"/>
      <c r="G1547" s="227"/>
      <c r="H1547" s="169"/>
      <c r="I1547" s="170"/>
      <c r="J1547" s="216"/>
      <c r="K1547" s="216"/>
      <c r="M1547" s="216"/>
    </row>
    <row r="1548" spans="1:13" x14ac:dyDescent="0.6">
      <c r="A1548" s="223"/>
      <c r="B1548" s="36"/>
      <c r="C1548" s="4"/>
      <c r="D1548" s="4"/>
      <c r="E1548" s="1"/>
      <c r="F1548" s="11"/>
      <c r="G1548" s="227"/>
      <c r="H1548" s="169"/>
      <c r="I1548" s="170"/>
      <c r="J1548" s="216"/>
      <c r="K1548" s="216"/>
      <c r="M1548" s="216"/>
    </row>
    <row r="1549" spans="1:13" x14ac:dyDescent="0.6">
      <c r="A1549" s="223"/>
      <c r="B1549" s="36"/>
      <c r="C1549" s="4"/>
      <c r="D1549" s="4"/>
      <c r="E1549" s="1"/>
      <c r="F1549" s="11"/>
      <c r="G1549" s="227"/>
      <c r="H1549" s="169"/>
      <c r="I1549" s="170"/>
      <c r="J1549" s="216"/>
      <c r="K1549" s="216"/>
      <c r="M1549" s="216"/>
    </row>
    <row r="1550" spans="1:13" x14ac:dyDescent="0.6">
      <c r="A1550" s="223"/>
      <c r="B1550" s="36"/>
      <c r="C1550" s="4"/>
      <c r="D1550" s="4"/>
      <c r="E1550" s="1"/>
      <c r="F1550" s="11"/>
      <c r="G1550" s="227"/>
      <c r="H1550" s="169"/>
      <c r="I1550" s="170"/>
      <c r="J1550" s="216"/>
      <c r="K1550" s="216"/>
      <c r="M1550" s="216"/>
    </row>
    <row r="1551" spans="1:13" x14ac:dyDescent="0.6">
      <c r="A1551" s="223"/>
      <c r="B1551" s="36"/>
      <c r="C1551" s="4"/>
      <c r="D1551" s="4"/>
      <c r="E1551" s="1"/>
      <c r="F1551" s="11"/>
      <c r="G1551" s="227"/>
      <c r="H1551" s="169"/>
      <c r="I1551" s="170"/>
      <c r="J1551" s="216"/>
      <c r="K1551" s="216"/>
      <c r="M1551" s="216"/>
    </row>
    <row r="1552" spans="1:13" x14ac:dyDescent="0.6">
      <c r="A1552" s="223"/>
      <c r="B1552" s="36"/>
      <c r="C1552" s="4"/>
      <c r="D1552" s="4"/>
      <c r="E1552" s="1"/>
      <c r="F1552" s="11"/>
      <c r="G1552" s="227"/>
      <c r="H1552" s="169"/>
      <c r="I1552" s="170"/>
      <c r="J1552" s="216"/>
      <c r="K1552" s="216"/>
      <c r="M1552" s="216"/>
    </row>
    <row r="1553" spans="1:13" x14ac:dyDescent="0.6">
      <c r="A1553" s="223"/>
      <c r="B1553" s="36"/>
      <c r="C1553" s="4"/>
      <c r="D1553" s="4"/>
      <c r="E1553" s="1"/>
      <c r="F1553" s="11"/>
      <c r="G1553" s="227"/>
      <c r="H1553" s="169"/>
      <c r="I1553" s="170"/>
      <c r="J1553" s="216"/>
      <c r="K1553" s="216"/>
      <c r="M1553" s="216"/>
    </row>
    <row r="1554" spans="1:13" x14ac:dyDescent="0.6">
      <c r="A1554" s="223"/>
      <c r="B1554" s="36"/>
      <c r="C1554" s="4"/>
      <c r="D1554" s="4"/>
      <c r="E1554" s="1"/>
      <c r="F1554" s="11"/>
      <c r="G1554" s="227"/>
      <c r="H1554" s="169"/>
      <c r="I1554" s="170"/>
      <c r="J1554" s="216"/>
      <c r="K1554" s="216"/>
      <c r="M1554" s="216"/>
    </row>
    <row r="1555" spans="1:13" x14ac:dyDescent="0.6">
      <c r="A1555" s="223"/>
      <c r="B1555" s="36"/>
      <c r="C1555" s="4"/>
      <c r="D1555" s="4"/>
      <c r="E1555" s="1"/>
      <c r="F1555" s="11"/>
      <c r="G1555" s="227"/>
      <c r="H1555" s="169"/>
      <c r="I1555" s="170"/>
      <c r="J1555" s="216"/>
      <c r="K1555" s="216"/>
      <c r="M1555" s="216"/>
    </row>
    <row r="1556" spans="1:13" x14ac:dyDescent="0.6">
      <c r="A1556" s="223"/>
      <c r="B1556" s="36"/>
      <c r="C1556" s="4"/>
      <c r="D1556" s="4"/>
      <c r="E1556" s="1"/>
      <c r="F1556" s="11"/>
      <c r="G1556" s="227"/>
      <c r="H1556" s="169"/>
      <c r="I1556" s="170"/>
      <c r="J1556" s="216"/>
      <c r="K1556" s="216"/>
      <c r="M1556" s="216"/>
    </row>
    <row r="1557" spans="1:13" x14ac:dyDescent="0.6">
      <c r="A1557" s="223"/>
      <c r="B1557" s="36"/>
      <c r="C1557" s="4"/>
      <c r="D1557" s="4"/>
      <c r="F1557" s="11"/>
      <c r="G1557" s="227"/>
      <c r="H1557" s="169"/>
      <c r="I1557" s="170"/>
      <c r="J1557" s="216"/>
      <c r="K1557" s="216"/>
      <c r="M1557" s="216"/>
    </row>
    <row r="1558" spans="1:13" x14ac:dyDescent="0.6">
      <c r="A1558" s="223"/>
      <c r="B1558" s="36"/>
      <c r="C1558" s="4"/>
      <c r="D1558" s="4"/>
      <c r="F1558" s="11"/>
      <c r="G1558" s="227"/>
      <c r="H1558" s="169"/>
      <c r="I1558" s="170"/>
      <c r="J1558" s="216"/>
      <c r="K1558" s="216"/>
      <c r="M1558" s="216"/>
    </row>
    <row r="1559" spans="1:13" x14ac:dyDescent="0.6">
      <c r="A1559" s="223"/>
      <c r="B1559" s="36"/>
      <c r="C1559" s="4"/>
      <c r="D1559" s="4"/>
      <c r="F1559" s="11"/>
      <c r="G1559" s="227"/>
      <c r="H1559" s="169"/>
      <c r="I1559" s="170"/>
      <c r="J1559" s="216"/>
      <c r="K1559" s="216"/>
      <c r="M1559" s="216"/>
    </row>
    <row r="1560" spans="1:13" x14ac:dyDescent="0.6">
      <c r="A1560" s="223"/>
      <c r="B1560" s="36"/>
      <c r="G1560" s="227"/>
      <c r="H1560" s="169"/>
      <c r="I1560" s="163"/>
      <c r="J1560" s="216"/>
      <c r="K1560" s="216"/>
      <c r="M1560" s="216"/>
    </row>
    <row r="1561" spans="1:13" x14ac:dyDescent="0.6">
      <c r="A1561" s="223"/>
      <c r="B1561" s="36"/>
      <c r="G1561" s="224"/>
      <c r="H1561" s="169"/>
      <c r="I1561" s="163"/>
      <c r="J1561" s="216"/>
      <c r="K1561" s="216"/>
      <c r="M1561" s="216"/>
    </row>
    <row r="1562" spans="1:13" x14ac:dyDescent="0.6">
      <c r="A1562" s="216"/>
      <c r="B1562" s="36"/>
      <c r="G1562" s="224"/>
      <c r="H1562" s="169"/>
      <c r="I1562" s="163"/>
      <c r="J1562" s="216"/>
      <c r="K1562" s="216"/>
      <c r="M1562" s="216"/>
    </row>
    <row r="1563" spans="1:13" x14ac:dyDescent="0.6">
      <c r="A1563" s="216"/>
      <c r="G1563" s="224"/>
      <c r="H1563" s="169"/>
      <c r="I1563" s="163"/>
      <c r="J1563" s="216"/>
      <c r="K1563" s="216"/>
      <c r="M1563" s="216"/>
    </row>
    <row r="1564" spans="1:13" x14ac:dyDescent="0.6">
      <c r="A1564" s="216"/>
      <c r="G1564" s="224"/>
      <c r="H1564" s="169"/>
      <c r="I1564" s="163"/>
      <c r="J1564" s="216"/>
      <c r="K1564" s="216"/>
      <c r="M1564" s="216"/>
    </row>
    <row r="1565" spans="1:13" x14ac:dyDescent="0.6">
      <c r="A1565" s="216"/>
      <c r="G1565" s="224"/>
      <c r="H1565" s="169"/>
      <c r="I1565" s="163"/>
      <c r="J1565" s="216"/>
      <c r="K1565" s="216"/>
      <c r="M1565" s="216"/>
    </row>
  </sheetData>
  <sortState xmlns:xlrd2="http://schemas.microsoft.com/office/spreadsheetml/2017/richdata2" ref="A6:I222">
    <sortCondition ref="C5"/>
  </sortState>
  <mergeCells count="1">
    <mergeCell ref="C3:E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1"/>
  <dimension ref="A1:K308"/>
  <sheetViews>
    <sheetView rightToLeft="1" topLeftCell="B212" zoomScale="55" zoomScaleNormal="55" workbookViewId="0">
      <selection activeCell="K7" sqref="K7"/>
    </sheetView>
  </sheetViews>
  <sheetFormatPr defaultRowHeight="14.5" x14ac:dyDescent="0.35"/>
  <cols>
    <col min="2" max="2" width="11" style="67" customWidth="1"/>
    <col min="3" max="3" width="35.36328125" style="73" customWidth="1"/>
    <col min="4" max="4" width="16.08984375" style="73" customWidth="1"/>
    <col min="5" max="5" width="7.36328125" style="73" customWidth="1"/>
    <col min="6" max="6" width="25.36328125" style="67" customWidth="1"/>
    <col min="7" max="7" width="24.90625" style="67" customWidth="1"/>
    <col min="8" max="8" width="27.90625" style="67" customWidth="1"/>
    <col min="9" max="9" width="22.6328125" style="67" customWidth="1"/>
    <col min="10" max="10" width="23.26953125" style="75" bestFit="1" customWidth="1"/>
    <col min="11" max="11" width="17.81640625" bestFit="1" customWidth="1"/>
  </cols>
  <sheetData>
    <row r="1" spans="2:11" ht="14.25" customHeight="1" x14ac:dyDescent="0.35">
      <c r="B1" s="255" t="s">
        <v>1040</v>
      </c>
      <c r="C1" s="255"/>
      <c r="D1" s="255"/>
      <c r="E1" s="255"/>
      <c r="F1" s="255"/>
      <c r="G1" s="256"/>
      <c r="H1" s="255"/>
      <c r="I1" s="255"/>
      <c r="J1" s="255"/>
      <c r="K1" s="255"/>
    </row>
    <row r="2" spans="2:11" ht="14.25" customHeight="1" x14ac:dyDescent="0.35">
      <c r="B2" s="255"/>
      <c r="C2" s="255"/>
      <c r="D2" s="255"/>
      <c r="E2" s="255"/>
      <c r="F2" s="255"/>
      <c r="G2" s="256"/>
      <c r="H2" s="255"/>
      <c r="I2" s="255"/>
      <c r="J2" s="255"/>
      <c r="K2" s="255"/>
    </row>
    <row r="3" spans="2:11" ht="14.25" customHeight="1" x14ac:dyDescent="0.35">
      <c r="B3" s="255"/>
      <c r="C3" s="255"/>
      <c r="D3" s="255"/>
      <c r="E3" s="255"/>
      <c r="F3" s="255"/>
      <c r="G3" s="256"/>
      <c r="H3" s="255"/>
      <c r="I3" s="255"/>
      <c r="J3" s="255"/>
      <c r="K3" s="255"/>
    </row>
    <row r="4" spans="2:11" ht="14.25" customHeight="1" x14ac:dyDescent="0.35">
      <c r="B4" s="255"/>
      <c r="C4" s="255"/>
      <c r="D4" s="255"/>
      <c r="E4" s="255"/>
      <c r="F4" s="255"/>
      <c r="G4" s="256"/>
      <c r="H4" s="255"/>
      <c r="I4" s="255"/>
      <c r="J4" s="255"/>
      <c r="K4" s="255"/>
    </row>
    <row r="5" spans="2:11" ht="31" x14ac:dyDescent="0.35">
      <c r="B5" s="25" t="s">
        <v>0</v>
      </c>
      <c r="C5" s="25" t="s">
        <v>7</v>
      </c>
      <c r="D5" s="25" t="s">
        <v>1703</v>
      </c>
      <c r="E5" s="25" t="s">
        <v>1268</v>
      </c>
      <c r="F5" s="25" t="s">
        <v>3</v>
      </c>
      <c r="G5" s="162" t="s">
        <v>6</v>
      </c>
      <c r="H5" s="25" t="s">
        <v>655</v>
      </c>
      <c r="I5" s="266" t="s">
        <v>15</v>
      </c>
      <c r="J5" s="269" t="s">
        <v>1805</v>
      </c>
      <c r="K5" s="269" t="s">
        <v>1806</v>
      </c>
    </row>
    <row r="6" spans="2:11" ht="26" x14ac:dyDescent="0.6">
      <c r="B6" s="71">
        <v>1</v>
      </c>
      <c r="C6" s="121" t="s">
        <v>998</v>
      </c>
      <c r="D6" s="121" t="s">
        <v>1275</v>
      </c>
      <c r="E6" s="121">
        <v>37</v>
      </c>
      <c r="F6" s="71">
        <v>11300857115</v>
      </c>
      <c r="G6" s="189">
        <v>46144</v>
      </c>
      <c r="H6" s="122">
        <v>2890920220228</v>
      </c>
      <c r="I6" s="268" t="s">
        <v>1733</v>
      </c>
      <c r="J6" s="267">
        <v>450</v>
      </c>
      <c r="K6" s="271">
        <f>IF(J6="","",J6)</f>
        <v>450</v>
      </c>
    </row>
    <row r="7" spans="2:11" ht="26" x14ac:dyDescent="0.6">
      <c r="B7" s="71">
        <v>3</v>
      </c>
      <c r="C7" s="121" t="s">
        <v>982</v>
      </c>
      <c r="D7" s="121" t="s">
        <v>1731</v>
      </c>
      <c r="E7" s="121">
        <v>27</v>
      </c>
      <c r="F7" s="71">
        <v>1127148008</v>
      </c>
      <c r="G7" s="189">
        <v>46144</v>
      </c>
      <c r="H7" s="122">
        <v>29902092403206</v>
      </c>
      <c r="I7" s="268" t="s">
        <v>1733</v>
      </c>
      <c r="J7" s="267">
        <v>450</v>
      </c>
      <c r="K7" s="271">
        <f t="shared" ref="K7:K70" si="0">IF(J7="","",J7)</f>
        <v>450</v>
      </c>
    </row>
    <row r="8" spans="2:11" ht="26" x14ac:dyDescent="0.6">
      <c r="B8" s="71">
        <v>4</v>
      </c>
      <c r="C8" s="121" t="s">
        <v>985</v>
      </c>
      <c r="D8" s="121" t="s">
        <v>1731</v>
      </c>
      <c r="E8" s="121">
        <v>23</v>
      </c>
      <c r="F8" s="71">
        <v>1020525159</v>
      </c>
      <c r="G8" s="189">
        <v>46144</v>
      </c>
      <c r="H8" s="122">
        <v>30302152409126</v>
      </c>
      <c r="I8" s="268" t="s">
        <v>1733</v>
      </c>
      <c r="J8" s="267">
        <v>450</v>
      </c>
      <c r="K8" s="271">
        <f t="shared" si="0"/>
        <v>450</v>
      </c>
    </row>
    <row r="9" spans="2:11" ht="26" x14ac:dyDescent="0.6">
      <c r="B9" s="71">
        <v>5</v>
      </c>
      <c r="C9" s="121" t="s">
        <v>999</v>
      </c>
      <c r="D9" s="121" t="s">
        <v>1443</v>
      </c>
      <c r="E9" s="121">
        <v>48</v>
      </c>
      <c r="F9" s="71">
        <v>1270242329</v>
      </c>
      <c r="G9" s="189">
        <v>46146</v>
      </c>
      <c r="H9" s="122">
        <v>27802272200514</v>
      </c>
      <c r="I9" s="268" t="s">
        <v>1734</v>
      </c>
      <c r="J9" s="267">
        <v>450</v>
      </c>
      <c r="K9" s="271">
        <f t="shared" si="0"/>
        <v>450</v>
      </c>
    </row>
    <row r="10" spans="2:11" ht="27" customHeight="1" x14ac:dyDescent="0.6">
      <c r="B10" s="71">
        <v>6</v>
      </c>
      <c r="C10" s="121" t="s">
        <v>1000</v>
      </c>
      <c r="D10" s="121" t="s">
        <v>1731</v>
      </c>
      <c r="E10" s="121">
        <v>66</v>
      </c>
      <c r="F10" s="71">
        <v>1220967948</v>
      </c>
      <c r="G10" s="189">
        <v>46146</v>
      </c>
      <c r="H10" s="122">
        <v>30807212400608</v>
      </c>
      <c r="I10" s="268" t="s">
        <v>1734</v>
      </c>
      <c r="J10" s="267">
        <v>450</v>
      </c>
      <c r="K10" s="271">
        <f t="shared" si="0"/>
        <v>450</v>
      </c>
    </row>
    <row r="11" spans="2:11" ht="26" x14ac:dyDescent="0.6">
      <c r="B11" s="71">
        <v>7</v>
      </c>
      <c r="C11" s="121" t="s">
        <v>1001</v>
      </c>
      <c r="D11" s="121" t="s">
        <v>1311</v>
      </c>
      <c r="E11" s="121">
        <v>14</v>
      </c>
      <c r="F11" s="71">
        <v>1116386181</v>
      </c>
      <c r="G11" s="189">
        <v>46146</v>
      </c>
      <c r="H11" s="122">
        <v>31210312401315</v>
      </c>
      <c r="I11" s="268" t="s">
        <v>1734</v>
      </c>
      <c r="J11" s="267">
        <v>450</v>
      </c>
      <c r="K11" s="271">
        <f t="shared" si="0"/>
        <v>450</v>
      </c>
    </row>
    <row r="12" spans="2:11" ht="26" x14ac:dyDescent="0.6">
      <c r="B12" s="71">
        <v>9</v>
      </c>
      <c r="C12" s="121" t="s">
        <v>1002</v>
      </c>
      <c r="D12" s="121" t="s">
        <v>1443</v>
      </c>
      <c r="E12" s="121">
        <v>34</v>
      </c>
      <c r="F12" s="71">
        <v>1125163273</v>
      </c>
      <c r="G12" s="189">
        <v>46146</v>
      </c>
      <c r="H12" s="122">
        <v>29210152404402</v>
      </c>
      <c r="I12" s="268" t="s">
        <v>1734</v>
      </c>
      <c r="J12" s="267">
        <v>450</v>
      </c>
      <c r="K12" s="271">
        <f t="shared" si="0"/>
        <v>450</v>
      </c>
    </row>
    <row r="13" spans="2:11" ht="26" x14ac:dyDescent="0.6">
      <c r="B13" s="71">
        <v>10</v>
      </c>
      <c r="C13" s="121" t="s">
        <v>1003</v>
      </c>
      <c r="D13" s="121" t="s">
        <v>1731</v>
      </c>
      <c r="E13" s="121">
        <v>40</v>
      </c>
      <c r="F13" s="71">
        <v>1112458432</v>
      </c>
      <c r="G13" s="189">
        <v>46149</v>
      </c>
      <c r="H13" s="122">
        <v>28602182403755</v>
      </c>
      <c r="I13" s="268" t="s">
        <v>1734</v>
      </c>
      <c r="J13" s="267">
        <v>450</v>
      </c>
      <c r="K13" s="271">
        <f t="shared" si="0"/>
        <v>450</v>
      </c>
    </row>
    <row r="14" spans="2:11" ht="26" x14ac:dyDescent="0.6">
      <c r="B14" s="71">
        <v>11</v>
      </c>
      <c r="C14" s="121" t="s">
        <v>1004</v>
      </c>
      <c r="D14" s="121" t="s">
        <v>1731</v>
      </c>
      <c r="E14" s="121">
        <v>28</v>
      </c>
      <c r="F14" s="71">
        <v>1114193030</v>
      </c>
      <c r="G14" s="189">
        <v>46149</v>
      </c>
      <c r="H14" s="122">
        <v>29810182403947</v>
      </c>
      <c r="I14" s="268" t="s">
        <v>1734</v>
      </c>
      <c r="J14" s="267">
        <v>450</v>
      </c>
      <c r="K14" s="271">
        <f t="shared" si="0"/>
        <v>450</v>
      </c>
    </row>
    <row r="15" spans="2:11" ht="26" x14ac:dyDescent="0.6">
      <c r="B15" s="71">
        <v>12</v>
      </c>
      <c r="C15" s="121" t="s">
        <v>1005</v>
      </c>
      <c r="D15" s="121" t="s">
        <v>1275</v>
      </c>
      <c r="E15" s="121">
        <v>24</v>
      </c>
      <c r="F15" s="71">
        <v>1152898988</v>
      </c>
      <c r="G15" s="189">
        <v>46149</v>
      </c>
      <c r="H15" s="122">
        <v>30202022403709</v>
      </c>
      <c r="I15" s="268" t="s">
        <v>1734</v>
      </c>
      <c r="J15" s="267">
        <v>450</v>
      </c>
      <c r="K15" s="271">
        <f t="shared" si="0"/>
        <v>450</v>
      </c>
    </row>
    <row r="16" spans="2:11" ht="26" x14ac:dyDescent="0.6">
      <c r="B16" s="71">
        <v>14</v>
      </c>
      <c r="C16" s="121" t="s">
        <v>1006</v>
      </c>
      <c r="D16" s="121" t="s">
        <v>459</v>
      </c>
      <c r="E16" s="121">
        <v>25</v>
      </c>
      <c r="F16" s="71">
        <v>1122562125</v>
      </c>
      <c r="G16" s="189">
        <v>46149</v>
      </c>
      <c r="H16" s="122">
        <v>30107152401705</v>
      </c>
      <c r="I16" s="268" t="s">
        <v>1734</v>
      </c>
      <c r="J16" s="267">
        <v>450</v>
      </c>
      <c r="K16" s="271">
        <f t="shared" si="0"/>
        <v>450</v>
      </c>
    </row>
    <row r="17" spans="1:11" ht="26" x14ac:dyDescent="0.6">
      <c r="B17" s="71">
        <v>15</v>
      </c>
      <c r="C17" s="121" t="s">
        <v>1007</v>
      </c>
      <c r="D17" s="121" t="s">
        <v>1443</v>
      </c>
      <c r="E17" s="121">
        <v>28</v>
      </c>
      <c r="F17" s="71">
        <v>1147991656</v>
      </c>
      <c r="G17" s="189">
        <v>46149</v>
      </c>
      <c r="H17" s="122">
        <v>29812202406169</v>
      </c>
      <c r="I17" s="268" t="s">
        <v>1734</v>
      </c>
      <c r="J17" s="267">
        <v>450</v>
      </c>
      <c r="K17" s="271">
        <f t="shared" si="0"/>
        <v>450</v>
      </c>
    </row>
    <row r="18" spans="1:11" ht="26" x14ac:dyDescent="0.6">
      <c r="B18" s="71">
        <v>16</v>
      </c>
      <c r="C18" s="121" t="s">
        <v>1008</v>
      </c>
      <c r="D18" s="121" t="s">
        <v>1271</v>
      </c>
      <c r="E18" s="121">
        <v>22</v>
      </c>
      <c r="F18" s="71">
        <v>1112741446</v>
      </c>
      <c r="G18" s="189">
        <v>46151</v>
      </c>
      <c r="H18" s="122">
        <v>30411102403708</v>
      </c>
      <c r="I18" s="268" t="s">
        <v>1733</v>
      </c>
      <c r="J18" s="267">
        <v>450</v>
      </c>
      <c r="K18" s="271">
        <f t="shared" si="0"/>
        <v>450</v>
      </c>
    </row>
    <row r="19" spans="1:11" ht="26" x14ac:dyDescent="0.6">
      <c r="B19" s="71">
        <v>17</v>
      </c>
      <c r="C19" s="121" t="s">
        <v>1009</v>
      </c>
      <c r="D19" s="121" t="s">
        <v>1311</v>
      </c>
      <c r="E19" s="121">
        <v>48</v>
      </c>
      <c r="F19" s="71">
        <v>1032858326</v>
      </c>
      <c r="G19" s="189">
        <v>46151</v>
      </c>
      <c r="H19" s="122">
        <v>27812272201664</v>
      </c>
      <c r="I19" s="268" t="s">
        <v>1733</v>
      </c>
      <c r="J19" s="267">
        <v>450</v>
      </c>
      <c r="K19" s="271">
        <f t="shared" si="0"/>
        <v>450</v>
      </c>
    </row>
    <row r="20" spans="1:11" ht="26" x14ac:dyDescent="0.6">
      <c r="B20" s="71">
        <v>18</v>
      </c>
      <c r="C20" s="121" t="s">
        <v>1010</v>
      </c>
      <c r="D20" s="121" t="s">
        <v>1271</v>
      </c>
      <c r="E20" s="121">
        <v>29</v>
      </c>
      <c r="F20" s="71">
        <v>1102662474</v>
      </c>
      <c r="G20" s="189">
        <v>46153</v>
      </c>
      <c r="H20" s="122">
        <v>29907072201498</v>
      </c>
      <c r="I20" s="268" t="s">
        <v>1734</v>
      </c>
      <c r="J20" s="267">
        <v>450</v>
      </c>
      <c r="K20" s="271">
        <f t="shared" si="0"/>
        <v>450</v>
      </c>
    </row>
    <row r="21" spans="1:11" ht="26" x14ac:dyDescent="0.6">
      <c r="B21" s="71">
        <v>20</v>
      </c>
      <c r="C21" s="121" t="s">
        <v>1011</v>
      </c>
      <c r="D21" s="121" t="s">
        <v>1731</v>
      </c>
      <c r="E21" s="121">
        <v>17</v>
      </c>
      <c r="F21" s="71">
        <v>1156511567</v>
      </c>
      <c r="G21" s="189">
        <v>46153</v>
      </c>
      <c r="H21" s="122">
        <v>30908092400553</v>
      </c>
      <c r="I21" s="268" t="s">
        <v>1734</v>
      </c>
      <c r="J21" s="267">
        <v>450</v>
      </c>
      <c r="K21" s="271">
        <f t="shared" si="0"/>
        <v>450</v>
      </c>
    </row>
    <row r="22" spans="1:11" ht="26" x14ac:dyDescent="0.6">
      <c r="B22" s="71">
        <v>21</v>
      </c>
      <c r="C22" s="121" t="s">
        <v>1012</v>
      </c>
      <c r="D22" s="121" t="s">
        <v>1271</v>
      </c>
      <c r="E22" s="121">
        <v>26</v>
      </c>
      <c r="F22" s="71">
        <v>1055263868</v>
      </c>
      <c r="G22" s="189">
        <v>46153</v>
      </c>
      <c r="H22" s="122">
        <v>30001022405013</v>
      </c>
      <c r="I22" s="268" t="s">
        <v>1734</v>
      </c>
      <c r="J22" s="267">
        <v>450</v>
      </c>
      <c r="K22" s="271">
        <f t="shared" si="0"/>
        <v>450</v>
      </c>
    </row>
    <row r="23" spans="1:11" ht="26" x14ac:dyDescent="0.6">
      <c r="A23" s="24"/>
      <c r="B23" s="71">
        <v>22</v>
      </c>
      <c r="C23" s="121" t="s">
        <v>1013</v>
      </c>
      <c r="D23" s="121" t="s">
        <v>1443</v>
      </c>
      <c r="E23" s="121">
        <v>36</v>
      </c>
      <c r="F23" s="71">
        <v>1126017643</v>
      </c>
      <c r="G23" s="189">
        <v>46156</v>
      </c>
      <c r="H23" s="122">
        <v>29005012406984</v>
      </c>
      <c r="I23" s="268" t="s">
        <v>1734</v>
      </c>
      <c r="J23" s="267">
        <v>450</v>
      </c>
      <c r="K23" s="271">
        <f t="shared" si="0"/>
        <v>450</v>
      </c>
    </row>
    <row r="24" spans="1:11" ht="26" x14ac:dyDescent="0.6">
      <c r="B24" s="71">
        <v>23</v>
      </c>
      <c r="C24" s="121" t="s">
        <v>1014</v>
      </c>
      <c r="D24" s="121" t="s">
        <v>1311</v>
      </c>
      <c r="E24" s="121">
        <v>16</v>
      </c>
      <c r="F24" s="71">
        <v>1156133144</v>
      </c>
      <c r="G24" s="189">
        <v>46156</v>
      </c>
      <c r="H24" s="122">
        <v>31001032400498</v>
      </c>
      <c r="I24" s="268" t="s">
        <v>1734</v>
      </c>
      <c r="J24" s="267">
        <v>450</v>
      </c>
      <c r="K24" s="271">
        <f t="shared" si="0"/>
        <v>450</v>
      </c>
    </row>
    <row r="25" spans="1:11" ht="26" x14ac:dyDescent="0.6">
      <c r="B25" s="71">
        <v>24</v>
      </c>
      <c r="C25" s="121" t="s">
        <v>1015</v>
      </c>
      <c r="D25" s="121" t="s">
        <v>1731</v>
      </c>
      <c r="E25" s="121">
        <v>29</v>
      </c>
      <c r="F25" s="71">
        <v>1105494802</v>
      </c>
      <c r="G25" s="189">
        <v>46156</v>
      </c>
      <c r="H25" s="122">
        <v>29702222401031</v>
      </c>
      <c r="I25" s="268" t="s">
        <v>1734</v>
      </c>
      <c r="J25" s="267">
        <v>450</v>
      </c>
      <c r="K25" s="271">
        <f t="shared" si="0"/>
        <v>450</v>
      </c>
    </row>
    <row r="26" spans="1:11" ht="26" x14ac:dyDescent="0.6">
      <c r="B26" s="71">
        <v>25</v>
      </c>
      <c r="C26" s="121" t="s">
        <v>1016</v>
      </c>
      <c r="D26" s="121" t="s">
        <v>1731</v>
      </c>
      <c r="E26" s="121">
        <v>53</v>
      </c>
      <c r="F26" s="71">
        <v>1289089241</v>
      </c>
      <c r="G26" s="189">
        <v>46158</v>
      </c>
      <c r="H26" s="122">
        <v>27306072401691</v>
      </c>
      <c r="I26" s="268" t="s">
        <v>1733</v>
      </c>
      <c r="J26" s="267">
        <v>450</v>
      </c>
      <c r="K26" s="271">
        <f t="shared" si="0"/>
        <v>450</v>
      </c>
    </row>
    <row r="27" spans="1:11" ht="26" x14ac:dyDescent="0.6">
      <c r="B27" s="71">
        <v>26</v>
      </c>
      <c r="C27" s="121" t="s">
        <v>1017</v>
      </c>
      <c r="D27" s="121" t="s">
        <v>1271</v>
      </c>
      <c r="E27" s="121">
        <v>56</v>
      </c>
      <c r="F27" s="71">
        <v>1017983923</v>
      </c>
      <c r="G27" s="189">
        <v>46158</v>
      </c>
      <c r="H27" s="122">
        <v>27012152402872</v>
      </c>
      <c r="I27" s="268" t="s">
        <v>1733</v>
      </c>
      <c r="J27" s="267">
        <v>450</v>
      </c>
      <c r="K27" s="271">
        <f t="shared" si="0"/>
        <v>450</v>
      </c>
    </row>
    <row r="28" spans="1:11" ht="26" x14ac:dyDescent="0.6">
      <c r="B28" s="71">
        <v>27</v>
      </c>
      <c r="C28" s="121" t="s">
        <v>1018</v>
      </c>
      <c r="D28" s="121" t="s">
        <v>1311</v>
      </c>
      <c r="E28" s="121">
        <v>21</v>
      </c>
      <c r="F28" s="71">
        <v>1020397703</v>
      </c>
      <c r="G28" s="189">
        <v>46160</v>
      </c>
      <c r="H28" s="122">
        <v>30506308800909</v>
      </c>
      <c r="I28" s="268" t="s">
        <v>1734</v>
      </c>
      <c r="J28" s="267">
        <v>450</v>
      </c>
      <c r="K28" s="271">
        <f t="shared" si="0"/>
        <v>450</v>
      </c>
    </row>
    <row r="29" spans="1:11" ht="26" x14ac:dyDescent="0.6">
      <c r="B29" s="71">
        <v>28</v>
      </c>
      <c r="C29" s="121" t="s">
        <v>1019</v>
      </c>
      <c r="D29" s="121" t="s">
        <v>1731</v>
      </c>
      <c r="E29" s="121">
        <v>18</v>
      </c>
      <c r="F29" s="71">
        <v>1154230124</v>
      </c>
      <c r="G29" s="189">
        <v>46160</v>
      </c>
      <c r="H29" s="122">
        <v>30803142401509</v>
      </c>
      <c r="I29" s="268" t="s">
        <v>1734</v>
      </c>
      <c r="J29" s="267">
        <v>450</v>
      </c>
      <c r="K29" s="271">
        <f t="shared" si="0"/>
        <v>450</v>
      </c>
    </row>
    <row r="30" spans="1:11" ht="26" x14ac:dyDescent="0.6">
      <c r="B30" s="71">
        <v>29</v>
      </c>
      <c r="C30" s="121" t="s">
        <v>1020</v>
      </c>
      <c r="D30" s="121" t="s">
        <v>1288</v>
      </c>
      <c r="E30" s="121">
        <v>21</v>
      </c>
      <c r="F30" s="71">
        <v>1146340126</v>
      </c>
      <c r="G30" s="189">
        <v>46160</v>
      </c>
      <c r="H30" s="122">
        <v>30503092401622</v>
      </c>
      <c r="I30" s="268" t="s">
        <v>1734</v>
      </c>
      <c r="J30" s="267">
        <v>450</v>
      </c>
      <c r="K30" s="271">
        <f t="shared" si="0"/>
        <v>450</v>
      </c>
    </row>
    <row r="31" spans="1:11" ht="26" x14ac:dyDescent="0.6">
      <c r="B31" s="71">
        <v>30</v>
      </c>
      <c r="C31" s="121" t="s">
        <v>1021</v>
      </c>
      <c r="D31" s="121" t="s">
        <v>1311</v>
      </c>
      <c r="E31" s="121">
        <v>31</v>
      </c>
      <c r="F31" s="71">
        <v>1156263420</v>
      </c>
      <c r="G31" s="189">
        <v>46163</v>
      </c>
      <c r="H31" s="122">
        <v>29512212401421</v>
      </c>
      <c r="I31" s="268" t="s">
        <v>1734</v>
      </c>
      <c r="J31" s="267">
        <v>450</v>
      </c>
      <c r="K31" s="271">
        <f t="shared" si="0"/>
        <v>450</v>
      </c>
    </row>
    <row r="32" spans="1:11" ht="26" x14ac:dyDescent="0.6">
      <c r="B32" s="71">
        <v>31</v>
      </c>
      <c r="C32" s="121" t="s">
        <v>1022</v>
      </c>
      <c r="D32" s="121" t="s">
        <v>1271</v>
      </c>
      <c r="E32" s="121">
        <v>17</v>
      </c>
      <c r="F32" s="71">
        <v>1114158711</v>
      </c>
      <c r="G32" s="189">
        <v>46163</v>
      </c>
      <c r="H32" s="122">
        <v>30906132404325</v>
      </c>
      <c r="I32" s="268" t="s">
        <v>1734</v>
      </c>
      <c r="J32" s="267">
        <v>450</v>
      </c>
      <c r="K32" s="271">
        <f t="shared" si="0"/>
        <v>450</v>
      </c>
    </row>
    <row r="33" spans="2:11" ht="26" x14ac:dyDescent="0.6">
      <c r="B33" s="71">
        <v>32</v>
      </c>
      <c r="C33" s="121" t="s">
        <v>1023</v>
      </c>
      <c r="D33" s="121" t="s">
        <v>1731</v>
      </c>
      <c r="E33" s="121">
        <v>24</v>
      </c>
      <c r="F33" s="71">
        <v>1147710476</v>
      </c>
      <c r="G33" s="189">
        <v>46163</v>
      </c>
      <c r="H33" s="122">
        <v>30209012404639</v>
      </c>
      <c r="I33" s="268" t="s">
        <v>1734</v>
      </c>
      <c r="J33" s="267">
        <v>450</v>
      </c>
      <c r="K33" s="271">
        <f t="shared" si="0"/>
        <v>450</v>
      </c>
    </row>
    <row r="34" spans="2:11" ht="26" x14ac:dyDescent="0.6">
      <c r="B34" s="71">
        <v>33</v>
      </c>
      <c r="C34" s="121" t="s">
        <v>1024</v>
      </c>
      <c r="D34" s="121" t="s">
        <v>1443</v>
      </c>
      <c r="E34" s="121">
        <v>31</v>
      </c>
      <c r="F34" s="71">
        <v>1158303103</v>
      </c>
      <c r="G34" s="189">
        <v>46165</v>
      </c>
      <c r="H34" s="122">
        <v>29504132201169</v>
      </c>
      <c r="I34" s="268" t="s">
        <v>1733</v>
      </c>
      <c r="J34" s="267">
        <v>450</v>
      </c>
      <c r="K34" s="271">
        <f t="shared" si="0"/>
        <v>450</v>
      </c>
    </row>
    <row r="35" spans="2:11" ht="26" x14ac:dyDescent="0.6">
      <c r="B35" s="71">
        <v>34</v>
      </c>
      <c r="C35" s="121" t="s">
        <v>1025</v>
      </c>
      <c r="D35" s="121" t="s">
        <v>1311</v>
      </c>
      <c r="E35" s="121">
        <v>25</v>
      </c>
      <c r="F35" s="71">
        <v>1158303103</v>
      </c>
      <c r="G35" s="189">
        <v>46165</v>
      </c>
      <c r="H35" s="122">
        <v>30102072201401</v>
      </c>
      <c r="I35" s="268" t="s">
        <v>1733</v>
      </c>
      <c r="J35" s="267">
        <v>450</v>
      </c>
      <c r="K35" s="271">
        <f t="shared" si="0"/>
        <v>450</v>
      </c>
    </row>
    <row r="36" spans="2:11" ht="26" x14ac:dyDescent="0.6">
      <c r="B36" s="71">
        <v>35</v>
      </c>
      <c r="C36" s="121" t="s">
        <v>1026</v>
      </c>
      <c r="D36" s="121" t="s">
        <v>1271</v>
      </c>
      <c r="E36" s="121">
        <v>33</v>
      </c>
      <c r="F36" s="71">
        <v>1117592010</v>
      </c>
      <c r="G36" s="189">
        <v>46167</v>
      </c>
      <c r="H36" s="122">
        <v>29308172401809</v>
      </c>
      <c r="I36" s="268" t="s">
        <v>1734</v>
      </c>
      <c r="J36" s="267">
        <v>450</v>
      </c>
      <c r="K36" s="271">
        <f t="shared" si="0"/>
        <v>450</v>
      </c>
    </row>
    <row r="37" spans="2:11" ht="26" x14ac:dyDescent="0.6">
      <c r="B37" s="71">
        <v>36</v>
      </c>
      <c r="C37" s="121" t="s">
        <v>1027</v>
      </c>
      <c r="D37" s="121" t="s">
        <v>459</v>
      </c>
      <c r="E37" s="121">
        <v>28</v>
      </c>
      <c r="F37" s="71">
        <v>1272718989</v>
      </c>
      <c r="G37" s="189">
        <v>46167</v>
      </c>
      <c r="H37" s="122">
        <v>29802112401821</v>
      </c>
      <c r="I37" s="268" t="s">
        <v>1734</v>
      </c>
      <c r="J37" s="267">
        <v>450</v>
      </c>
      <c r="K37" s="271">
        <f t="shared" si="0"/>
        <v>450</v>
      </c>
    </row>
    <row r="38" spans="2:11" ht="26" x14ac:dyDescent="0.6">
      <c r="B38" s="71">
        <v>37</v>
      </c>
      <c r="C38" s="121" t="s">
        <v>1028</v>
      </c>
      <c r="D38" s="121" t="s">
        <v>1731</v>
      </c>
      <c r="E38" s="121">
        <v>25</v>
      </c>
      <c r="F38" s="71">
        <v>1013575708</v>
      </c>
      <c r="G38" s="189">
        <v>46167</v>
      </c>
      <c r="H38" s="122">
        <v>3010102400543</v>
      </c>
      <c r="I38" s="268" t="s">
        <v>1734</v>
      </c>
      <c r="J38" s="267">
        <v>450</v>
      </c>
      <c r="K38" s="271">
        <f t="shared" si="0"/>
        <v>450</v>
      </c>
    </row>
    <row r="39" spans="2:11" ht="26" x14ac:dyDescent="0.6">
      <c r="B39" s="71">
        <v>38</v>
      </c>
      <c r="C39" s="121" t="s">
        <v>1034</v>
      </c>
      <c r="D39" s="121" t="s">
        <v>1731</v>
      </c>
      <c r="E39" s="121">
        <v>25</v>
      </c>
      <c r="F39" s="71">
        <v>1035066767</v>
      </c>
      <c r="G39" s="189">
        <v>46174</v>
      </c>
      <c r="H39" s="122">
        <v>30111112400576</v>
      </c>
      <c r="I39" s="268" t="s">
        <v>1734</v>
      </c>
      <c r="J39" s="267">
        <v>450</v>
      </c>
      <c r="K39" s="271">
        <f t="shared" si="0"/>
        <v>450</v>
      </c>
    </row>
    <row r="40" spans="2:11" ht="26" x14ac:dyDescent="0.6">
      <c r="B40" s="71">
        <v>39</v>
      </c>
      <c r="C40" s="121" t="s">
        <v>1035</v>
      </c>
      <c r="D40" s="121" t="s">
        <v>1731</v>
      </c>
      <c r="E40" s="121">
        <v>20</v>
      </c>
      <c r="F40" s="71">
        <v>1153034322</v>
      </c>
      <c r="G40" s="189">
        <v>46174</v>
      </c>
      <c r="H40" s="122">
        <v>30601162400302</v>
      </c>
      <c r="I40" s="268" t="s">
        <v>1734</v>
      </c>
      <c r="J40" s="267">
        <v>450</v>
      </c>
      <c r="K40" s="271">
        <f t="shared" si="0"/>
        <v>450</v>
      </c>
    </row>
    <row r="41" spans="2:11" ht="26" x14ac:dyDescent="0.6">
      <c r="B41" s="71">
        <v>40</v>
      </c>
      <c r="C41" s="121" t="s">
        <v>1036</v>
      </c>
      <c r="D41" s="121" t="s">
        <v>1731</v>
      </c>
      <c r="E41" s="121">
        <v>21</v>
      </c>
      <c r="F41" s="71">
        <v>1158433250</v>
      </c>
      <c r="G41" s="189">
        <v>46174</v>
      </c>
      <c r="H41" s="122">
        <v>30501252401915</v>
      </c>
      <c r="I41" s="268" t="s">
        <v>1734</v>
      </c>
      <c r="J41" s="267">
        <v>450</v>
      </c>
      <c r="K41" s="271">
        <f t="shared" si="0"/>
        <v>450</v>
      </c>
    </row>
    <row r="42" spans="2:11" ht="26" x14ac:dyDescent="0.6">
      <c r="B42" s="71">
        <v>41</v>
      </c>
      <c r="C42" s="121" t="s">
        <v>1037</v>
      </c>
      <c r="D42" s="121" t="s">
        <v>1731</v>
      </c>
      <c r="E42" s="121">
        <v>22</v>
      </c>
      <c r="F42" s="71">
        <v>1101646431</v>
      </c>
      <c r="G42" s="189">
        <v>46174</v>
      </c>
      <c r="H42" s="122">
        <v>30707152201312</v>
      </c>
      <c r="I42" s="268" t="s">
        <v>1734</v>
      </c>
      <c r="J42" s="267">
        <v>450</v>
      </c>
      <c r="K42" s="271">
        <f t="shared" si="0"/>
        <v>450</v>
      </c>
    </row>
    <row r="43" spans="2:11" ht="26" x14ac:dyDescent="0.6">
      <c r="B43" s="71">
        <v>42</v>
      </c>
      <c r="C43" s="121" t="s">
        <v>1038</v>
      </c>
      <c r="D43" s="121" t="s">
        <v>1731</v>
      </c>
      <c r="E43" s="121">
        <v>22</v>
      </c>
      <c r="F43" s="71">
        <v>1080232267</v>
      </c>
      <c r="G43" s="189">
        <v>46174</v>
      </c>
      <c r="H43" s="122">
        <v>30705162401058</v>
      </c>
      <c r="I43" s="268" t="s">
        <v>1734</v>
      </c>
      <c r="J43" s="267">
        <v>450</v>
      </c>
      <c r="K43" s="271">
        <f t="shared" si="0"/>
        <v>450</v>
      </c>
    </row>
    <row r="44" spans="2:11" ht="26" x14ac:dyDescent="0.6">
      <c r="B44" s="71">
        <v>43</v>
      </c>
      <c r="C44" s="121" t="s">
        <v>1039</v>
      </c>
      <c r="D44" s="121" t="s">
        <v>1731</v>
      </c>
      <c r="E44" s="121">
        <v>26</v>
      </c>
      <c r="F44" s="71">
        <v>1130960094</v>
      </c>
      <c r="G44" s="189">
        <v>46174</v>
      </c>
      <c r="H44" s="122">
        <v>30004052402085</v>
      </c>
      <c r="I44" s="268" t="s">
        <v>1734</v>
      </c>
      <c r="J44" s="267">
        <v>450</v>
      </c>
      <c r="K44" s="271">
        <f t="shared" si="0"/>
        <v>450</v>
      </c>
    </row>
    <row r="45" spans="2:11" ht="26" x14ac:dyDescent="0.6">
      <c r="B45" s="71">
        <v>44</v>
      </c>
      <c r="C45" s="121" t="s">
        <v>1041</v>
      </c>
      <c r="D45" s="121" t="s">
        <v>1731</v>
      </c>
      <c r="E45" s="121">
        <v>36</v>
      </c>
      <c r="F45" s="71">
        <v>1098832418</v>
      </c>
      <c r="G45" s="189">
        <v>46177</v>
      </c>
      <c r="H45" s="122">
        <v>29001082404037</v>
      </c>
      <c r="I45" s="268" t="s">
        <v>1734</v>
      </c>
      <c r="J45" s="267">
        <v>450</v>
      </c>
      <c r="K45" s="271">
        <f t="shared" si="0"/>
        <v>450</v>
      </c>
    </row>
    <row r="46" spans="2:11" ht="26" x14ac:dyDescent="0.6">
      <c r="B46" s="71">
        <v>45</v>
      </c>
      <c r="C46" s="121" t="s">
        <v>1042</v>
      </c>
      <c r="D46" s="121" t="s">
        <v>1731</v>
      </c>
      <c r="E46" s="121">
        <v>17</v>
      </c>
      <c r="F46" s="71">
        <v>1108545043</v>
      </c>
      <c r="G46" s="189">
        <v>46177</v>
      </c>
      <c r="H46" s="122">
        <v>30910212404382</v>
      </c>
      <c r="I46" s="268" t="s">
        <v>1734</v>
      </c>
      <c r="J46" s="267">
        <v>450</v>
      </c>
      <c r="K46" s="271">
        <f t="shared" si="0"/>
        <v>450</v>
      </c>
    </row>
    <row r="47" spans="2:11" ht="26" x14ac:dyDescent="0.6">
      <c r="B47" s="71">
        <v>46</v>
      </c>
      <c r="C47" s="121" t="s">
        <v>1043</v>
      </c>
      <c r="D47" s="121" t="s">
        <v>1731</v>
      </c>
      <c r="E47" s="121">
        <v>16</v>
      </c>
      <c r="F47" s="71">
        <v>1158574986</v>
      </c>
      <c r="G47" s="189">
        <v>46177</v>
      </c>
      <c r="H47" s="122">
        <v>30811282403091</v>
      </c>
      <c r="I47" s="268" t="s">
        <v>1734</v>
      </c>
      <c r="J47" s="267">
        <v>450</v>
      </c>
      <c r="K47" s="271">
        <f t="shared" si="0"/>
        <v>450</v>
      </c>
    </row>
    <row r="48" spans="2:11" ht="26" x14ac:dyDescent="0.6">
      <c r="B48" s="71">
        <v>47</v>
      </c>
      <c r="C48" s="74" t="s">
        <v>1044</v>
      </c>
      <c r="D48" s="121" t="s">
        <v>1731</v>
      </c>
      <c r="E48" s="74">
        <v>26</v>
      </c>
      <c r="F48" s="71">
        <v>122484590</v>
      </c>
      <c r="G48" s="189">
        <v>46177</v>
      </c>
      <c r="H48" s="122">
        <v>30011022402621</v>
      </c>
      <c r="I48" s="268" t="s">
        <v>1734</v>
      </c>
      <c r="J48" s="267">
        <v>450</v>
      </c>
      <c r="K48" s="271">
        <f t="shared" si="0"/>
        <v>450</v>
      </c>
    </row>
    <row r="49" spans="2:11" ht="26" x14ac:dyDescent="0.6">
      <c r="B49" s="71">
        <v>48</v>
      </c>
      <c r="C49" s="74" t="s">
        <v>1045</v>
      </c>
      <c r="D49" s="121" t="s">
        <v>1731</v>
      </c>
      <c r="E49" s="74">
        <v>40</v>
      </c>
      <c r="F49" s="71">
        <v>1092283690</v>
      </c>
      <c r="G49" s="189">
        <v>46179</v>
      </c>
      <c r="H49" s="122">
        <v>31602092402078</v>
      </c>
      <c r="I49" s="268" t="s">
        <v>1733</v>
      </c>
      <c r="J49" s="267">
        <v>450</v>
      </c>
      <c r="K49" s="271">
        <f t="shared" si="0"/>
        <v>450</v>
      </c>
    </row>
    <row r="50" spans="2:11" ht="26" x14ac:dyDescent="0.6">
      <c r="B50" s="71">
        <v>49</v>
      </c>
      <c r="C50" s="74" t="s">
        <v>1046</v>
      </c>
      <c r="D50" s="121" t="s">
        <v>1731</v>
      </c>
      <c r="E50" s="74">
        <v>41</v>
      </c>
      <c r="F50" s="71">
        <v>1111218804</v>
      </c>
      <c r="G50" s="189">
        <v>46179</v>
      </c>
      <c r="H50" s="122">
        <v>28501132202961</v>
      </c>
      <c r="I50" s="268" t="s">
        <v>1733</v>
      </c>
      <c r="J50" s="267">
        <v>450</v>
      </c>
      <c r="K50" s="271">
        <f t="shared" si="0"/>
        <v>450</v>
      </c>
    </row>
    <row r="51" spans="2:11" ht="26" x14ac:dyDescent="0.6">
      <c r="B51" s="71">
        <v>50</v>
      </c>
      <c r="C51" s="74" t="s">
        <v>1047</v>
      </c>
      <c r="D51" s="121" t="s">
        <v>1731</v>
      </c>
      <c r="E51" s="74">
        <v>36</v>
      </c>
      <c r="F51" s="71">
        <v>1111611252</v>
      </c>
      <c r="G51" s="189">
        <v>46179</v>
      </c>
      <c r="H51" s="122">
        <v>29002192402524</v>
      </c>
      <c r="I51" s="268" t="s">
        <v>1733</v>
      </c>
      <c r="J51" s="267">
        <v>450</v>
      </c>
      <c r="K51" s="271">
        <f t="shared" si="0"/>
        <v>450</v>
      </c>
    </row>
    <row r="52" spans="2:11" ht="26" x14ac:dyDescent="0.6">
      <c r="B52" s="71">
        <v>51</v>
      </c>
      <c r="C52" s="71" t="s">
        <v>1048</v>
      </c>
      <c r="D52" s="121" t="s">
        <v>459</v>
      </c>
      <c r="E52" s="71">
        <v>42</v>
      </c>
      <c r="F52" s="71">
        <v>1140238606</v>
      </c>
      <c r="G52" s="189">
        <v>46179</v>
      </c>
      <c r="H52" s="122">
        <v>31010302400907</v>
      </c>
      <c r="I52" s="268" t="s">
        <v>1733</v>
      </c>
      <c r="J52" s="267">
        <v>450</v>
      </c>
      <c r="K52" s="271">
        <f t="shared" si="0"/>
        <v>450</v>
      </c>
    </row>
    <row r="53" spans="2:11" ht="26" x14ac:dyDescent="0.6">
      <c r="B53" s="71">
        <v>52</v>
      </c>
      <c r="C53" s="71" t="s">
        <v>1049</v>
      </c>
      <c r="D53" s="121" t="s">
        <v>459</v>
      </c>
      <c r="E53" s="71">
        <v>84</v>
      </c>
      <c r="F53" s="71">
        <v>1119608498</v>
      </c>
      <c r="G53" s="189">
        <v>46179</v>
      </c>
      <c r="H53" s="122">
        <v>29412122402555</v>
      </c>
      <c r="I53" s="268" t="s">
        <v>1733</v>
      </c>
      <c r="J53" s="267">
        <v>450</v>
      </c>
      <c r="K53" s="271">
        <f t="shared" si="0"/>
        <v>450</v>
      </c>
    </row>
    <row r="54" spans="2:11" ht="26" x14ac:dyDescent="0.6">
      <c r="B54" s="71">
        <v>53</v>
      </c>
      <c r="C54" s="71" t="s">
        <v>1050</v>
      </c>
      <c r="D54" s="121" t="s">
        <v>459</v>
      </c>
      <c r="E54" s="71">
        <v>17</v>
      </c>
      <c r="F54" s="71">
        <v>1127221237</v>
      </c>
      <c r="G54" s="189">
        <v>46179</v>
      </c>
      <c r="H54" s="122">
        <v>30703192401246</v>
      </c>
      <c r="I54" s="268" t="s">
        <v>1733</v>
      </c>
      <c r="J54" s="267">
        <v>450</v>
      </c>
      <c r="K54" s="271">
        <f t="shared" si="0"/>
        <v>450</v>
      </c>
    </row>
    <row r="55" spans="2:11" ht="26" x14ac:dyDescent="0.6">
      <c r="B55" s="71">
        <v>54</v>
      </c>
      <c r="C55" s="71" t="s">
        <v>1051</v>
      </c>
      <c r="D55" s="121" t="s">
        <v>459</v>
      </c>
      <c r="E55" s="71">
        <v>27</v>
      </c>
      <c r="F55" s="71">
        <v>1155106114</v>
      </c>
      <c r="G55" s="189">
        <v>46179</v>
      </c>
      <c r="H55" s="122">
        <v>29912162400205</v>
      </c>
      <c r="I55" s="268" t="s">
        <v>1733</v>
      </c>
      <c r="J55" s="267">
        <v>450</v>
      </c>
      <c r="K55" s="271">
        <f t="shared" si="0"/>
        <v>450</v>
      </c>
    </row>
    <row r="56" spans="2:11" ht="26" x14ac:dyDescent="0.6">
      <c r="B56" s="71">
        <v>55</v>
      </c>
      <c r="C56" s="71" t="s">
        <v>1052</v>
      </c>
      <c r="D56" s="121" t="s">
        <v>459</v>
      </c>
      <c r="E56" s="71">
        <v>17</v>
      </c>
      <c r="F56" s="71">
        <v>1008503771</v>
      </c>
      <c r="G56" s="189">
        <v>46181</v>
      </c>
      <c r="H56" s="122">
        <v>30704012403722</v>
      </c>
      <c r="I56" s="268" t="s">
        <v>1734</v>
      </c>
      <c r="J56" s="267">
        <v>450</v>
      </c>
      <c r="K56" s="271">
        <f t="shared" si="0"/>
        <v>450</v>
      </c>
    </row>
    <row r="57" spans="2:11" ht="26" x14ac:dyDescent="0.6">
      <c r="B57" s="71">
        <v>56</v>
      </c>
      <c r="C57" s="71" t="s">
        <v>1053</v>
      </c>
      <c r="D57" s="121" t="s">
        <v>459</v>
      </c>
      <c r="E57" s="71">
        <v>40</v>
      </c>
      <c r="F57" s="71">
        <v>1152315496</v>
      </c>
      <c r="G57" s="189">
        <v>46181</v>
      </c>
      <c r="H57" s="122">
        <v>28601252405126</v>
      </c>
      <c r="I57" s="268" t="s">
        <v>1734</v>
      </c>
      <c r="J57" s="267">
        <v>450</v>
      </c>
      <c r="K57" s="271">
        <f t="shared" si="0"/>
        <v>450</v>
      </c>
    </row>
    <row r="58" spans="2:11" ht="26" x14ac:dyDescent="0.6">
      <c r="B58" s="71">
        <v>57</v>
      </c>
      <c r="C58" s="71" t="s">
        <v>1054</v>
      </c>
      <c r="D58" s="121" t="s">
        <v>459</v>
      </c>
      <c r="E58" s="71">
        <v>16</v>
      </c>
      <c r="F58" s="71">
        <v>1273140330</v>
      </c>
      <c r="G58" s="189">
        <v>46181</v>
      </c>
      <c r="H58" s="122">
        <v>30802272401717</v>
      </c>
      <c r="I58" s="268" t="s">
        <v>1734</v>
      </c>
      <c r="J58" s="267">
        <v>450</v>
      </c>
      <c r="K58" s="271">
        <f t="shared" si="0"/>
        <v>450</v>
      </c>
    </row>
    <row r="59" spans="2:11" ht="26" x14ac:dyDescent="0.6">
      <c r="B59" s="71">
        <v>58</v>
      </c>
      <c r="C59" s="71" t="s">
        <v>1055</v>
      </c>
      <c r="D59" s="121" t="s">
        <v>459</v>
      </c>
      <c r="E59" s="71">
        <v>46</v>
      </c>
      <c r="F59" s="71">
        <v>1288342039</v>
      </c>
      <c r="G59" s="189">
        <v>46181</v>
      </c>
      <c r="H59" s="122">
        <v>28010022402316</v>
      </c>
      <c r="I59" s="268" t="s">
        <v>1734</v>
      </c>
      <c r="J59" s="267">
        <v>450</v>
      </c>
      <c r="K59" s="271">
        <f t="shared" si="0"/>
        <v>450</v>
      </c>
    </row>
    <row r="60" spans="2:11" ht="26" x14ac:dyDescent="0.6">
      <c r="B60" s="71">
        <v>59</v>
      </c>
      <c r="C60" s="71" t="s">
        <v>1056</v>
      </c>
      <c r="D60" s="121" t="s">
        <v>459</v>
      </c>
      <c r="E60" s="71">
        <v>29</v>
      </c>
      <c r="F60" s="71">
        <v>1202629721</v>
      </c>
      <c r="G60" s="189">
        <v>46181</v>
      </c>
      <c r="H60" s="122">
        <v>2970405243568</v>
      </c>
      <c r="I60" s="268" t="s">
        <v>1734</v>
      </c>
      <c r="J60" s="267">
        <v>450</v>
      </c>
      <c r="K60" s="271">
        <f t="shared" si="0"/>
        <v>450</v>
      </c>
    </row>
    <row r="61" spans="2:11" ht="26" x14ac:dyDescent="0.6">
      <c r="B61" s="71">
        <v>60</v>
      </c>
      <c r="C61" s="71" t="s">
        <v>1057</v>
      </c>
      <c r="D61" s="121" t="s">
        <v>459</v>
      </c>
      <c r="E61" s="71">
        <v>24</v>
      </c>
      <c r="F61" s="71">
        <v>1142348140</v>
      </c>
      <c r="G61" s="189">
        <v>46181</v>
      </c>
      <c r="H61" s="122">
        <v>30205012402401</v>
      </c>
      <c r="I61" s="268" t="s">
        <v>1734</v>
      </c>
      <c r="J61" s="267">
        <v>450</v>
      </c>
      <c r="K61" s="271">
        <f t="shared" si="0"/>
        <v>450</v>
      </c>
    </row>
    <row r="62" spans="2:11" ht="26" x14ac:dyDescent="0.6">
      <c r="B62" s="71">
        <v>61</v>
      </c>
      <c r="C62" s="71" t="s">
        <v>1058</v>
      </c>
      <c r="D62" s="121" t="s">
        <v>459</v>
      </c>
      <c r="E62" s="71">
        <v>11</v>
      </c>
      <c r="F62" s="71">
        <v>1117030982</v>
      </c>
      <c r="G62" s="189">
        <v>46184</v>
      </c>
      <c r="H62" s="122">
        <v>31505212401717</v>
      </c>
      <c r="I62" s="268" t="s">
        <v>1734</v>
      </c>
      <c r="J62" s="267">
        <v>450</v>
      </c>
      <c r="K62" s="271">
        <f t="shared" si="0"/>
        <v>450</v>
      </c>
    </row>
    <row r="63" spans="2:11" ht="26" x14ac:dyDescent="0.6">
      <c r="B63" s="71">
        <v>62</v>
      </c>
      <c r="C63" s="71" t="s">
        <v>1059</v>
      </c>
      <c r="D63" s="121" t="s">
        <v>459</v>
      </c>
      <c r="E63" s="71">
        <v>17</v>
      </c>
      <c r="F63" s="71">
        <v>1101352781</v>
      </c>
      <c r="G63" s="189">
        <v>46184</v>
      </c>
      <c r="H63" s="122">
        <v>30709152202079</v>
      </c>
      <c r="I63" s="268" t="s">
        <v>1734</v>
      </c>
      <c r="J63" s="267">
        <v>450</v>
      </c>
      <c r="K63" s="271">
        <f t="shared" si="0"/>
        <v>450</v>
      </c>
    </row>
    <row r="64" spans="2:11" ht="26" x14ac:dyDescent="0.6">
      <c r="B64" s="71">
        <v>63</v>
      </c>
      <c r="C64" s="71" t="s">
        <v>1060</v>
      </c>
      <c r="D64" s="121" t="s">
        <v>459</v>
      </c>
      <c r="E64" s="71">
        <v>16</v>
      </c>
      <c r="F64" s="71">
        <v>1154562379</v>
      </c>
      <c r="G64" s="189">
        <v>46184</v>
      </c>
      <c r="H64" s="122">
        <v>30610012208887</v>
      </c>
      <c r="I64" s="268" t="s">
        <v>1734</v>
      </c>
      <c r="J64" s="267">
        <v>450</v>
      </c>
      <c r="K64" s="271">
        <f t="shared" si="0"/>
        <v>450</v>
      </c>
    </row>
    <row r="65" spans="2:11" ht="26" x14ac:dyDescent="0.6">
      <c r="B65" s="71">
        <v>64</v>
      </c>
      <c r="C65" s="71" t="s">
        <v>1061</v>
      </c>
      <c r="D65" s="121" t="s">
        <v>1271</v>
      </c>
      <c r="E65" s="71">
        <v>17</v>
      </c>
      <c r="F65" s="71">
        <v>1065265338</v>
      </c>
      <c r="G65" s="189">
        <v>46184</v>
      </c>
      <c r="H65" s="122">
        <v>30704292400588</v>
      </c>
      <c r="I65" s="268" t="s">
        <v>1734</v>
      </c>
      <c r="J65" s="267">
        <v>450</v>
      </c>
      <c r="K65" s="271">
        <f t="shared" si="0"/>
        <v>450</v>
      </c>
    </row>
    <row r="66" spans="2:11" ht="26" x14ac:dyDescent="0.6">
      <c r="B66" s="71">
        <v>65</v>
      </c>
      <c r="C66" s="71" t="s">
        <v>1062</v>
      </c>
      <c r="D66" s="121" t="s">
        <v>1271</v>
      </c>
      <c r="E66" s="71">
        <v>23</v>
      </c>
      <c r="F66" s="71">
        <v>1125614752</v>
      </c>
      <c r="G66" s="189">
        <v>46184</v>
      </c>
      <c r="H66" s="122">
        <v>30304202401663</v>
      </c>
      <c r="I66" s="268" t="s">
        <v>1734</v>
      </c>
      <c r="J66" s="267">
        <v>450</v>
      </c>
      <c r="K66" s="271">
        <f t="shared" si="0"/>
        <v>450</v>
      </c>
    </row>
    <row r="67" spans="2:11" ht="26" x14ac:dyDescent="0.6">
      <c r="B67" s="71">
        <v>66</v>
      </c>
      <c r="C67" s="71" t="s">
        <v>1063</v>
      </c>
      <c r="D67" s="121" t="s">
        <v>1271</v>
      </c>
      <c r="E67" s="71">
        <v>16</v>
      </c>
      <c r="F67" s="71">
        <v>1147938285</v>
      </c>
      <c r="G67" s="189">
        <v>46184</v>
      </c>
      <c r="H67" s="122">
        <v>30808152403021</v>
      </c>
      <c r="I67" s="268" t="s">
        <v>1734</v>
      </c>
      <c r="J67" s="267">
        <v>450</v>
      </c>
      <c r="K67" s="271">
        <f t="shared" si="0"/>
        <v>450</v>
      </c>
    </row>
    <row r="68" spans="2:11" ht="26" x14ac:dyDescent="0.6">
      <c r="B68" s="71">
        <v>67</v>
      </c>
      <c r="C68" s="71" t="s">
        <v>1064</v>
      </c>
      <c r="D68" s="121" t="s">
        <v>1271</v>
      </c>
      <c r="E68" s="71">
        <v>32</v>
      </c>
      <c r="F68" s="71">
        <v>1151311074</v>
      </c>
      <c r="G68" s="189">
        <v>46186</v>
      </c>
      <c r="H68" s="122">
        <v>29410152405815</v>
      </c>
      <c r="I68" s="268" t="s">
        <v>1733</v>
      </c>
      <c r="J68" s="267">
        <v>450</v>
      </c>
      <c r="K68" s="271">
        <f t="shared" si="0"/>
        <v>450</v>
      </c>
    </row>
    <row r="69" spans="2:11" ht="26" x14ac:dyDescent="0.6">
      <c r="B69" s="71">
        <v>68</v>
      </c>
      <c r="C69" s="71" t="s">
        <v>1065</v>
      </c>
      <c r="D69" s="121" t="s">
        <v>1271</v>
      </c>
      <c r="E69" s="71">
        <v>45</v>
      </c>
      <c r="F69" s="71">
        <v>1140881629</v>
      </c>
      <c r="G69" s="189">
        <v>46186</v>
      </c>
      <c r="H69" s="122">
        <v>31011222404509</v>
      </c>
      <c r="I69" s="268" t="s">
        <v>1733</v>
      </c>
      <c r="J69" s="267">
        <v>450</v>
      </c>
      <c r="K69" s="271">
        <f t="shared" si="0"/>
        <v>450</v>
      </c>
    </row>
    <row r="70" spans="2:11" ht="26" x14ac:dyDescent="0.6">
      <c r="B70" s="71">
        <v>69</v>
      </c>
      <c r="C70" s="71" t="s">
        <v>1066</v>
      </c>
      <c r="D70" s="121" t="s">
        <v>1271</v>
      </c>
      <c r="E70" s="71">
        <v>18</v>
      </c>
      <c r="F70" s="71">
        <v>1116544129</v>
      </c>
      <c r="G70" s="189">
        <v>46186</v>
      </c>
      <c r="H70" s="122">
        <v>31202262402207</v>
      </c>
      <c r="I70" s="268" t="s">
        <v>1733</v>
      </c>
      <c r="J70" s="267">
        <v>450</v>
      </c>
      <c r="K70" s="271">
        <f t="shared" si="0"/>
        <v>450</v>
      </c>
    </row>
    <row r="71" spans="2:11" ht="28.5" x14ac:dyDescent="0.65">
      <c r="B71" s="71">
        <v>70</v>
      </c>
      <c r="C71" s="84" t="s">
        <v>1067</v>
      </c>
      <c r="D71" s="121" t="s">
        <v>1271</v>
      </c>
      <c r="E71" s="84">
        <v>36</v>
      </c>
      <c r="F71" s="71">
        <v>1152479124</v>
      </c>
      <c r="G71" s="189">
        <v>46186</v>
      </c>
      <c r="H71" s="122">
        <v>29008062402644</v>
      </c>
      <c r="I71" s="268" t="s">
        <v>1733</v>
      </c>
      <c r="J71" s="267">
        <v>450</v>
      </c>
      <c r="K71" s="271">
        <f t="shared" ref="K71:K134" si="1">IF(J71="","",J71)</f>
        <v>450</v>
      </c>
    </row>
    <row r="72" spans="2:11" ht="28.5" x14ac:dyDescent="0.65">
      <c r="B72" s="71">
        <v>71</v>
      </c>
      <c r="C72" s="84" t="s">
        <v>1068</v>
      </c>
      <c r="D72" s="121" t="s">
        <v>1271</v>
      </c>
      <c r="E72" s="84">
        <v>21</v>
      </c>
      <c r="F72" s="71">
        <v>1271427762</v>
      </c>
      <c r="G72" s="189">
        <v>46186</v>
      </c>
      <c r="H72" s="122">
        <v>30607152403174</v>
      </c>
      <c r="I72" s="268" t="s">
        <v>1733</v>
      </c>
      <c r="J72" s="267">
        <v>450</v>
      </c>
      <c r="K72" s="271">
        <f t="shared" si="1"/>
        <v>450</v>
      </c>
    </row>
    <row r="73" spans="2:11" ht="28.5" x14ac:dyDescent="0.65">
      <c r="B73" s="71">
        <v>72</v>
      </c>
      <c r="C73" s="84" t="s">
        <v>1069</v>
      </c>
      <c r="D73" s="121" t="s">
        <v>1271</v>
      </c>
      <c r="E73" s="84">
        <v>34</v>
      </c>
      <c r="F73" s="71">
        <v>1102539990</v>
      </c>
      <c r="G73" s="189">
        <v>46186</v>
      </c>
      <c r="H73" s="122">
        <v>29201242401144</v>
      </c>
      <c r="I73" s="268" t="s">
        <v>1733</v>
      </c>
      <c r="J73" s="267">
        <v>450</v>
      </c>
      <c r="K73" s="271">
        <f t="shared" si="1"/>
        <v>450</v>
      </c>
    </row>
    <row r="74" spans="2:11" ht="28.5" x14ac:dyDescent="0.65">
      <c r="B74" s="71">
        <v>73</v>
      </c>
      <c r="C74" s="84" t="s">
        <v>1070</v>
      </c>
      <c r="D74" s="121" t="s">
        <v>1271</v>
      </c>
      <c r="E74" s="84">
        <v>29</v>
      </c>
      <c r="F74" s="71">
        <v>111569336</v>
      </c>
      <c r="G74" s="189">
        <v>46186</v>
      </c>
      <c r="H74" s="122">
        <v>29611112402207</v>
      </c>
      <c r="I74" s="268" t="s">
        <v>1733</v>
      </c>
      <c r="J74" s="267">
        <v>450</v>
      </c>
      <c r="K74" s="271">
        <f t="shared" si="1"/>
        <v>450</v>
      </c>
    </row>
    <row r="75" spans="2:11" ht="28.5" x14ac:dyDescent="0.65">
      <c r="B75" s="71">
        <v>74</v>
      </c>
      <c r="C75" s="84" t="s">
        <v>1071</v>
      </c>
      <c r="D75" s="121" t="s">
        <v>1731</v>
      </c>
      <c r="E75" s="84">
        <v>18</v>
      </c>
      <c r="F75" s="71">
        <v>1126265949</v>
      </c>
      <c r="G75" s="189">
        <v>46188</v>
      </c>
      <c r="H75" s="122">
        <v>30805242403544</v>
      </c>
      <c r="I75" s="268" t="s">
        <v>1734</v>
      </c>
      <c r="J75" s="267">
        <v>450</v>
      </c>
      <c r="K75" s="271">
        <f t="shared" si="1"/>
        <v>450</v>
      </c>
    </row>
    <row r="76" spans="2:11" ht="28.5" x14ac:dyDescent="0.65">
      <c r="B76" s="71">
        <v>75</v>
      </c>
      <c r="C76" s="84" t="s">
        <v>1072</v>
      </c>
      <c r="D76" s="121" t="s">
        <v>1731</v>
      </c>
      <c r="E76" s="84">
        <v>20</v>
      </c>
      <c r="F76" s="71">
        <v>1201298631</v>
      </c>
      <c r="G76" s="189">
        <v>46188</v>
      </c>
      <c r="H76" s="122">
        <v>30607212400633</v>
      </c>
      <c r="I76" s="268" t="s">
        <v>1734</v>
      </c>
      <c r="J76" s="267">
        <v>450</v>
      </c>
      <c r="K76" s="271">
        <f t="shared" si="1"/>
        <v>450</v>
      </c>
    </row>
    <row r="77" spans="2:11" ht="28.5" x14ac:dyDescent="0.65">
      <c r="B77" s="71">
        <v>76</v>
      </c>
      <c r="C77" s="84" t="s">
        <v>1073</v>
      </c>
      <c r="D77" s="121" t="s">
        <v>1731</v>
      </c>
      <c r="E77" s="84">
        <v>32</v>
      </c>
      <c r="F77" s="71">
        <v>1151749475</v>
      </c>
      <c r="G77" s="189">
        <v>46188</v>
      </c>
      <c r="H77" s="122">
        <v>29406012413268</v>
      </c>
      <c r="I77" s="268" t="s">
        <v>1734</v>
      </c>
      <c r="J77" s="267">
        <v>450</v>
      </c>
      <c r="K77" s="271">
        <f t="shared" si="1"/>
        <v>450</v>
      </c>
    </row>
    <row r="78" spans="2:11" ht="28.5" x14ac:dyDescent="0.65">
      <c r="B78" s="71">
        <v>77</v>
      </c>
      <c r="C78" s="84" t="s">
        <v>1074</v>
      </c>
      <c r="D78" s="121" t="s">
        <v>1731</v>
      </c>
      <c r="E78" s="84">
        <v>18</v>
      </c>
      <c r="F78" s="71">
        <v>1148273839</v>
      </c>
      <c r="G78" s="189">
        <v>46188</v>
      </c>
      <c r="H78" s="122">
        <v>30801252401412</v>
      </c>
      <c r="I78" s="268" t="s">
        <v>1734</v>
      </c>
      <c r="J78" s="267">
        <v>450</v>
      </c>
      <c r="K78" s="271">
        <f t="shared" si="1"/>
        <v>450</v>
      </c>
    </row>
    <row r="79" spans="2:11" ht="28.5" x14ac:dyDescent="0.65">
      <c r="B79" s="71">
        <v>78</v>
      </c>
      <c r="C79" s="84" t="s">
        <v>1075</v>
      </c>
      <c r="D79" s="121" t="s">
        <v>1731</v>
      </c>
      <c r="E79" s="84">
        <v>57</v>
      </c>
      <c r="F79" s="71">
        <v>1121689192</v>
      </c>
      <c r="G79" s="189">
        <v>46188</v>
      </c>
      <c r="H79" s="122">
        <v>26905072402155</v>
      </c>
      <c r="I79" s="268" t="s">
        <v>1734</v>
      </c>
      <c r="J79" s="267">
        <v>450</v>
      </c>
      <c r="K79" s="271">
        <f t="shared" si="1"/>
        <v>450</v>
      </c>
    </row>
    <row r="80" spans="2:11" ht="28.5" x14ac:dyDescent="0.65">
      <c r="B80" s="71">
        <v>79</v>
      </c>
      <c r="C80" s="84" t="s">
        <v>1076</v>
      </c>
      <c r="D80" s="121" t="s">
        <v>1731</v>
      </c>
      <c r="E80" s="84">
        <v>28</v>
      </c>
      <c r="F80" s="71">
        <v>1122720198</v>
      </c>
      <c r="G80" s="189">
        <v>46191</v>
      </c>
      <c r="H80" s="122">
        <v>29808032201837</v>
      </c>
      <c r="I80" s="268" t="s">
        <v>1734</v>
      </c>
      <c r="J80" s="267">
        <v>450</v>
      </c>
      <c r="K80" s="271">
        <f t="shared" si="1"/>
        <v>450</v>
      </c>
    </row>
    <row r="81" spans="2:11" ht="28.5" x14ac:dyDescent="0.65">
      <c r="B81" s="71">
        <v>80</v>
      </c>
      <c r="C81" s="84" t="s">
        <v>1077</v>
      </c>
      <c r="D81" s="121" t="s">
        <v>1731</v>
      </c>
      <c r="E81" s="84">
        <v>11</v>
      </c>
      <c r="F81" s="71">
        <v>1102847667</v>
      </c>
      <c r="G81" s="189">
        <v>46191</v>
      </c>
      <c r="H81" s="122">
        <v>30711102401091</v>
      </c>
      <c r="I81" s="268" t="s">
        <v>1734</v>
      </c>
      <c r="J81" s="267">
        <v>450</v>
      </c>
      <c r="K81" s="271">
        <f t="shared" si="1"/>
        <v>450</v>
      </c>
    </row>
    <row r="82" spans="2:11" ht="28.5" x14ac:dyDescent="0.65">
      <c r="B82" s="71">
        <v>81</v>
      </c>
      <c r="C82" s="84" t="s">
        <v>1078</v>
      </c>
      <c r="D82" s="121" t="s">
        <v>459</v>
      </c>
      <c r="E82" s="84">
        <v>31</v>
      </c>
      <c r="F82" s="71">
        <v>1114545395</v>
      </c>
      <c r="G82" s="189">
        <v>46191</v>
      </c>
      <c r="H82" s="122">
        <v>31411262400881</v>
      </c>
      <c r="I82" s="268" t="s">
        <v>1734</v>
      </c>
      <c r="J82" s="267">
        <v>450</v>
      </c>
      <c r="K82" s="271">
        <f t="shared" si="1"/>
        <v>450</v>
      </c>
    </row>
    <row r="83" spans="2:11" ht="28.5" x14ac:dyDescent="0.65">
      <c r="B83" s="71">
        <v>82</v>
      </c>
      <c r="C83" s="84" t="s">
        <v>1079</v>
      </c>
      <c r="D83" s="121" t="s">
        <v>459</v>
      </c>
      <c r="E83" s="84">
        <v>29</v>
      </c>
      <c r="F83" s="71">
        <v>1021861904</v>
      </c>
      <c r="G83" s="189">
        <v>46191</v>
      </c>
      <c r="H83" s="122">
        <v>29501072404201</v>
      </c>
      <c r="I83" s="268" t="s">
        <v>1734</v>
      </c>
      <c r="J83" s="267">
        <v>450</v>
      </c>
      <c r="K83" s="271">
        <f t="shared" si="1"/>
        <v>450</v>
      </c>
    </row>
    <row r="84" spans="2:11" ht="28.5" x14ac:dyDescent="0.65">
      <c r="B84" s="71">
        <v>83</v>
      </c>
      <c r="C84" s="84" t="s">
        <v>1080</v>
      </c>
      <c r="D84" s="121" t="s">
        <v>459</v>
      </c>
      <c r="E84" s="84">
        <v>19</v>
      </c>
      <c r="F84" s="71">
        <v>1013312437</v>
      </c>
      <c r="G84" s="189">
        <v>46191</v>
      </c>
      <c r="H84" s="122">
        <v>29708072402458</v>
      </c>
      <c r="I84" s="268" t="s">
        <v>1734</v>
      </c>
      <c r="J84" s="267">
        <v>450</v>
      </c>
      <c r="K84" s="271">
        <f t="shared" si="1"/>
        <v>450</v>
      </c>
    </row>
    <row r="85" spans="2:11" ht="28.5" x14ac:dyDescent="0.65">
      <c r="B85" s="71">
        <v>84</v>
      </c>
      <c r="C85" s="84" t="s">
        <v>1081</v>
      </c>
      <c r="D85" s="121" t="s">
        <v>459</v>
      </c>
      <c r="E85" s="84">
        <v>23</v>
      </c>
      <c r="F85" s="71">
        <v>1228528495</v>
      </c>
      <c r="G85" s="189">
        <v>46191</v>
      </c>
      <c r="H85" s="122">
        <v>30705272401142</v>
      </c>
      <c r="I85" s="268" t="s">
        <v>1734</v>
      </c>
      <c r="J85" s="267">
        <v>450</v>
      </c>
      <c r="K85" s="271">
        <f t="shared" si="1"/>
        <v>450</v>
      </c>
    </row>
    <row r="86" spans="2:11" ht="28.5" x14ac:dyDescent="0.65">
      <c r="B86" s="71">
        <v>85</v>
      </c>
      <c r="C86" s="84" t="s">
        <v>1082</v>
      </c>
      <c r="D86" s="121" t="s">
        <v>459</v>
      </c>
      <c r="E86" s="84">
        <v>24</v>
      </c>
      <c r="F86" s="71">
        <v>1101131529</v>
      </c>
      <c r="G86" s="189">
        <v>46193</v>
      </c>
      <c r="H86" s="122">
        <v>30304012401284</v>
      </c>
      <c r="I86" s="268" t="s">
        <v>1733</v>
      </c>
      <c r="J86" s="267">
        <v>450</v>
      </c>
      <c r="K86" s="271">
        <f t="shared" si="1"/>
        <v>450</v>
      </c>
    </row>
    <row r="87" spans="2:11" ht="28.5" x14ac:dyDescent="0.65">
      <c r="B87" s="71">
        <v>86</v>
      </c>
      <c r="C87" s="84" t="s">
        <v>1083</v>
      </c>
      <c r="D87" s="121" t="s">
        <v>459</v>
      </c>
      <c r="E87" s="84">
        <v>44</v>
      </c>
      <c r="F87" s="71">
        <v>1151175827</v>
      </c>
      <c r="G87" s="189">
        <v>46193</v>
      </c>
      <c r="H87" s="122">
        <v>30201052400643</v>
      </c>
      <c r="I87" s="268" t="s">
        <v>1733</v>
      </c>
      <c r="J87" s="267">
        <v>450</v>
      </c>
      <c r="K87" s="271">
        <f t="shared" si="1"/>
        <v>450</v>
      </c>
    </row>
    <row r="88" spans="2:11" ht="28.5" x14ac:dyDescent="0.65">
      <c r="B88" s="71">
        <v>87</v>
      </c>
      <c r="C88" s="84" t="s">
        <v>1084</v>
      </c>
      <c r="D88" s="121" t="s">
        <v>459</v>
      </c>
      <c r="E88" s="84">
        <v>29</v>
      </c>
      <c r="F88" s="71">
        <v>1145907784</v>
      </c>
      <c r="G88" s="189">
        <v>46193</v>
      </c>
      <c r="H88" s="122">
        <v>28201222401667</v>
      </c>
      <c r="I88" s="268" t="s">
        <v>1733</v>
      </c>
      <c r="J88" s="267">
        <v>450</v>
      </c>
      <c r="K88" s="271">
        <f t="shared" si="1"/>
        <v>450</v>
      </c>
    </row>
    <row r="89" spans="2:11" ht="28.5" x14ac:dyDescent="0.65">
      <c r="B89" s="71">
        <v>88</v>
      </c>
      <c r="C89" s="84" t="s">
        <v>1085</v>
      </c>
      <c r="D89" s="121" t="s">
        <v>459</v>
      </c>
      <c r="E89" s="84">
        <v>23</v>
      </c>
      <c r="F89" s="71">
        <v>1288886025</v>
      </c>
      <c r="G89" s="189">
        <v>46193</v>
      </c>
      <c r="H89" s="122">
        <v>29706222602237</v>
      </c>
      <c r="I89" s="268" t="s">
        <v>1733</v>
      </c>
      <c r="J89" s="267">
        <v>450</v>
      </c>
      <c r="K89" s="271">
        <f t="shared" si="1"/>
        <v>450</v>
      </c>
    </row>
    <row r="90" spans="2:11" ht="28.5" x14ac:dyDescent="0.65">
      <c r="B90" s="71">
        <v>89</v>
      </c>
      <c r="C90" s="84" t="s">
        <v>1086</v>
      </c>
      <c r="D90" s="121" t="s">
        <v>459</v>
      </c>
      <c r="E90" s="84">
        <v>29</v>
      </c>
      <c r="F90" s="71">
        <v>1061546084</v>
      </c>
      <c r="G90" s="189">
        <v>46193</v>
      </c>
      <c r="H90" s="122">
        <v>30209172401105</v>
      </c>
      <c r="I90" s="268" t="s">
        <v>1733</v>
      </c>
      <c r="J90" s="267">
        <v>450</v>
      </c>
      <c r="K90" s="271">
        <f t="shared" si="1"/>
        <v>450</v>
      </c>
    </row>
    <row r="91" spans="2:11" ht="28.5" x14ac:dyDescent="0.65">
      <c r="B91" s="71">
        <v>90</v>
      </c>
      <c r="C91" s="84" t="s">
        <v>1087</v>
      </c>
      <c r="D91" s="121" t="s">
        <v>1731</v>
      </c>
      <c r="E91" s="84">
        <v>68</v>
      </c>
      <c r="F91" s="71">
        <v>1140608440</v>
      </c>
      <c r="G91" s="189">
        <v>46195</v>
      </c>
      <c r="H91" s="122">
        <v>29701242401201</v>
      </c>
      <c r="I91" s="268" t="s">
        <v>1734</v>
      </c>
      <c r="J91" s="267">
        <v>450</v>
      </c>
      <c r="K91" s="271">
        <f t="shared" si="1"/>
        <v>450</v>
      </c>
    </row>
    <row r="92" spans="2:11" ht="28.5" x14ac:dyDescent="0.65">
      <c r="B92" s="71">
        <v>91</v>
      </c>
      <c r="C92" s="84" t="s">
        <v>1088</v>
      </c>
      <c r="D92" s="121" t="s">
        <v>1731</v>
      </c>
      <c r="E92" s="84">
        <v>35</v>
      </c>
      <c r="F92" s="71">
        <v>1278779851</v>
      </c>
      <c r="G92" s="189">
        <v>46195</v>
      </c>
      <c r="H92" s="122">
        <v>2428106142402250</v>
      </c>
      <c r="I92" s="268" t="s">
        <v>1734</v>
      </c>
      <c r="J92" s="267">
        <v>450</v>
      </c>
      <c r="K92" s="271">
        <f t="shared" si="1"/>
        <v>450</v>
      </c>
    </row>
    <row r="93" spans="2:11" ht="28.5" x14ac:dyDescent="0.65">
      <c r="B93" s="71">
        <v>92</v>
      </c>
      <c r="C93" s="84" t="s">
        <v>1089</v>
      </c>
      <c r="D93" s="121" t="s">
        <v>1731</v>
      </c>
      <c r="E93" s="84">
        <v>19</v>
      </c>
      <c r="F93" s="84">
        <v>1147525905</v>
      </c>
      <c r="G93" s="189">
        <v>46195</v>
      </c>
      <c r="H93" s="122">
        <v>29106172401882</v>
      </c>
      <c r="I93" s="268" t="s">
        <v>1734</v>
      </c>
      <c r="J93" s="267">
        <v>450</v>
      </c>
      <c r="K93" s="271">
        <f t="shared" si="1"/>
        <v>450</v>
      </c>
    </row>
    <row r="94" spans="2:11" ht="28.5" x14ac:dyDescent="0.65">
      <c r="B94" s="71">
        <v>93</v>
      </c>
      <c r="C94" s="84" t="s">
        <v>1090</v>
      </c>
      <c r="D94" s="121" t="s">
        <v>1731</v>
      </c>
      <c r="E94" s="84">
        <v>33</v>
      </c>
      <c r="F94" s="71">
        <v>1021867437</v>
      </c>
      <c r="G94" s="189">
        <v>46195</v>
      </c>
      <c r="H94" s="122">
        <v>30703152402436</v>
      </c>
      <c r="I94" s="268" t="s">
        <v>1734</v>
      </c>
      <c r="J94" s="267">
        <v>450</v>
      </c>
      <c r="K94" s="271">
        <f t="shared" si="1"/>
        <v>450</v>
      </c>
    </row>
    <row r="95" spans="2:11" ht="25.5" customHeight="1" x14ac:dyDescent="0.6">
      <c r="B95" s="71">
        <v>94</v>
      </c>
      <c r="C95" s="129" t="s">
        <v>1091</v>
      </c>
      <c r="D95" s="121" t="s">
        <v>1731</v>
      </c>
      <c r="E95" s="129">
        <v>19</v>
      </c>
      <c r="F95" s="128">
        <v>1104856297</v>
      </c>
      <c r="G95" s="189">
        <v>46195</v>
      </c>
      <c r="H95" s="122">
        <v>29306232400367</v>
      </c>
      <c r="I95" s="268" t="s">
        <v>1734</v>
      </c>
      <c r="J95" s="267">
        <v>450</v>
      </c>
      <c r="K95" s="271">
        <f t="shared" si="1"/>
        <v>450</v>
      </c>
    </row>
    <row r="96" spans="2:11" ht="28.5" x14ac:dyDescent="0.65">
      <c r="B96" s="71">
        <v>95</v>
      </c>
      <c r="C96" s="84" t="s">
        <v>1092</v>
      </c>
      <c r="D96" s="121" t="s">
        <v>1731</v>
      </c>
      <c r="E96" s="84">
        <v>22</v>
      </c>
      <c r="F96" s="71">
        <v>1117346425</v>
      </c>
      <c r="G96" s="189">
        <v>46195</v>
      </c>
      <c r="H96" s="122">
        <v>30609102400282</v>
      </c>
      <c r="I96" s="268" t="s">
        <v>1734</v>
      </c>
      <c r="J96" s="267">
        <v>450</v>
      </c>
      <c r="K96" s="271">
        <f t="shared" si="1"/>
        <v>450</v>
      </c>
    </row>
    <row r="97" spans="2:11" ht="28.5" x14ac:dyDescent="0.65">
      <c r="B97" s="71">
        <v>96</v>
      </c>
      <c r="C97" s="84" t="s">
        <v>1093</v>
      </c>
      <c r="D97" s="121" t="s">
        <v>1731</v>
      </c>
      <c r="E97" s="84">
        <v>45</v>
      </c>
      <c r="F97" s="71">
        <v>1036162656</v>
      </c>
      <c r="G97" s="189">
        <v>46195</v>
      </c>
      <c r="H97" s="122">
        <v>30406062402513</v>
      </c>
      <c r="I97" s="268" t="s">
        <v>1734</v>
      </c>
      <c r="J97" s="267">
        <v>450</v>
      </c>
      <c r="K97" s="271">
        <f t="shared" si="1"/>
        <v>450</v>
      </c>
    </row>
    <row r="98" spans="2:11" ht="28.5" x14ac:dyDescent="0.65">
      <c r="B98" s="71">
        <v>97</v>
      </c>
      <c r="C98" s="84" t="s">
        <v>1094</v>
      </c>
      <c r="D98" s="121" t="s">
        <v>459</v>
      </c>
      <c r="E98" s="84">
        <v>19</v>
      </c>
      <c r="F98" s="71">
        <v>1124359589</v>
      </c>
      <c r="G98" s="189">
        <v>46198</v>
      </c>
      <c r="H98" s="122">
        <v>28012012202982</v>
      </c>
      <c r="I98" s="268" t="s">
        <v>1734</v>
      </c>
      <c r="J98" s="267">
        <v>450</v>
      </c>
      <c r="K98" s="271">
        <f t="shared" si="1"/>
        <v>450</v>
      </c>
    </row>
    <row r="99" spans="2:11" ht="28.5" x14ac:dyDescent="0.65">
      <c r="B99" s="71">
        <v>98</v>
      </c>
      <c r="C99" s="84" t="s">
        <v>1095</v>
      </c>
      <c r="D99" s="121" t="s">
        <v>459</v>
      </c>
      <c r="E99" s="84">
        <v>42</v>
      </c>
      <c r="F99" s="71">
        <v>1030629425</v>
      </c>
      <c r="G99" s="189">
        <v>46198</v>
      </c>
      <c r="H99" s="122">
        <v>30610292403124</v>
      </c>
      <c r="I99" s="268" t="s">
        <v>1734</v>
      </c>
      <c r="J99" s="267">
        <v>450</v>
      </c>
      <c r="K99" s="271">
        <f t="shared" si="1"/>
        <v>450</v>
      </c>
    </row>
    <row r="100" spans="2:11" ht="28.5" x14ac:dyDescent="0.65">
      <c r="B100" s="71">
        <v>99</v>
      </c>
      <c r="C100" s="84" t="s">
        <v>1096</v>
      </c>
      <c r="D100" s="121" t="s">
        <v>459</v>
      </c>
      <c r="E100" s="84">
        <v>14</v>
      </c>
      <c r="F100" s="71">
        <v>1155396082</v>
      </c>
      <c r="G100" s="189">
        <v>46198</v>
      </c>
      <c r="H100" s="122">
        <v>28312062201557</v>
      </c>
      <c r="I100" s="268" t="s">
        <v>1734</v>
      </c>
      <c r="J100" s="267">
        <v>450</v>
      </c>
      <c r="K100" s="271">
        <f t="shared" si="1"/>
        <v>450</v>
      </c>
    </row>
    <row r="101" spans="2:11" ht="28.5" x14ac:dyDescent="0.65">
      <c r="B101" s="71">
        <v>100</v>
      </c>
      <c r="C101" s="84" t="s">
        <v>1097</v>
      </c>
      <c r="D101" s="121" t="s">
        <v>459</v>
      </c>
      <c r="E101" s="84">
        <v>37</v>
      </c>
      <c r="F101" s="71">
        <v>1279841933</v>
      </c>
      <c r="G101" s="189">
        <v>46198</v>
      </c>
      <c r="H101" s="122">
        <v>31111012401301</v>
      </c>
      <c r="I101" s="268" t="s">
        <v>1734</v>
      </c>
      <c r="J101" s="267">
        <v>450</v>
      </c>
      <c r="K101" s="271">
        <f t="shared" si="1"/>
        <v>450</v>
      </c>
    </row>
    <row r="102" spans="2:11" ht="28.5" x14ac:dyDescent="0.65">
      <c r="B102" s="71">
        <v>101</v>
      </c>
      <c r="C102" s="84" t="s">
        <v>1098</v>
      </c>
      <c r="D102" s="121" t="s">
        <v>459</v>
      </c>
      <c r="E102" s="84">
        <v>33</v>
      </c>
      <c r="F102" s="71">
        <v>1116817523</v>
      </c>
      <c r="G102" s="189">
        <v>46198</v>
      </c>
      <c r="H102" s="122">
        <v>29107262401381</v>
      </c>
      <c r="I102" s="268" t="s">
        <v>1734</v>
      </c>
      <c r="J102" s="267">
        <v>450</v>
      </c>
      <c r="K102" s="271">
        <f t="shared" si="1"/>
        <v>450</v>
      </c>
    </row>
    <row r="103" spans="2:11" ht="28.5" x14ac:dyDescent="0.65">
      <c r="B103" s="71">
        <v>102</v>
      </c>
      <c r="C103" s="84" t="s">
        <v>1099</v>
      </c>
      <c r="D103" s="121" t="s">
        <v>459</v>
      </c>
      <c r="E103" s="84">
        <v>18</v>
      </c>
      <c r="F103" s="71">
        <v>1111022796</v>
      </c>
      <c r="G103" s="189">
        <v>46198</v>
      </c>
      <c r="H103" s="122">
        <v>29209062403107</v>
      </c>
      <c r="I103" s="268" t="s">
        <v>1734</v>
      </c>
      <c r="J103" s="267">
        <v>450</v>
      </c>
      <c r="K103" s="271">
        <f t="shared" si="1"/>
        <v>450</v>
      </c>
    </row>
    <row r="104" spans="2:11" ht="28.5" x14ac:dyDescent="0.65">
      <c r="B104" s="71">
        <v>103</v>
      </c>
      <c r="C104" s="84" t="s">
        <v>1100</v>
      </c>
      <c r="D104" s="121" t="s">
        <v>459</v>
      </c>
      <c r="E104" s="84">
        <v>20</v>
      </c>
      <c r="F104" s="71">
        <v>15593343856</v>
      </c>
      <c r="G104" s="189">
        <v>46198</v>
      </c>
      <c r="H104" s="122">
        <v>30710282200092</v>
      </c>
      <c r="I104" s="268" t="s">
        <v>1734</v>
      </c>
      <c r="J104" s="267">
        <v>450</v>
      </c>
      <c r="K104" s="271">
        <f t="shared" si="1"/>
        <v>450</v>
      </c>
    </row>
    <row r="105" spans="2:11" ht="28.5" x14ac:dyDescent="0.65">
      <c r="B105" s="71">
        <v>104</v>
      </c>
      <c r="C105" s="84" t="s">
        <v>1101</v>
      </c>
      <c r="D105" s="121" t="s">
        <v>459</v>
      </c>
      <c r="E105" s="84">
        <v>20</v>
      </c>
      <c r="F105" s="71">
        <v>1146682182</v>
      </c>
      <c r="G105" s="189">
        <v>46198</v>
      </c>
      <c r="H105" s="122">
        <v>30606192400147</v>
      </c>
      <c r="I105" s="268" t="s">
        <v>1734</v>
      </c>
      <c r="J105" s="267">
        <v>450</v>
      </c>
      <c r="K105" s="271">
        <f t="shared" si="1"/>
        <v>450</v>
      </c>
    </row>
    <row r="106" spans="2:11" ht="28.5" x14ac:dyDescent="0.65">
      <c r="B106" s="71">
        <v>105</v>
      </c>
      <c r="C106" s="84" t="s">
        <v>1102</v>
      </c>
      <c r="D106" s="121" t="s">
        <v>459</v>
      </c>
      <c r="E106" s="84">
        <v>28</v>
      </c>
      <c r="F106" s="71">
        <v>1017876963</v>
      </c>
      <c r="G106" s="189">
        <v>46200</v>
      </c>
      <c r="H106" s="122">
        <v>29709042402301</v>
      </c>
      <c r="I106" s="268" t="s">
        <v>1733</v>
      </c>
      <c r="J106" s="267">
        <v>450</v>
      </c>
      <c r="K106" s="271">
        <f t="shared" si="1"/>
        <v>450</v>
      </c>
    </row>
    <row r="107" spans="2:11" ht="28.5" x14ac:dyDescent="0.65">
      <c r="B107" s="71">
        <v>106</v>
      </c>
      <c r="C107" s="84" t="s">
        <v>1103</v>
      </c>
      <c r="D107" s="121" t="s">
        <v>459</v>
      </c>
      <c r="E107" s="84">
        <v>28</v>
      </c>
      <c r="F107" s="71">
        <v>1098609049</v>
      </c>
      <c r="G107" s="189">
        <v>46200</v>
      </c>
      <c r="H107" s="122">
        <v>29712052402078</v>
      </c>
      <c r="I107" s="268" t="s">
        <v>1733</v>
      </c>
      <c r="J107" s="267">
        <v>450</v>
      </c>
      <c r="K107" s="271">
        <f t="shared" si="1"/>
        <v>450</v>
      </c>
    </row>
    <row r="108" spans="2:11" ht="28.5" x14ac:dyDescent="0.65">
      <c r="B108" s="71">
        <v>107</v>
      </c>
      <c r="C108" s="84" t="s">
        <v>1104</v>
      </c>
      <c r="D108" s="84" t="s">
        <v>1443</v>
      </c>
      <c r="E108" s="84">
        <v>23</v>
      </c>
      <c r="F108" s="71">
        <v>1112683581</v>
      </c>
      <c r="G108" s="189">
        <v>46200</v>
      </c>
      <c r="H108" s="122">
        <v>30209272400971</v>
      </c>
      <c r="I108" s="268" t="s">
        <v>1733</v>
      </c>
      <c r="J108" s="267">
        <v>450</v>
      </c>
      <c r="K108" s="271">
        <f t="shared" si="1"/>
        <v>450</v>
      </c>
    </row>
    <row r="109" spans="2:11" ht="28.5" x14ac:dyDescent="0.65">
      <c r="B109" s="71">
        <v>108</v>
      </c>
      <c r="C109" s="84" t="s">
        <v>1105</v>
      </c>
      <c r="D109" s="84" t="s">
        <v>1443</v>
      </c>
      <c r="E109" s="84">
        <v>18</v>
      </c>
      <c r="F109" s="71">
        <v>1063340256</v>
      </c>
      <c r="G109" s="189">
        <v>46200</v>
      </c>
      <c r="H109" s="122">
        <v>30805062400512</v>
      </c>
      <c r="I109" s="268" t="s">
        <v>1733</v>
      </c>
      <c r="J109" s="267">
        <v>450</v>
      </c>
      <c r="K109" s="271">
        <f t="shared" si="1"/>
        <v>450</v>
      </c>
    </row>
    <row r="110" spans="2:11" ht="28.5" x14ac:dyDescent="0.65">
      <c r="B110" s="71">
        <v>109</v>
      </c>
      <c r="C110" s="84" t="s">
        <v>1106</v>
      </c>
      <c r="D110" s="84" t="s">
        <v>1443</v>
      </c>
      <c r="E110" s="84">
        <v>37</v>
      </c>
      <c r="F110" s="71">
        <v>1553764036</v>
      </c>
      <c r="G110" s="189">
        <v>46200</v>
      </c>
      <c r="H110" s="122">
        <v>28901142404284</v>
      </c>
      <c r="I110" s="268" t="s">
        <v>1733</v>
      </c>
      <c r="J110" s="267">
        <v>450</v>
      </c>
      <c r="K110" s="271">
        <f t="shared" si="1"/>
        <v>450</v>
      </c>
    </row>
    <row r="111" spans="2:11" ht="28.5" x14ac:dyDescent="0.65">
      <c r="B111" s="71">
        <v>110</v>
      </c>
      <c r="C111" s="84" t="s">
        <v>1107</v>
      </c>
      <c r="D111" s="84" t="s">
        <v>1443</v>
      </c>
      <c r="E111" s="84">
        <v>19</v>
      </c>
      <c r="F111" s="71">
        <v>1147133185</v>
      </c>
      <c r="G111" s="189">
        <v>46200</v>
      </c>
      <c r="H111" s="122">
        <v>30609142400188</v>
      </c>
      <c r="I111" s="268" t="s">
        <v>1733</v>
      </c>
      <c r="J111" s="267">
        <v>450</v>
      </c>
      <c r="K111" s="271">
        <f t="shared" si="1"/>
        <v>450</v>
      </c>
    </row>
    <row r="112" spans="2:11" ht="28.5" x14ac:dyDescent="0.65">
      <c r="B112" s="71">
        <v>111</v>
      </c>
      <c r="C112" s="84" t="s">
        <v>1108</v>
      </c>
      <c r="D112" s="84" t="s">
        <v>1443</v>
      </c>
      <c r="E112" s="84">
        <v>34</v>
      </c>
      <c r="F112" s="71">
        <v>1157225279</v>
      </c>
      <c r="G112" s="189">
        <v>46200</v>
      </c>
      <c r="H112" s="122">
        <v>29205102202252</v>
      </c>
      <c r="I112" s="268" t="s">
        <v>1733</v>
      </c>
      <c r="J112" s="267">
        <v>450</v>
      </c>
      <c r="K112" s="271">
        <f t="shared" si="1"/>
        <v>450</v>
      </c>
    </row>
    <row r="113" spans="2:11" ht="28.5" x14ac:dyDescent="0.65">
      <c r="B113" s="71">
        <v>112</v>
      </c>
      <c r="C113" s="84" t="s">
        <v>1109</v>
      </c>
      <c r="D113" s="121" t="s">
        <v>459</v>
      </c>
      <c r="E113" s="84">
        <v>15</v>
      </c>
      <c r="F113" s="71">
        <v>1124786088</v>
      </c>
      <c r="G113" s="189">
        <v>46200</v>
      </c>
      <c r="H113" s="122">
        <v>31101312400218</v>
      </c>
      <c r="I113" s="268" t="s">
        <v>1733</v>
      </c>
      <c r="J113" s="267">
        <v>450</v>
      </c>
      <c r="K113" s="271">
        <f t="shared" si="1"/>
        <v>450</v>
      </c>
    </row>
    <row r="114" spans="2:11" ht="28.5" x14ac:dyDescent="0.65">
      <c r="B114" s="71">
        <v>113</v>
      </c>
      <c r="C114" s="84" t="s">
        <v>1110</v>
      </c>
      <c r="D114" s="121" t="s">
        <v>459</v>
      </c>
      <c r="E114" s="84">
        <v>17</v>
      </c>
      <c r="F114" s="71">
        <v>1120421000</v>
      </c>
      <c r="G114" s="189">
        <v>46200</v>
      </c>
      <c r="H114" s="122">
        <v>30901012406063</v>
      </c>
      <c r="I114" s="268" t="s">
        <v>1733</v>
      </c>
      <c r="J114" s="267">
        <v>450</v>
      </c>
      <c r="K114" s="271">
        <f t="shared" si="1"/>
        <v>450</v>
      </c>
    </row>
    <row r="115" spans="2:11" ht="28.5" x14ac:dyDescent="0.65">
      <c r="B115" s="71">
        <v>114</v>
      </c>
      <c r="C115" s="84" t="s">
        <v>1111</v>
      </c>
      <c r="D115" s="121" t="s">
        <v>459</v>
      </c>
      <c r="E115" s="84">
        <v>13</v>
      </c>
      <c r="F115" s="71">
        <v>1102043980</v>
      </c>
      <c r="G115" s="189">
        <v>46200</v>
      </c>
      <c r="H115" s="122">
        <v>31306282403161</v>
      </c>
      <c r="I115" s="268" t="s">
        <v>1733</v>
      </c>
      <c r="J115" s="267">
        <v>450</v>
      </c>
      <c r="K115" s="271">
        <f t="shared" si="1"/>
        <v>450</v>
      </c>
    </row>
    <row r="116" spans="2:11" ht="28.5" x14ac:dyDescent="0.65">
      <c r="B116" s="71">
        <v>115</v>
      </c>
      <c r="C116" s="84" t="s">
        <v>1112</v>
      </c>
      <c r="D116" s="121" t="s">
        <v>459</v>
      </c>
      <c r="E116" s="84">
        <v>28</v>
      </c>
      <c r="F116" s="71">
        <v>1127205426</v>
      </c>
      <c r="G116" s="189">
        <v>46200</v>
      </c>
      <c r="H116" s="122">
        <v>29807152404948</v>
      </c>
      <c r="I116" s="268" t="s">
        <v>1733</v>
      </c>
      <c r="J116" s="267">
        <v>450</v>
      </c>
      <c r="K116" s="271">
        <f t="shared" si="1"/>
        <v>450</v>
      </c>
    </row>
    <row r="117" spans="2:11" ht="28.5" x14ac:dyDescent="0.65">
      <c r="B117" s="71">
        <v>116</v>
      </c>
      <c r="C117" s="84" t="s">
        <v>1113</v>
      </c>
      <c r="D117" s="121" t="s">
        <v>459</v>
      </c>
      <c r="E117" s="84">
        <v>44</v>
      </c>
      <c r="F117" s="71">
        <v>1112129998</v>
      </c>
      <c r="G117" s="189">
        <v>46202</v>
      </c>
      <c r="H117" s="122">
        <v>28201292401141</v>
      </c>
      <c r="I117" s="268" t="s">
        <v>1734</v>
      </c>
      <c r="J117" s="267">
        <v>450</v>
      </c>
      <c r="K117" s="271">
        <f t="shared" si="1"/>
        <v>450</v>
      </c>
    </row>
    <row r="118" spans="2:11" ht="28.5" x14ac:dyDescent="0.65">
      <c r="B118" s="71">
        <v>117</v>
      </c>
      <c r="C118" s="84" t="s">
        <v>1114</v>
      </c>
      <c r="D118" s="121" t="s">
        <v>459</v>
      </c>
      <c r="E118" s="84">
        <v>30</v>
      </c>
      <c r="F118" s="71">
        <v>1122495241</v>
      </c>
      <c r="G118" s="189">
        <v>46202</v>
      </c>
      <c r="H118" s="122">
        <v>29603172200228</v>
      </c>
      <c r="I118" s="268" t="s">
        <v>1734</v>
      </c>
      <c r="J118" s="267">
        <v>450</v>
      </c>
      <c r="K118" s="271">
        <f t="shared" si="1"/>
        <v>450</v>
      </c>
    </row>
    <row r="119" spans="2:11" ht="28.5" x14ac:dyDescent="0.65">
      <c r="B119" s="71">
        <v>118</v>
      </c>
      <c r="C119" s="84" t="s">
        <v>1115</v>
      </c>
      <c r="D119" s="121" t="s">
        <v>459</v>
      </c>
      <c r="E119" s="84">
        <v>36</v>
      </c>
      <c r="F119" s="71">
        <v>1286551878</v>
      </c>
      <c r="G119" s="189">
        <v>46202</v>
      </c>
      <c r="H119" s="122">
        <v>28911012408364</v>
      </c>
      <c r="I119" s="268" t="s">
        <v>1734</v>
      </c>
      <c r="J119" s="267">
        <v>450</v>
      </c>
      <c r="K119" s="271">
        <f t="shared" si="1"/>
        <v>450</v>
      </c>
    </row>
    <row r="120" spans="2:11" ht="28.5" x14ac:dyDescent="0.65">
      <c r="B120" s="71">
        <v>119</v>
      </c>
      <c r="C120" s="84" t="s">
        <v>1116</v>
      </c>
      <c r="D120" s="121" t="s">
        <v>459</v>
      </c>
      <c r="E120" s="84">
        <v>17</v>
      </c>
      <c r="F120" s="71">
        <v>1125855294</v>
      </c>
      <c r="G120" s="189">
        <v>46202</v>
      </c>
      <c r="H120" s="122">
        <v>30907102401182</v>
      </c>
      <c r="I120" s="268" t="s">
        <v>1734</v>
      </c>
      <c r="J120" s="267">
        <v>450</v>
      </c>
      <c r="K120" s="271">
        <f t="shared" si="1"/>
        <v>450</v>
      </c>
    </row>
    <row r="121" spans="2:11" ht="28.5" x14ac:dyDescent="0.65">
      <c r="B121" s="71">
        <v>120</v>
      </c>
      <c r="C121" s="84" t="s">
        <v>1117</v>
      </c>
      <c r="D121" s="121" t="s">
        <v>459</v>
      </c>
      <c r="E121" s="84">
        <v>29</v>
      </c>
      <c r="F121" s="71">
        <v>1121574571</v>
      </c>
      <c r="G121" s="189">
        <v>46202</v>
      </c>
      <c r="H121" s="122">
        <v>29703112400621</v>
      </c>
      <c r="I121" s="268" t="s">
        <v>1734</v>
      </c>
      <c r="J121" s="267">
        <v>450</v>
      </c>
      <c r="K121" s="271">
        <f t="shared" si="1"/>
        <v>450</v>
      </c>
    </row>
    <row r="122" spans="2:11" ht="28.5" x14ac:dyDescent="0.65">
      <c r="B122" s="71">
        <v>121</v>
      </c>
      <c r="C122" s="84" t="s">
        <v>1118</v>
      </c>
      <c r="D122" s="121" t="s">
        <v>459</v>
      </c>
      <c r="E122" s="84">
        <v>18</v>
      </c>
      <c r="F122" s="71">
        <v>1140418832</v>
      </c>
      <c r="G122" s="189">
        <v>46202</v>
      </c>
      <c r="H122" s="122">
        <v>30801288800968</v>
      </c>
      <c r="I122" s="268" t="s">
        <v>1734</v>
      </c>
      <c r="J122" s="267">
        <v>450</v>
      </c>
      <c r="K122" s="271">
        <f t="shared" si="1"/>
        <v>450</v>
      </c>
    </row>
    <row r="123" spans="2:11" ht="28.5" x14ac:dyDescent="0.65">
      <c r="B123" s="71">
        <v>122</v>
      </c>
      <c r="C123" s="84" t="s">
        <v>1119</v>
      </c>
      <c r="D123" s="121" t="s">
        <v>459</v>
      </c>
      <c r="E123" s="84">
        <v>36</v>
      </c>
      <c r="F123" s="71">
        <v>1275142380</v>
      </c>
      <c r="G123" s="189">
        <v>46202</v>
      </c>
      <c r="H123" s="122">
        <v>28912162403642</v>
      </c>
      <c r="I123" s="268" t="s">
        <v>1734</v>
      </c>
      <c r="J123" s="267">
        <v>450</v>
      </c>
      <c r="K123" s="271">
        <f t="shared" si="1"/>
        <v>450</v>
      </c>
    </row>
    <row r="124" spans="2:11" ht="28.5" x14ac:dyDescent="0.65">
      <c r="B124" s="71">
        <v>123</v>
      </c>
      <c r="C124" s="84" t="s">
        <v>1120</v>
      </c>
      <c r="D124" s="121" t="s">
        <v>1731</v>
      </c>
      <c r="E124" s="84">
        <v>30</v>
      </c>
      <c r="F124" s="71">
        <v>1127336030</v>
      </c>
      <c r="G124" s="189">
        <v>46205</v>
      </c>
      <c r="H124" s="122">
        <v>29601082202725</v>
      </c>
      <c r="I124" s="268" t="s">
        <v>1734</v>
      </c>
      <c r="J124" s="267">
        <v>450</v>
      </c>
      <c r="K124" s="271">
        <f t="shared" si="1"/>
        <v>450</v>
      </c>
    </row>
    <row r="125" spans="2:11" ht="28.5" x14ac:dyDescent="0.65">
      <c r="B125" s="71">
        <v>124</v>
      </c>
      <c r="C125" s="84" t="s">
        <v>1121</v>
      </c>
      <c r="D125" s="121" t="s">
        <v>1731</v>
      </c>
      <c r="E125" s="84">
        <v>34</v>
      </c>
      <c r="F125" s="71">
        <v>1127336030</v>
      </c>
      <c r="G125" s="189">
        <v>46205</v>
      </c>
      <c r="H125" s="122">
        <v>29206152202772</v>
      </c>
      <c r="I125" s="268" t="s">
        <v>1734</v>
      </c>
      <c r="J125" s="267">
        <v>450</v>
      </c>
      <c r="K125" s="271">
        <f t="shared" si="1"/>
        <v>450</v>
      </c>
    </row>
    <row r="126" spans="2:11" ht="28.5" x14ac:dyDescent="0.65">
      <c r="B126" s="71">
        <v>125</v>
      </c>
      <c r="C126" s="84" t="s">
        <v>1122</v>
      </c>
      <c r="D126" s="121" t="s">
        <v>1731</v>
      </c>
      <c r="E126" s="84">
        <v>21</v>
      </c>
      <c r="F126" s="71">
        <v>1095219401</v>
      </c>
      <c r="G126" s="189">
        <v>46205</v>
      </c>
      <c r="H126" s="122">
        <v>30411022401658</v>
      </c>
      <c r="I126" s="268" t="s">
        <v>1734</v>
      </c>
      <c r="J126" s="267">
        <v>450</v>
      </c>
      <c r="K126" s="271">
        <f t="shared" si="1"/>
        <v>450</v>
      </c>
    </row>
    <row r="127" spans="2:11" ht="28.5" x14ac:dyDescent="0.65">
      <c r="B127" s="71">
        <v>126</v>
      </c>
      <c r="C127" s="84" t="s">
        <v>1123</v>
      </c>
      <c r="D127" s="121" t="s">
        <v>1731</v>
      </c>
      <c r="E127" s="84">
        <v>25</v>
      </c>
      <c r="F127" s="71">
        <v>1124614564</v>
      </c>
      <c r="G127" s="189">
        <v>46205</v>
      </c>
      <c r="H127" s="122">
        <v>30804222401409</v>
      </c>
      <c r="I127" s="268" t="s">
        <v>1734</v>
      </c>
      <c r="J127" s="267">
        <v>450</v>
      </c>
      <c r="K127" s="271">
        <f t="shared" si="1"/>
        <v>450</v>
      </c>
    </row>
    <row r="128" spans="2:11" ht="28.5" x14ac:dyDescent="0.65">
      <c r="B128" s="71">
        <v>127</v>
      </c>
      <c r="C128" s="84" t="s">
        <v>1124</v>
      </c>
      <c r="D128" s="121" t="s">
        <v>1731</v>
      </c>
      <c r="E128" s="84">
        <v>20</v>
      </c>
      <c r="F128" s="71">
        <v>1065243852</v>
      </c>
      <c r="G128" s="189">
        <v>46205</v>
      </c>
      <c r="H128" s="122">
        <v>30102232400325</v>
      </c>
      <c r="I128" s="268" t="s">
        <v>1734</v>
      </c>
      <c r="J128" s="267">
        <v>450</v>
      </c>
      <c r="K128" s="271">
        <f t="shared" si="1"/>
        <v>450</v>
      </c>
    </row>
    <row r="129" spans="2:11" ht="28.5" x14ac:dyDescent="0.65">
      <c r="B129" s="71">
        <v>128</v>
      </c>
      <c r="C129" s="84" t="s">
        <v>1125</v>
      </c>
      <c r="D129" s="121" t="s">
        <v>1731</v>
      </c>
      <c r="E129" s="84">
        <v>69</v>
      </c>
      <c r="F129" s="71">
        <v>1210248192</v>
      </c>
      <c r="G129" s="189">
        <v>46205</v>
      </c>
      <c r="H129" s="122">
        <v>30607142401572</v>
      </c>
      <c r="I129" s="268" t="s">
        <v>1734</v>
      </c>
      <c r="J129" s="267">
        <v>450</v>
      </c>
      <c r="K129" s="271">
        <f t="shared" si="1"/>
        <v>450</v>
      </c>
    </row>
    <row r="130" spans="2:11" ht="28.5" x14ac:dyDescent="0.65">
      <c r="B130" s="71">
        <v>129</v>
      </c>
      <c r="C130" s="84" t="s">
        <v>1126</v>
      </c>
      <c r="D130" s="121" t="s">
        <v>1731</v>
      </c>
      <c r="E130" s="84">
        <v>19</v>
      </c>
      <c r="F130" s="71">
        <v>1146876337</v>
      </c>
      <c r="G130" s="189">
        <v>46205</v>
      </c>
      <c r="H130" s="122">
        <v>25610211580592</v>
      </c>
      <c r="I130" s="268" t="s">
        <v>1734</v>
      </c>
      <c r="J130" s="267">
        <v>450</v>
      </c>
      <c r="K130" s="271">
        <f t="shared" si="1"/>
        <v>450</v>
      </c>
    </row>
    <row r="131" spans="2:11" ht="28.5" x14ac:dyDescent="0.65">
      <c r="B131" s="71">
        <v>130</v>
      </c>
      <c r="C131" s="84" t="s">
        <v>1127</v>
      </c>
      <c r="D131" s="84" t="s">
        <v>459</v>
      </c>
      <c r="E131" s="84">
        <v>39</v>
      </c>
      <c r="F131" s="71">
        <v>1104458148</v>
      </c>
      <c r="G131" s="189">
        <v>46205</v>
      </c>
      <c r="H131" s="122">
        <v>30611112402709</v>
      </c>
      <c r="I131" s="268" t="s">
        <v>1734</v>
      </c>
      <c r="J131" s="267">
        <v>450</v>
      </c>
      <c r="K131" s="271">
        <f t="shared" si="1"/>
        <v>450</v>
      </c>
    </row>
    <row r="132" spans="2:11" ht="28.5" x14ac:dyDescent="0.65">
      <c r="B132" s="71">
        <v>131</v>
      </c>
      <c r="C132" s="84" t="s">
        <v>1128</v>
      </c>
      <c r="D132" s="84" t="s">
        <v>459</v>
      </c>
      <c r="E132" s="84">
        <v>19</v>
      </c>
      <c r="F132" s="71">
        <v>1105581253</v>
      </c>
      <c r="G132" s="189">
        <v>46205</v>
      </c>
      <c r="H132" s="122">
        <v>28701032407319</v>
      </c>
      <c r="I132" s="268" t="s">
        <v>1734</v>
      </c>
      <c r="J132" s="267">
        <v>450</v>
      </c>
      <c r="K132" s="271">
        <f t="shared" si="1"/>
        <v>450</v>
      </c>
    </row>
    <row r="133" spans="2:11" ht="28.5" x14ac:dyDescent="0.65">
      <c r="B133" s="71">
        <v>132</v>
      </c>
      <c r="C133" s="84" t="s">
        <v>1129</v>
      </c>
      <c r="D133" s="84" t="s">
        <v>459</v>
      </c>
      <c r="E133" s="84">
        <v>22</v>
      </c>
      <c r="F133" s="71">
        <v>1156408528</v>
      </c>
      <c r="G133" s="189">
        <v>46205</v>
      </c>
      <c r="H133" s="122">
        <v>30708162402436</v>
      </c>
      <c r="I133" s="268" t="s">
        <v>1734</v>
      </c>
      <c r="J133" s="267">
        <v>450</v>
      </c>
      <c r="K133" s="271">
        <f t="shared" si="1"/>
        <v>450</v>
      </c>
    </row>
    <row r="134" spans="2:11" ht="28.5" x14ac:dyDescent="0.65">
      <c r="B134" s="71">
        <v>133</v>
      </c>
      <c r="C134" s="84" t="s">
        <v>1130</v>
      </c>
      <c r="D134" s="84" t="s">
        <v>459</v>
      </c>
      <c r="E134" s="84">
        <v>40</v>
      </c>
      <c r="F134" s="71">
        <v>1112693737</v>
      </c>
      <c r="G134" s="189">
        <v>46207</v>
      </c>
      <c r="H134" s="122">
        <v>30309252202965</v>
      </c>
      <c r="I134" s="268" t="s">
        <v>1733</v>
      </c>
      <c r="J134" s="267">
        <v>450</v>
      </c>
      <c r="K134" s="271">
        <f t="shared" si="1"/>
        <v>450</v>
      </c>
    </row>
    <row r="135" spans="2:11" ht="28.5" x14ac:dyDescent="0.65">
      <c r="B135" s="71">
        <v>134</v>
      </c>
      <c r="C135" s="84" t="s">
        <v>1131</v>
      </c>
      <c r="D135" s="84" t="s">
        <v>459</v>
      </c>
      <c r="E135" s="84">
        <v>19</v>
      </c>
      <c r="F135" s="71">
        <v>1123433371</v>
      </c>
      <c r="G135" s="189">
        <v>46207</v>
      </c>
      <c r="H135" s="122">
        <v>28607082402346</v>
      </c>
      <c r="I135" s="268" t="s">
        <v>1733</v>
      </c>
      <c r="J135" s="267">
        <v>450</v>
      </c>
      <c r="K135" s="271">
        <f t="shared" ref="K135:K198" si="2">IF(J135="","",J135)</f>
        <v>450</v>
      </c>
    </row>
    <row r="136" spans="2:11" ht="28.5" x14ac:dyDescent="0.65">
      <c r="B136" s="71">
        <v>135</v>
      </c>
      <c r="C136" s="84" t="s">
        <v>1132</v>
      </c>
      <c r="D136" s="84" t="s">
        <v>459</v>
      </c>
      <c r="E136" s="84">
        <v>22</v>
      </c>
      <c r="F136" s="71">
        <v>1201697867</v>
      </c>
      <c r="G136" s="189">
        <v>46207</v>
      </c>
      <c r="H136" s="122">
        <v>30611082400129</v>
      </c>
      <c r="I136" s="268" t="s">
        <v>1733</v>
      </c>
      <c r="J136" s="267">
        <v>450</v>
      </c>
      <c r="K136" s="271">
        <f t="shared" si="2"/>
        <v>450</v>
      </c>
    </row>
    <row r="137" spans="2:11" ht="28.5" x14ac:dyDescent="0.65">
      <c r="B137" s="71">
        <v>136</v>
      </c>
      <c r="C137" s="84" t="s">
        <v>1133</v>
      </c>
      <c r="D137" s="84" t="s">
        <v>459</v>
      </c>
      <c r="E137" s="84">
        <v>32</v>
      </c>
      <c r="F137" s="71">
        <v>1273463844</v>
      </c>
      <c r="G137" s="189">
        <v>46207</v>
      </c>
      <c r="H137" s="122">
        <v>30402012401085</v>
      </c>
      <c r="I137" s="268" t="s">
        <v>1733</v>
      </c>
      <c r="J137" s="267">
        <v>450</v>
      </c>
      <c r="K137" s="271">
        <f t="shared" si="2"/>
        <v>450</v>
      </c>
    </row>
    <row r="138" spans="2:11" ht="28.5" x14ac:dyDescent="0.65">
      <c r="B138" s="71">
        <v>137</v>
      </c>
      <c r="C138" s="84" t="s">
        <v>1134</v>
      </c>
      <c r="D138" s="84" t="s">
        <v>459</v>
      </c>
      <c r="E138" s="84">
        <v>19</v>
      </c>
      <c r="F138" s="71">
        <v>1116705284</v>
      </c>
      <c r="G138" s="189">
        <v>46207</v>
      </c>
      <c r="H138" s="122">
        <v>29404052401324</v>
      </c>
      <c r="I138" s="268" t="s">
        <v>1733</v>
      </c>
      <c r="J138" s="267">
        <v>450</v>
      </c>
      <c r="K138" s="271">
        <f t="shared" si="2"/>
        <v>450</v>
      </c>
    </row>
    <row r="139" spans="2:11" ht="28.5" x14ac:dyDescent="0.65">
      <c r="B139" s="71">
        <v>138</v>
      </c>
      <c r="C139" s="84" t="s">
        <v>1135</v>
      </c>
      <c r="D139" s="84" t="s">
        <v>459</v>
      </c>
      <c r="E139" s="84">
        <v>25</v>
      </c>
      <c r="F139" s="71">
        <v>1145908246</v>
      </c>
      <c r="G139" s="189">
        <v>46207</v>
      </c>
      <c r="H139" s="122">
        <v>30602022400228</v>
      </c>
      <c r="I139" s="268" t="s">
        <v>1733</v>
      </c>
      <c r="J139" s="267">
        <v>450</v>
      </c>
      <c r="K139" s="271">
        <f t="shared" si="2"/>
        <v>450</v>
      </c>
    </row>
    <row r="140" spans="2:11" ht="28.5" x14ac:dyDescent="0.65">
      <c r="B140" s="71">
        <v>139</v>
      </c>
      <c r="C140" s="84" t="s">
        <v>1136</v>
      </c>
      <c r="D140" s="84" t="s">
        <v>459</v>
      </c>
      <c r="E140" s="84">
        <v>20</v>
      </c>
      <c r="F140" s="71">
        <v>114247666</v>
      </c>
      <c r="G140" s="189">
        <v>46209</v>
      </c>
      <c r="H140" s="122">
        <v>30704132400549</v>
      </c>
      <c r="I140" s="268" t="s">
        <v>1734</v>
      </c>
      <c r="J140" s="267">
        <v>450</v>
      </c>
      <c r="K140" s="271">
        <f t="shared" si="2"/>
        <v>450</v>
      </c>
    </row>
    <row r="141" spans="2:11" ht="28.5" x14ac:dyDescent="0.65">
      <c r="B141" s="71">
        <v>140</v>
      </c>
      <c r="C141" s="84" t="s">
        <v>1137</v>
      </c>
      <c r="D141" s="121" t="s">
        <v>1731</v>
      </c>
      <c r="E141" s="84">
        <v>33</v>
      </c>
      <c r="F141" s="71">
        <v>1042504291</v>
      </c>
      <c r="G141" s="189">
        <v>46209</v>
      </c>
      <c r="H141" s="122">
        <v>30106212400049</v>
      </c>
      <c r="I141" s="268" t="s">
        <v>1734</v>
      </c>
      <c r="J141" s="267">
        <v>450</v>
      </c>
      <c r="K141" s="271">
        <f t="shared" si="2"/>
        <v>450</v>
      </c>
    </row>
    <row r="142" spans="2:11" ht="28.5" x14ac:dyDescent="0.65">
      <c r="B142" s="71">
        <v>141</v>
      </c>
      <c r="C142" s="84" t="s">
        <v>1138</v>
      </c>
      <c r="D142" s="121" t="s">
        <v>1731</v>
      </c>
      <c r="E142" s="84">
        <v>14</v>
      </c>
      <c r="F142" s="71">
        <v>1125885948</v>
      </c>
      <c r="G142" s="189">
        <v>46209</v>
      </c>
      <c r="H142" s="122">
        <v>30510012410843</v>
      </c>
      <c r="I142" s="268" t="s">
        <v>1734</v>
      </c>
      <c r="J142" s="267">
        <v>450</v>
      </c>
      <c r="K142" s="271">
        <f t="shared" si="2"/>
        <v>450</v>
      </c>
    </row>
    <row r="143" spans="2:11" ht="28.5" x14ac:dyDescent="0.65">
      <c r="B143" s="71">
        <v>142</v>
      </c>
      <c r="C143" s="84" t="s">
        <v>1139</v>
      </c>
      <c r="D143" s="121" t="s">
        <v>1731</v>
      </c>
      <c r="E143" s="84">
        <v>20</v>
      </c>
      <c r="F143" s="71">
        <v>1120484592</v>
      </c>
      <c r="G143" s="189">
        <v>46209</v>
      </c>
      <c r="H143" s="122">
        <v>29303222401927</v>
      </c>
      <c r="I143" s="268" t="s">
        <v>1734</v>
      </c>
      <c r="J143" s="267">
        <v>450</v>
      </c>
      <c r="K143" s="271">
        <f t="shared" si="2"/>
        <v>450</v>
      </c>
    </row>
    <row r="144" spans="2:11" ht="28.5" x14ac:dyDescent="0.65">
      <c r="B144" s="71">
        <v>143</v>
      </c>
      <c r="C144" s="84" t="s">
        <v>1140</v>
      </c>
      <c r="D144" s="121" t="s">
        <v>1731</v>
      </c>
      <c r="E144" s="84">
        <v>31</v>
      </c>
      <c r="F144" s="71">
        <v>1121632287</v>
      </c>
      <c r="G144" s="189">
        <v>46209</v>
      </c>
      <c r="H144" s="122">
        <v>31111252201461</v>
      </c>
      <c r="I144" s="268" t="s">
        <v>1734</v>
      </c>
      <c r="J144" s="267">
        <v>450</v>
      </c>
      <c r="K144" s="271">
        <f t="shared" si="2"/>
        <v>450</v>
      </c>
    </row>
    <row r="145" spans="2:11" ht="28.5" x14ac:dyDescent="0.65">
      <c r="B145" s="71">
        <v>144</v>
      </c>
      <c r="C145" s="84" t="s">
        <v>1141</v>
      </c>
      <c r="D145" s="121" t="s">
        <v>1731</v>
      </c>
      <c r="E145" s="84">
        <v>27</v>
      </c>
      <c r="F145" s="71">
        <v>1280321839</v>
      </c>
      <c r="G145" s="189">
        <v>46212</v>
      </c>
      <c r="H145" s="122">
        <v>30509092400489</v>
      </c>
      <c r="I145" s="268" t="s">
        <v>1734</v>
      </c>
      <c r="J145" s="267">
        <v>450</v>
      </c>
      <c r="K145" s="271">
        <f t="shared" si="2"/>
        <v>450</v>
      </c>
    </row>
    <row r="146" spans="2:11" ht="28.5" x14ac:dyDescent="0.65">
      <c r="B146" s="71">
        <v>145</v>
      </c>
      <c r="C146" s="84" t="s">
        <v>1142</v>
      </c>
      <c r="D146" s="121" t="s">
        <v>1731</v>
      </c>
      <c r="E146" s="84">
        <v>27</v>
      </c>
      <c r="F146" s="71">
        <v>1107565644</v>
      </c>
      <c r="G146" s="189">
        <v>46212</v>
      </c>
      <c r="H146" s="122">
        <v>29506012403305</v>
      </c>
      <c r="I146" s="268" t="s">
        <v>1734</v>
      </c>
      <c r="J146" s="267">
        <v>450</v>
      </c>
      <c r="K146" s="271">
        <f t="shared" si="2"/>
        <v>450</v>
      </c>
    </row>
    <row r="147" spans="2:11" ht="28.5" x14ac:dyDescent="0.65">
      <c r="B147" s="71">
        <v>146</v>
      </c>
      <c r="C147" s="84" t="s">
        <v>1143</v>
      </c>
      <c r="D147" s="121" t="s">
        <v>1731</v>
      </c>
      <c r="E147" s="84">
        <v>33</v>
      </c>
      <c r="F147" s="71">
        <v>1154361928</v>
      </c>
      <c r="G147" s="189">
        <v>46212</v>
      </c>
      <c r="H147" s="122">
        <v>29903012409701</v>
      </c>
      <c r="I147" s="268" t="s">
        <v>1734</v>
      </c>
      <c r="J147" s="267">
        <v>450</v>
      </c>
      <c r="K147" s="271">
        <f t="shared" si="2"/>
        <v>450</v>
      </c>
    </row>
    <row r="148" spans="2:11" ht="28.5" x14ac:dyDescent="0.65">
      <c r="B148" s="71">
        <v>147</v>
      </c>
      <c r="C148" s="84" t="s">
        <v>1144</v>
      </c>
      <c r="D148" s="121" t="s">
        <v>1731</v>
      </c>
      <c r="E148" s="84">
        <v>26</v>
      </c>
      <c r="F148" s="71">
        <v>1155181827</v>
      </c>
      <c r="G148" s="189">
        <v>46212</v>
      </c>
      <c r="H148" s="122">
        <v>29904212403577</v>
      </c>
      <c r="I148" s="268" t="s">
        <v>1734</v>
      </c>
      <c r="J148" s="267">
        <v>450</v>
      </c>
      <c r="K148" s="271">
        <f t="shared" si="2"/>
        <v>450</v>
      </c>
    </row>
    <row r="149" spans="2:11" ht="28.5" x14ac:dyDescent="0.65">
      <c r="B149" s="71">
        <v>148</v>
      </c>
      <c r="C149" s="84" t="s">
        <v>1145</v>
      </c>
      <c r="D149" s="121" t="s">
        <v>1731</v>
      </c>
      <c r="E149" s="84">
        <v>25</v>
      </c>
      <c r="F149" s="71">
        <v>1157645794</v>
      </c>
      <c r="G149" s="189">
        <v>46212</v>
      </c>
      <c r="H149" s="122">
        <v>29212172402107</v>
      </c>
      <c r="I149" s="268" t="s">
        <v>1734</v>
      </c>
      <c r="J149" s="267">
        <v>450</v>
      </c>
      <c r="K149" s="271">
        <f t="shared" si="2"/>
        <v>450</v>
      </c>
    </row>
    <row r="150" spans="2:11" ht="28.5" x14ac:dyDescent="0.65">
      <c r="B150" s="71">
        <v>149</v>
      </c>
      <c r="C150" s="84" t="s">
        <v>1146</v>
      </c>
      <c r="D150" s="84" t="s">
        <v>1271</v>
      </c>
      <c r="E150" s="84">
        <v>44</v>
      </c>
      <c r="F150" s="71">
        <v>1202559284</v>
      </c>
      <c r="G150" s="189">
        <v>46212</v>
      </c>
      <c r="H150" s="122">
        <v>30003012408041</v>
      </c>
      <c r="I150" s="268" t="s">
        <v>1734</v>
      </c>
      <c r="J150" s="267">
        <v>450</v>
      </c>
      <c r="K150" s="271">
        <f t="shared" si="2"/>
        <v>450</v>
      </c>
    </row>
    <row r="151" spans="2:11" ht="28.5" x14ac:dyDescent="0.65">
      <c r="B151" s="71">
        <v>150</v>
      </c>
      <c r="C151" s="84" t="s">
        <v>1147</v>
      </c>
      <c r="D151" s="84" t="s">
        <v>1271</v>
      </c>
      <c r="E151" s="84">
        <v>30</v>
      </c>
      <c r="F151" s="71">
        <v>1108104024</v>
      </c>
      <c r="G151" s="189">
        <v>46212</v>
      </c>
      <c r="H151" s="122">
        <v>30106172400431</v>
      </c>
      <c r="I151" s="268" t="s">
        <v>1734</v>
      </c>
      <c r="J151" s="267">
        <v>450</v>
      </c>
      <c r="K151" s="271">
        <f t="shared" si="2"/>
        <v>450</v>
      </c>
    </row>
    <row r="152" spans="2:11" ht="28.5" x14ac:dyDescent="0.65">
      <c r="B152" s="71">
        <v>151</v>
      </c>
      <c r="C152" s="84" t="s">
        <v>1113</v>
      </c>
      <c r="D152" s="84" t="s">
        <v>1271</v>
      </c>
      <c r="E152" s="84">
        <v>21</v>
      </c>
      <c r="F152" s="71">
        <v>1112129998</v>
      </c>
      <c r="G152" s="189">
        <v>46212</v>
      </c>
      <c r="H152" s="122">
        <v>28201292401141</v>
      </c>
      <c r="I152" s="268" t="s">
        <v>1734</v>
      </c>
      <c r="J152" s="267">
        <v>450</v>
      </c>
      <c r="K152" s="271">
        <f t="shared" si="2"/>
        <v>450</v>
      </c>
    </row>
    <row r="153" spans="2:11" ht="28.5" x14ac:dyDescent="0.65">
      <c r="B153" s="71">
        <v>152</v>
      </c>
      <c r="C153" s="84" t="s">
        <v>1148</v>
      </c>
      <c r="D153" s="84" t="s">
        <v>1271</v>
      </c>
      <c r="E153" s="84">
        <v>30</v>
      </c>
      <c r="F153" s="71">
        <v>1155840550</v>
      </c>
      <c r="G153" s="189">
        <v>46212</v>
      </c>
      <c r="H153" s="122">
        <v>29510032400229</v>
      </c>
      <c r="I153" s="268" t="s">
        <v>1734</v>
      </c>
      <c r="J153" s="267">
        <v>450</v>
      </c>
      <c r="K153" s="271">
        <f t="shared" si="2"/>
        <v>450</v>
      </c>
    </row>
    <row r="154" spans="2:11" ht="28.5" x14ac:dyDescent="0.65">
      <c r="B154" s="71">
        <v>153</v>
      </c>
      <c r="C154" s="84" t="s">
        <v>1149</v>
      </c>
      <c r="D154" s="121" t="s">
        <v>1731</v>
      </c>
      <c r="E154" s="84">
        <v>21</v>
      </c>
      <c r="F154" s="71">
        <v>1213773757</v>
      </c>
      <c r="G154" s="189">
        <v>46212</v>
      </c>
      <c r="H154" s="122">
        <v>30506102401358</v>
      </c>
      <c r="I154" s="268" t="s">
        <v>1734</v>
      </c>
      <c r="J154" s="267">
        <v>450</v>
      </c>
      <c r="K154" s="271">
        <f t="shared" si="2"/>
        <v>450</v>
      </c>
    </row>
    <row r="155" spans="2:11" ht="28.5" x14ac:dyDescent="0.65">
      <c r="B155" s="71">
        <v>154</v>
      </c>
      <c r="C155" s="84" t="s">
        <v>1150</v>
      </c>
      <c r="D155" s="121" t="s">
        <v>1731</v>
      </c>
      <c r="E155" s="84">
        <v>22</v>
      </c>
      <c r="F155" s="71">
        <v>1131338385</v>
      </c>
      <c r="G155" s="189">
        <v>46214</v>
      </c>
      <c r="H155" s="122">
        <v>30308282400218</v>
      </c>
      <c r="I155" s="268" t="s">
        <v>1733</v>
      </c>
      <c r="J155" s="267">
        <v>450</v>
      </c>
      <c r="K155" s="271">
        <f t="shared" si="2"/>
        <v>450</v>
      </c>
    </row>
    <row r="156" spans="2:11" ht="28.5" x14ac:dyDescent="0.65">
      <c r="B156" s="71">
        <v>155</v>
      </c>
      <c r="C156" s="84" t="s">
        <v>1151</v>
      </c>
      <c r="D156" s="121" t="s">
        <v>1731</v>
      </c>
      <c r="E156" s="84">
        <v>31</v>
      </c>
      <c r="F156" s="71">
        <v>1144218969</v>
      </c>
      <c r="G156" s="189">
        <v>46214</v>
      </c>
      <c r="H156" s="122">
        <v>29508072201607</v>
      </c>
      <c r="I156" s="268" t="s">
        <v>1733</v>
      </c>
      <c r="J156" s="267">
        <v>450</v>
      </c>
      <c r="K156" s="271">
        <f t="shared" si="2"/>
        <v>450</v>
      </c>
    </row>
    <row r="157" spans="2:11" ht="28.5" x14ac:dyDescent="0.65">
      <c r="B157" s="71">
        <v>156</v>
      </c>
      <c r="C157" s="84" t="s">
        <v>1152</v>
      </c>
      <c r="D157" s="121" t="s">
        <v>1731</v>
      </c>
      <c r="E157" s="84">
        <v>29</v>
      </c>
      <c r="F157" s="71">
        <v>1004788465</v>
      </c>
      <c r="G157" s="189">
        <v>46214</v>
      </c>
      <c r="H157" s="122">
        <v>29609012200718</v>
      </c>
      <c r="I157" s="268" t="s">
        <v>1733</v>
      </c>
      <c r="J157" s="267">
        <v>450</v>
      </c>
      <c r="K157" s="271">
        <f t="shared" si="2"/>
        <v>450</v>
      </c>
    </row>
    <row r="158" spans="2:11" ht="28.5" x14ac:dyDescent="0.65">
      <c r="B158" s="71">
        <v>157</v>
      </c>
      <c r="C158" s="84" t="s">
        <v>1153</v>
      </c>
      <c r="D158" s="121" t="s">
        <v>1731</v>
      </c>
      <c r="E158" s="84">
        <v>38</v>
      </c>
      <c r="F158" s="71">
        <v>154052165</v>
      </c>
      <c r="G158" s="189">
        <v>46214</v>
      </c>
      <c r="H158" s="122">
        <v>28807092402688</v>
      </c>
      <c r="I158" s="268" t="s">
        <v>1733</v>
      </c>
      <c r="J158" s="267">
        <v>450</v>
      </c>
      <c r="K158" s="271">
        <f t="shared" si="2"/>
        <v>450</v>
      </c>
    </row>
    <row r="159" spans="2:11" ht="28.5" x14ac:dyDescent="0.65">
      <c r="B159" s="71">
        <v>158</v>
      </c>
      <c r="C159" s="84" t="s">
        <v>837</v>
      </c>
      <c r="D159" s="121" t="s">
        <v>1731</v>
      </c>
      <c r="E159" s="84">
        <v>29</v>
      </c>
      <c r="F159" s="71">
        <v>1149335578</v>
      </c>
      <c r="G159" s="189">
        <v>46216</v>
      </c>
      <c r="H159" s="122">
        <v>29707172201399</v>
      </c>
      <c r="I159" s="268" t="s">
        <v>1734</v>
      </c>
      <c r="J159" s="267">
        <v>450</v>
      </c>
      <c r="K159" s="271">
        <f t="shared" si="2"/>
        <v>450</v>
      </c>
    </row>
    <row r="160" spans="2:11" ht="28.5" x14ac:dyDescent="0.65">
      <c r="B160" s="71">
        <v>159</v>
      </c>
      <c r="C160" s="84" t="s">
        <v>1154</v>
      </c>
      <c r="D160" s="84" t="s">
        <v>459</v>
      </c>
      <c r="E160" s="84">
        <v>35</v>
      </c>
      <c r="F160" s="71">
        <v>1507533555</v>
      </c>
      <c r="G160" s="189">
        <v>46216</v>
      </c>
      <c r="H160" s="122">
        <v>29108062402681</v>
      </c>
      <c r="I160" s="268" t="s">
        <v>1734</v>
      </c>
      <c r="J160" s="267">
        <v>450</v>
      </c>
      <c r="K160" s="271">
        <f t="shared" si="2"/>
        <v>450</v>
      </c>
    </row>
    <row r="161" spans="2:11" ht="28.5" x14ac:dyDescent="0.65">
      <c r="B161" s="71">
        <v>160</v>
      </c>
      <c r="C161" s="84" t="s">
        <v>1155</v>
      </c>
      <c r="D161" s="84" t="s">
        <v>459</v>
      </c>
      <c r="E161" s="84">
        <v>29</v>
      </c>
      <c r="F161" s="71">
        <v>1210227133</v>
      </c>
      <c r="G161" s="189">
        <v>46216</v>
      </c>
      <c r="H161" s="122">
        <v>29608302400048</v>
      </c>
      <c r="I161" s="268" t="s">
        <v>1734</v>
      </c>
      <c r="J161" s="267">
        <v>450</v>
      </c>
      <c r="K161" s="271">
        <f t="shared" si="2"/>
        <v>450</v>
      </c>
    </row>
    <row r="162" spans="2:11" ht="28.5" x14ac:dyDescent="0.65">
      <c r="B162" s="71">
        <v>161</v>
      </c>
      <c r="C162" s="84" t="s">
        <v>1156</v>
      </c>
      <c r="D162" s="84" t="s">
        <v>459</v>
      </c>
      <c r="E162" s="84">
        <v>19</v>
      </c>
      <c r="F162" s="71">
        <v>1274083793</v>
      </c>
      <c r="G162" s="189">
        <v>46216</v>
      </c>
      <c r="H162" s="122">
        <v>30609142401575</v>
      </c>
      <c r="I162" s="268" t="s">
        <v>1734</v>
      </c>
      <c r="J162" s="267">
        <v>450</v>
      </c>
      <c r="K162" s="271">
        <f t="shared" si="2"/>
        <v>450</v>
      </c>
    </row>
    <row r="163" spans="2:11" ht="28.5" x14ac:dyDescent="0.65">
      <c r="B163" s="71">
        <v>162</v>
      </c>
      <c r="C163" s="84" t="s">
        <v>820</v>
      </c>
      <c r="D163" s="84" t="s">
        <v>459</v>
      </c>
      <c r="E163" s="84">
        <v>32</v>
      </c>
      <c r="F163" s="71">
        <v>1288820435</v>
      </c>
      <c r="G163" s="189">
        <v>46216</v>
      </c>
      <c r="H163" s="122">
        <v>29401102406803</v>
      </c>
      <c r="I163" s="268" t="s">
        <v>1734</v>
      </c>
      <c r="J163" s="267">
        <v>450</v>
      </c>
      <c r="K163" s="271">
        <f t="shared" si="2"/>
        <v>450</v>
      </c>
    </row>
    <row r="164" spans="2:11" ht="28.5" x14ac:dyDescent="0.65">
      <c r="B164" s="71">
        <v>163</v>
      </c>
      <c r="C164" s="84" t="s">
        <v>1157</v>
      </c>
      <c r="D164" s="84" t="s">
        <v>459</v>
      </c>
      <c r="E164" s="84">
        <v>38</v>
      </c>
      <c r="F164" s="71">
        <v>1104747602</v>
      </c>
      <c r="G164" s="189">
        <v>46216</v>
      </c>
      <c r="H164" s="122">
        <v>28807092402688</v>
      </c>
      <c r="I164" s="268" t="s">
        <v>1734</v>
      </c>
      <c r="J164" s="267">
        <v>450</v>
      </c>
      <c r="K164" s="271">
        <f t="shared" si="2"/>
        <v>450</v>
      </c>
    </row>
    <row r="165" spans="2:11" ht="28.5" x14ac:dyDescent="0.65">
      <c r="B165" s="71">
        <v>164</v>
      </c>
      <c r="C165" s="84" t="s">
        <v>1158</v>
      </c>
      <c r="D165" s="121" t="s">
        <v>1731</v>
      </c>
      <c r="E165" s="84">
        <v>18</v>
      </c>
      <c r="F165" s="71">
        <v>1129009330</v>
      </c>
      <c r="G165" s="189">
        <v>46219</v>
      </c>
      <c r="H165" s="122">
        <v>30710062400929</v>
      </c>
      <c r="I165" s="268" t="s">
        <v>1734</v>
      </c>
      <c r="J165" s="267">
        <v>450</v>
      </c>
      <c r="K165" s="271">
        <f t="shared" si="2"/>
        <v>450</v>
      </c>
    </row>
    <row r="166" spans="2:11" ht="28.5" x14ac:dyDescent="0.65">
      <c r="B166" s="71">
        <v>165</v>
      </c>
      <c r="C166" s="84" t="s">
        <v>1159</v>
      </c>
      <c r="D166" s="121" t="s">
        <v>1731</v>
      </c>
      <c r="E166" s="84">
        <v>20</v>
      </c>
      <c r="F166" s="71">
        <v>1144040673</v>
      </c>
      <c r="G166" s="189">
        <v>46219</v>
      </c>
      <c r="H166" s="122">
        <v>30510012204607</v>
      </c>
      <c r="I166" s="268" t="s">
        <v>1734</v>
      </c>
      <c r="J166" s="267">
        <v>450</v>
      </c>
      <c r="K166" s="271">
        <f t="shared" si="2"/>
        <v>450</v>
      </c>
    </row>
    <row r="167" spans="2:11" ht="28.5" x14ac:dyDescent="0.65">
      <c r="B167" s="71">
        <v>166</v>
      </c>
      <c r="C167" s="84" t="s">
        <v>1160</v>
      </c>
      <c r="D167" s="121" t="s">
        <v>1731</v>
      </c>
      <c r="E167" s="84">
        <v>18</v>
      </c>
      <c r="F167" s="71">
        <v>1126701109</v>
      </c>
      <c r="G167" s="189">
        <v>46219</v>
      </c>
      <c r="H167" s="122">
        <v>30806102200607</v>
      </c>
      <c r="I167" s="268" t="s">
        <v>1734</v>
      </c>
      <c r="J167" s="267">
        <v>450</v>
      </c>
      <c r="K167" s="271">
        <f t="shared" si="2"/>
        <v>450</v>
      </c>
    </row>
    <row r="168" spans="2:11" ht="28.5" x14ac:dyDescent="0.65">
      <c r="B168" s="71">
        <v>167</v>
      </c>
      <c r="C168" s="84" t="s">
        <v>1161</v>
      </c>
      <c r="D168" s="121" t="s">
        <v>1731</v>
      </c>
      <c r="E168" s="84">
        <v>31</v>
      </c>
      <c r="F168" s="71">
        <v>1148726117</v>
      </c>
      <c r="G168" s="189">
        <v>46219</v>
      </c>
      <c r="H168" s="122">
        <v>29412202202441</v>
      </c>
      <c r="I168" s="268" t="s">
        <v>1734</v>
      </c>
      <c r="J168" s="267">
        <v>450</v>
      </c>
      <c r="K168" s="271">
        <f t="shared" si="2"/>
        <v>450</v>
      </c>
    </row>
    <row r="169" spans="2:11" ht="28.5" x14ac:dyDescent="0.65">
      <c r="B169" s="71">
        <v>168</v>
      </c>
      <c r="C169" s="84" t="s">
        <v>1162</v>
      </c>
      <c r="D169" s="121" t="s">
        <v>1731</v>
      </c>
      <c r="E169" s="84">
        <v>22</v>
      </c>
      <c r="F169" s="71">
        <v>1153517379</v>
      </c>
      <c r="G169" s="189">
        <v>46219</v>
      </c>
      <c r="H169" s="122">
        <v>30311152400289</v>
      </c>
      <c r="I169" s="268" t="s">
        <v>1734</v>
      </c>
      <c r="J169" s="267">
        <v>450</v>
      </c>
      <c r="K169" s="271">
        <f t="shared" si="2"/>
        <v>450</v>
      </c>
    </row>
    <row r="170" spans="2:11" ht="28.5" x14ac:dyDescent="0.65">
      <c r="B170" s="71">
        <v>169</v>
      </c>
      <c r="C170" s="84" t="s">
        <v>1163</v>
      </c>
      <c r="D170" s="121" t="s">
        <v>1731</v>
      </c>
      <c r="E170" s="84">
        <v>28</v>
      </c>
      <c r="F170" s="71">
        <v>1080176058</v>
      </c>
      <c r="G170" s="189">
        <v>46219</v>
      </c>
      <c r="H170" s="122">
        <v>29803282402887</v>
      </c>
      <c r="I170" s="268" t="s">
        <v>1734</v>
      </c>
      <c r="J170" s="267">
        <v>450</v>
      </c>
      <c r="K170" s="271">
        <f t="shared" si="2"/>
        <v>450</v>
      </c>
    </row>
    <row r="171" spans="2:11" ht="28.5" x14ac:dyDescent="0.65">
      <c r="B171" s="71">
        <v>170</v>
      </c>
      <c r="C171" s="84" t="s">
        <v>1164</v>
      </c>
      <c r="D171" s="121" t="s">
        <v>1731</v>
      </c>
      <c r="E171" s="84">
        <v>30</v>
      </c>
      <c r="F171" s="71">
        <v>1281885640</v>
      </c>
      <c r="G171" s="189">
        <v>46219</v>
      </c>
      <c r="H171" s="122">
        <v>29510012402233</v>
      </c>
      <c r="I171" s="268" t="s">
        <v>1734</v>
      </c>
      <c r="J171" s="267">
        <v>450</v>
      </c>
      <c r="K171" s="271">
        <f t="shared" si="2"/>
        <v>450</v>
      </c>
    </row>
    <row r="172" spans="2:11" ht="28.5" x14ac:dyDescent="0.65">
      <c r="B172" s="71">
        <v>171</v>
      </c>
      <c r="C172" s="84" t="s">
        <v>1165</v>
      </c>
      <c r="D172" s="121" t="s">
        <v>1731</v>
      </c>
      <c r="E172" s="84">
        <v>27</v>
      </c>
      <c r="F172" s="71">
        <v>1159491161</v>
      </c>
      <c r="G172" s="189">
        <v>46219</v>
      </c>
      <c r="H172" s="122">
        <v>29901182401982</v>
      </c>
      <c r="I172" s="268" t="s">
        <v>1734</v>
      </c>
      <c r="J172" s="267">
        <v>450</v>
      </c>
      <c r="K172" s="271">
        <f t="shared" si="2"/>
        <v>450</v>
      </c>
    </row>
    <row r="173" spans="2:11" ht="28.5" x14ac:dyDescent="0.65">
      <c r="B173" s="71">
        <v>172</v>
      </c>
      <c r="C173" s="84" t="s">
        <v>1148</v>
      </c>
      <c r="D173" s="121" t="s">
        <v>1731</v>
      </c>
      <c r="E173" s="84">
        <v>30</v>
      </c>
      <c r="F173" s="71">
        <v>1155840550</v>
      </c>
      <c r="G173" s="189">
        <v>46221</v>
      </c>
      <c r="H173" s="122">
        <v>29510032400229</v>
      </c>
      <c r="I173" s="268" t="s">
        <v>1733</v>
      </c>
      <c r="J173" s="267">
        <v>450</v>
      </c>
      <c r="K173" s="271">
        <f t="shared" si="2"/>
        <v>450</v>
      </c>
    </row>
    <row r="174" spans="2:11" ht="28.5" x14ac:dyDescent="0.65">
      <c r="B174" s="71">
        <v>173</v>
      </c>
      <c r="C174" s="84" t="s">
        <v>1166</v>
      </c>
      <c r="D174" s="121" t="s">
        <v>1731</v>
      </c>
      <c r="E174" s="84">
        <v>28</v>
      </c>
      <c r="F174" s="71">
        <v>1126349020</v>
      </c>
      <c r="G174" s="189">
        <v>46221</v>
      </c>
      <c r="H174" s="122">
        <v>29806132403388</v>
      </c>
      <c r="I174" s="268" t="s">
        <v>1733</v>
      </c>
      <c r="J174" s="267">
        <v>450</v>
      </c>
      <c r="K174" s="271">
        <f t="shared" si="2"/>
        <v>450</v>
      </c>
    </row>
    <row r="175" spans="2:11" ht="28.5" x14ac:dyDescent="0.65">
      <c r="B175" s="71">
        <v>174</v>
      </c>
      <c r="C175" s="84" t="s">
        <v>1167</v>
      </c>
      <c r="D175" s="121" t="s">
        <v>1731</v>
      </c>
      <c r="E175" s="84">
        <v>22</v>
      </c>
      <c r="F175" s="71">
        <v>1012068247</v>
      </c>
      <c r="G175" s="189">
        <v>46221</v>
      </c>
      <c r="H175" s="122">
        <v>30311202200982</v>
      </c>
      <c r="I175" s="268" t="s">
        <v>1733</v>
      </c>
      <c r="J175" s="267">
        <v>450</v>
      </c>
      <c r="K175" s="271">
        <f t="shared" si="2"/>
        <v>450</v>
      </c>
    </row>
    <row r="176" spans="2:11" ht="28.5" x14ac:dyDescent="0.65">
      <c r="B176" s="71">
        <v>175</v>
      </c>
      <c r="C176" s="84" t="s">
        <v>1168</v>
      </c>
      <c r="D176" s="121" t="s">
        <v>1731</v>
      </c>
      <c r="E176" s="84">
        <v>32</v>
      </c>
      <c r="F176" s="71">
        <v>1147940153</v>
      </c>
      <c r="G176" s="189">
        <v>46221</v>
      </c>
      <c r="H176" s="122">
        <v>29404222401324</v>
      </c>
      <c r="I176" s="268" t="s">
        <v>1733</v>
      </c>
      <c r="J176" s="267">
        <v>450</v>
      </c>
      <c r="K176" s="271">
        <f t="shared" si="2"/>
        <v>450</v>
      </c>
    </row>
    <row r="177" spans="2:11" ht="28.5" x14ac:dyDescent="0.65">
      <c r="B177" s="71">
        <v>176</v>
      </c>
      <c r="C177" s="84" t="s">
        <v>1169</v>
      </c>
      <c r="D177" s="84" t="s">
        <v>459</v>
      </c>
      <c r="E177" s="84">
        <v>34</v>
      </c>
      <c r="F177" s="71">
        <v>1111872368</v>
      </c>
      <c r="G177" s="189">
        <v>46221</v>
      </c>
      <c r="H177" s="122">
        <v>29204232401811</v>
      </c>
      <c r="I177" s="268" t="s">
        <v>1733</v>
      </c>
      <c r="J177" s="267">
        <v>450</v>
      </c>
      <c r="K177" s="271">
        <f t="shared" si="2"/>
        <v>450</v>
      </c>
    </row>
    <row r="178" spans="2:11" ht="28.5" x14ac:dyDescent="0.65">
      <c r="B178" s="71">
        <v>177</v>
      </c>
      <c r="C178" s="84" t="s">
        <v>1170</v>
      </c>
      <c r="D178" s="84" t="s">
        <v>459</v>
      </c>
      <c r="E178" s="84">
        <v>75</v>
      </c>
      <c r="F178" s="71">
        <v>1009392300</v>
      </c>
      <c r="G178" s="189">
        <v>46221</v>
      </c>
      <c r="H178" s="122">
        <v>25107100100901</v>
      </c>
      <c r="I178" s="268" t="s">
        <v>1733</v>
      </c>
      <c r="J178" s="267">
        <v>450</v>
      </c>
      <c r="K178" s="271">
        <f t="shared" si="2"/>
        <v>450</v>
      </c>
    </row>
    <row r="179" spans="2:11" ht="28.5" x14ac:dyDescent="0.65">
      <c r="B179" s="71">
        <v>178</v>
      </c>
      <c r="C179" s="84" t="s">
        <v>1171</v>
      </c>
      <c r="D179" s="84" t="s">
        <v>459</v>
      </c>
      <c r="E179" s="84">
        <v>18</v>
      </c>
      <c r="F179" s="71">
        <v>1130762976</v>
      </c>
      <c r="G179" s="189">
        <v>46221</v>
      </c>
      <c r="H179" s="122">
        <v>30709282403246</v>
      </c>
      <c r="I179" s="268" t="s">
        <v>1733</v>
      </c>
      <c r="J179" s="267">
        <v>450</v>
      </c>
      <c r="K179" s="271">
        <f t="shared" si="2"/>
        <v>450</v>
      </c>
    </row>
    <row r="180" spans="2:11" ht="28.5" x14ac:dyDescent="0.65">
      <c r="B180" s="71">
        <v>179</v>
      </c>
      <c r="C180" s="84" t="s">
        <v>1172</v>
      </c>
      <c r="D180" s="84" t="s">
        <v>459</v>
      </c>
      <c r="E180" s="84">
        <v>43</v>
      </c>
      <c r="F180" s="71">
        <v>1288748665</v>
      </c>
      <c r="G180" s="189">
        <v>46221</v>
      </c>
      <c r="H180" s="122">
        <v>30406202401237</v>
      </c>
      <c r="I180" s="268" t="s">
        <v>1733</v>
      </c>
      <c r="J180" s="267">
        <v>450</v>
      </c>
      <c r="K180" s="271">
        <f t="shared" si="2"/>
        <v>450</v>
      </c>
    </row>
    <row r="181" spans="2:11" ht="28.5" x14ac:dyDescent="0.65">
      <c r="B181" s="71">
        <v>180</v>
      </c>
      <c r="C181" s="84" t="s">
        <v>1173</v>
      </c>
      <c r="D181" s="84" t="s">
        <v>459</v>
      </c>
      <c r="E181" s="84">
        <v>31</v>
      </c>
      <c r="F181" s="71">
        <v>1156764848</v>
      </c>
      <c r="G181" s="189">
        <v>46221</v>
      </c>
      <c r="H181" s="122">
        <v>28301222402862</v>
      </c>
      <c r="I181" s="268" t="s">
        <v>1733</v>
      </c>
      <c r="J181" s="267">
        <v>450</v>
      </c>
      <c r="K181" s="271">
        <f t="shared" si="2"/>
        <v>450</v>
      </c>
    </row>
    <row r="182" spans="2:11" ht="28.5" x14ac:dyDescent="0.65">
      <c r="B182" s="71">
        <v>181</v>
      </c>
      <c r="C182" s="84" t="s">
        <v>1175</v>
      </c>
      <c r="D182" s="84" t="s">
        <v>459</v>
      </c>
      <c r="E182" s="84">
        <v>24</v>
      </c>
      <c r="F182" s="71">
        <v>1201199944</v>
      </c>
      <c r="G182" s="189">
        <v>46223</v>
      </c>
      <c r="H182" s="122">
        <v>29410072401274</v>
      </c>
      <c r="I182" s="268" t="s">
        <v>1734</v>
      </c>
      <c r="J182" s="267">
        <v>450</v>
      </c>
      <c r="K182" s="271">
        <f t="shared" si="2"/>
        <v>450</v>
      </c>
    </row>
    <row r="183" spans="2:11" ht="28.5" x14ac:dyDescent="0.65">
      <c r="B183" s="71">
        <v>182</v>
      </c>
      <c r="C183" s="84" t="s">
        <v>1176</v>
      </c>
      <c r="D183" s="84" t="s">
        <v>459</v>
      </c>
      <c r="E183" s="84">
        <v>18</v>
      </c>
      <c r="F183" s="71">
        <v>114617318</v>
      </c>
      <c r="G183" s="189">
        <v>46223</v>
      </c>
      <c r="H183" s="122">
        <v>30201112400141</v>
      </c>
      <c r="I183" s="268" t="s">
        <v>1734</v>
      </c>
      <c r="J183" s="267">
        <v>450</v>
      </c>
      <c r="K183" s="271">
        <f t="shared" si="2"/>
        <v>450</v>
      </c>
    </row>
    <row r="184" spans="2:11" ht="28.5" x14ac:dyDescent="0.65">
      <c r="B184" s="71">
        <v>183</v>
      </c>
      <c r="C184" s="84" t="s">
        <v>1177</v>
      </c>
      <c r="D184" s="121" t="s">
        <v>1731</v>
      </c>
      <c r="E184" s="84">
        <v>31</v>
      </c>
      <c r="F184" s="71">
        <v>1210387335</v>
      </c>
      <c r="G184" s="189">
        <v>46223</v>
      </c>
      <c r="H184" s="122">
        <v>30708262401941</v>
      </c>
      <c r="I184" s="268" t="s">
        <v>1734</v>
      </c>
      <c r="J184" s="267">
        <v>450</v>
      </c>
      <c r="K184" s="271">
        <f t="shared" si="2"/>
        <v>450</v>
      </c>
    </row>
    <row r="185" spans="2:11" ht="28.5" x14ac:dyDescent="0.65">
      <c r="B185" s="71">
        <v>184</v>
      </c>
      <c r="C185" s="84" t="s">
        <v>1174</v>
      </c>
      <c r="D185" s="121" t="s">
        <v>1731</v>
      </c>
      <c r="E185" s="84">
        <v>25</v>
      </c>
      <c r="F185" s="71">
        <v>1201199944</v>
      </c>
      <c r="G185" s="189">
        <v>46223</v>
      </c>
      <c r="H185" s="122">
        <v>29410072401274</v>
      </c>
      <c r="I185" s="268" t="s">
        <v>1734</v>
      </c>
      <c r="J185" s="267">
        <v>450</v>
      </c>
      <c r="K185" s="271">
        <f t="shared" si="2"/>
        <v>450</v>
      </c>
    </row>
    <row r="186" spans="2:11" ht="28.5" x14ac:dyDescent="0.65">
      <c r="B186" s="71">
        <v>185</v>
      </c>
      <c r="C186" s="84" t="s">
        <v>1178</v>
      </c>
      <c r="D186" s="121" t="s">
        <v>1731</v>
      </c>
      <c r="E186" s="84">
        <v>41</v>
      </c>
      <c r="F186" s="71">
        <v>1151853987</v>
      </c>
      <c r="G186" s="189">
        <v>46223</v>
      </c>
      <c r="H186" s="122">
        <v>30108082201947</v>
      </c>
      <c r="I186" s="268" t="s">
        <v>1734</v>
      </c>
      <c r="J186" s="267">
        <v>450</v>
      </c>
      <c r="K186" s="271">
        <f t="shared" si="2"/>
        <v>450</v>
      </c>
    </row>
    <row r="187" spans="2:11" ht="28.5" x14ac:dyDescent="0.65">
      <c r="B187" s="71">
        <v>186</v>
      </c>
      <c r="C187" s="84" t="s">
        <v>1179</v>
      </c>
      <c r="D187" s="121" t="s">
        <v>1731</v>
      </c>
      <c r="E187" s="84">
        <v>21</v>
      </c>
      <c r="F187" s="71">
        <v>1145452666</v>
      </c>
      <c r="G187" s="189">
        <v>46223</v>
      </c>
      <c r="H187" s="122">
        <v>28501082404923</v>
      </c>
      <c r="I187" s="268" t="s">
        <v>1734</v>
      </c>
      <c r="J187" s="267">
        <v>450</v>
      </c>
      <c r="K187" s="271">
        <f t="shared" si="2"/>
        <v>450</v>
      </c>
    </row>
    <row r="188" spans="2:11" ht="28.5" x14ac:dyDescent="0.65">
      <c r="B188" s="71">
        <v>187</v>
      </c>
      <c r="C188" s="84" t="s">
        <v>1180</v>
      </c>
      <c r="D188" s="121" t="s">
        <v>1731</v>
      </c>
      <c r="E188" s="84">
        <v>25</v>
      </c>
      <c r="F188" s="71">
        <v>1201586030</v>
      </c>
      <c r="G188" s="189">
        <v>46223</v>
      </c>
      <c r="H188" s="122">
        <v>30507132400646</v>
      </c>
      <c r="I188" s="268" t="s">
        <v>1734</v>
      </c>
      <c r="J188" s="267">
        <v>450</v>
      </c>
      <c r="K188" s="271">
        <f t="shared" si="2"/>
        <v>450</v>
      </c>
    </row>
    <row r="189" spans="2:11" ht="28.5" x14ac:dyDescent="0.65">
      <c r="B189" s="71">
        <v>188</v>
      </c>
      <c r="C189" s="84" t="s">
        <v>1181</v>
      </c>
      <c r="D189" s="121" t="s">
        <v>1731</v>
      </c>
      <c r="E189" s="84">
        <v>27</v>
      </c>
      <c r="F189" s="71">
        <v>1147259431</v>
      </c>
      <c r="G189" s="189">
        <v>46223</v>
      </c>
      <c r="H189" s="122">
        <v>30102182401244</v>
      </c>
      <c r="I189" s="268" t="s">
        <v>1734</v>
      </c>
      <c r="J189" s="267">
        <v>450</v>
      </c>
      <c r="K189" s="271">
        <f t="shared" si="2"/>
        <v>450</v>
      </c>
    </row>
    <row r="190" spans="2:11" ht="28.5" x14ac:dyDescent="0.65">
      <c r="B190" s="71">
        <v>189</v>
      </c>
      <c r="C190" s="84" t="s">
        <v>1182</v>
      </c>
      <c r="D190" s="121" t="s">
        <v>1731</v>
      </c>
      <c r="E190" s="84">
        <v>43</v>
      </c>
      <c r="F190" s="71">
        <v>1102208848</v>
      </c>
      <c r="G190" s="189">
        <v>46223</v>
      </c>
      <c r="H190" s="122">
        <v>29901212402083</v>
      </c>
      <c r="I190" s="268" t="s">
        <v>1734</v>
      </c>
      <c r="J190" s="267">
        <v>450</v>
      </c>
      <c r="K190" s="271">
        <f t="shared" si="2"/>
        <v>450</v>
      </c>
    </row>
    <row r="191" spans="2:11" ht="28.5" x14ac:dyDescent="0.65">
      <c r="B191" s="71">
        <v>190</v>
      </c>
      <c r="C191" s="84" t="s">
        <v>1183</v>
      </c>
      <c r="D191" s="121" t="s">
        <v>1731</v>
      </c>
      <c r="E191" s="84">
        <v>24</v>
      </c>
      <c r="F191" s="71">
        <v>11436207607</v>
      </c>
      <c r="G191" s="189">
        <v>46226</v>
      </c>
      <c r="H191" s="122">
        <v>28212142402486</v>
      </c>
      <c r="I191" s="268" t="s">
        <v>1734</v>
      </c>
      <c r="J191" s="267">
        <v>450</v>
      </c>
      <c r="K191" s="271">
        <f t="shared" si="2"/>
        <v>450</v>
      </c>
    </row>
    <row r="192" spans="2:11" ht="28.5" x14ac:dyDescent="0.65">
      <c r="B192" s="71">
        <v>191</v>
      </c>
      <c r="C192" s="84" t="s">
        <v>1184</v>
      </c>
      <c r="D192" s="121" t="s">
        <v>1731</v>
      </c>
      <c r="E192" s="84">
        <v>37</v>
      </c>
      <c r="F192" s="71">
        <v>1026339967</v>
      </c>
      <c r="G192" s="189">
        <v>46226</v>
      </c>
      <c r="H192" s="122">
        <v>30206012401746</v>
      </c>
      <c r="I192" s="268" t="s">
        <v>1734</v>
      </c>
      <c r="J192" s="267">
        <v>450</v>
      </c>
      <c r="K192" s="271">
        <f t="shared" si="2"/>
        <v>450</v>
      </c>
    </row>
    <row r="193" spans="2:11" ht="28.5" x14ac:dyDescent="0.65">
      <c r="B193" s="71">
        <v>192</v>
      </c>
      <c r="C193" s="84" t="s">
        <v>1185</v>
      </c>
      <c r="D193" s="121" t="s">
        <v>1731</v>
      </c>
      <c r="E193" s="84">
        <v>22</v>
      </c>
      <c r="F193" s="71">
        <v>1206203655</v>
      </c>
      <c r="G193" s="189">
        <v>46226</v>
      </c>
      <c r="H193" s="122">
        <v>28809252403328</v>
      </c>
      <c r="I193" s="268" t="s">
        <v>1734</v>
      </c>
      <c r="J193" s="267">
        <v>450</v>
      </c>
      <c r="K193" s="271">
        <f t="shared" si="2"/>
        <v>450</v>
      </c>
    </row>
    <row r="194" spans="2:11" ht="28.5" x14ac:dyDescent="0.65">
      <c r="B194" s="71">
        <v>193</v>
      </c>
      <c r="C194" s="84" t="s">
        <v>1186</v>
      </c>
      <c r="D194" s="121" t="s">
        <v>1731</v>
      </c>
      <c r="E194" s="84">
        <v>21</v>
      </c>
      <c r="F194" s="71">
        <v>1158632032</v>
      </c>
      <c r="G194" s="189">
        <v>46226</v>
      </c>
      <c r="H194" s="122">
        <v>30406122402259</v>
      </c>
      <c r="I194" s="268" t="s">
        <v>1734</v>
      </c>
      <c r="J194" s="267">
        <v>450</v>
      </c>
      <c r="K194" s="271">
        <f t="shared" si="2"/>
        <v>450</v>
      </c>
    </row>
    <row r="195" spans="2:11" ht="28.5" x14ac:dyDescent="0.65">
      <c r="B195" s="71">
        <v>194</v>
      </c>
      <c r="C195" s="84" t="s">
        <v>1187</v>
      </c>
      <c r="D195" s="121" t="s">
        <v>1731</v>
      </c>
      <c r="E195" s="84">
        <v>20</v>
      </c>
      <c r="F195" s="71">
        <v>1270336413</v>
      </c>
      <c r="G195" s="189">
        <v>46226</v>
      </c>
      <c r="H195" s="122">
        <v>30503172401216</v>
      </c>
      <c r="I195" s="268" t="s">
        <v>1734</v>
      </c>
      <c r="J195" s="267">
        <v>450</v>
      </c>
      <c r="K195" s="271">
        <f t="shared" si="2"/>
        <v>450</v>
      </c>
    </row>
    <row r="196" spans="2:11" ht="28.5" x14ac:dyDescent="0.65">
      <c r="B196" s="71">
        <v>195</v>
      </c>
      <c r="C196" s="84" t="s">
        <v>1188</v>
      </c>
      <c r="D196" s="121" t="s">
        <v>1731</v>
      </c>
      <c r="E196" s="84">
        <v>20</v>
      </c>
      <c r="F196" s="71">
        <v>1120437890</v>
      </c>
      <c r="G196" s="189">
        <v>46226</v>
      </c>
      <c r="H196" s="122">
        <v>30511302401917</v>
      </c>
      <c r="I196" s="268" t="s">
        <v>1734</v>
      </c>
      <c r="J196" s="267">
        <v>450</v>
      </c>
      <c r="K196" s="271">
        <f t="shared" si="2"/>
        <v>450</v>
      </c>
    </row>
    <row r="197" spans="2:11" ht="28.5" x14ac:dyDescent="0.65">
      <c r="B197" s="71">
        <v>196</v>
      </c>
      <c r="C197" s="84" t="s">
        <v>1189</v>
      </c>
      <c r="D197" s="121" t="s">
        <v>1731</v>
      </c>
      <c r="E197" s="84">
        <v>24</v>
      </c>
      <c r="F197" s="71">
        <v>1158930680</v>
      </c>
      <c r="G197" s="189">
        <v>46226</v>
      </c>
      <c r="H197" s="122">
        <v>30201022401068</v>
      </c>
      <c r="I197" s="268" t="s">
        <v>1734</v>
      </c>
      <c r="J197" s="267">
        <v>450</v>
      </c>
      <c r="K197" s="271">
        <f t="shared" si="2"/>
        <v>450</v>
      </c>
    </row>
    <row r="198" spans="2:11" ht="28.5" x14ac:dyDescent="0.65">
      <c r="B198" s="71">
        <v>197</v>
      </c>
      <c r="C198" s="84" t="s">
        <v>1190</v>
      </c>
      <c r="D198" s="121" t="s">
        <v>1731</v>
      </c>
      <c r="E198" s="84">
        <v>22</v>
      </c>
      <c r="F198" s="71">
        <v>1114709676</v>
      </c>
      <c r="G198" s="189">
        <v>46226</v>
      </c>
      <c r="H198" s="122">
        <v>30403012401797</v>
      </c>
      <c r="I198" s="268" t="s">
        <v>1734</v>
      </c>
      <c r="J198" s="267">
        <v>450</v>
      </c>
      <c r="K198" s="271">
        <f t="shared" si="2"/>
        <v>450</v>
      </c>
    </row>
    <row r="199" spans="2:11" ht="28.5" x14ac:dyDescent="0.65">
      <c r="B199" s="71">
        <v>198</v>
      </c>
      <c r="C199" s="84" t="s">
        <v>1191</v>
      </c>
      <c r="D199" s="121" t="s">
        <v>1731</v>
      </c>
      <c r="E199" s="84">
        <v>18</v>
      </c>
      <c r="F199" s="71">
        <v>1040685213</v>
      </c>
      <c r="G199" s="189">
        <v>46226</v>
      </c>
      <c r="H199" s="122">
        <v>30710252405153</v>
      </c>
      <c r="I199" s="268" t="s">
        <v>1734</v>
      </c>
      <c r="J199" s="267">
        <v>450</v>
      </c>
      <c r="K199" s="271">
        <f t="shared" ref="K199:K233" si="3">IF(J199="","",J199)</f>
        <v>450</v>
      </c>
    </row>
    <row r="200" spans="2:11" ht="28.5" x14ac:dyDescent="0.65">
      <c r="B200" s="71">
        <v>199</v>
      </c>
      <c r="C200" s="84" t="s">
        <v>1192</v>
      </c>
      <c r="D200" s="121" t="s">
        <v>1731</v>
      </c>
      <c r="E200" s="84">
        <v>24</v>
      </c>
      <c r="F200" s="71">
        <v>1101275660</v>
      </c>
      <c r="G200" s="189">
        <v>46226</v>
      </c>
      <c r="H200" s="122">
        <v>3020720242893</v>
      </c>
      <c r="I200" s="268" t="s">
        <v>1734</v>
      </c>
      <c r="J200" s="267">
        <v>450</v>
      </c>
      <c r="K200" s="271">
        <f t="shared" si="3"/>
        <v>450</v>
      </c>
    </row>
    <row r="201" spans="2:11" ht="28.5" x14ac:dyDescent="0.65">
      <c r="B201" s="71">
        <v>200</v>
      </c>
      <c r="C201" s="84" t="s">
        <v>1193</v>
      </c>
      <c r="D201" s="121" t="s">
        <v>1731</v>
      </c>
      <c r="E201" s="84">
        <v>15</v>
      </c>
      <c r="F201" s="71">
        <v>1151463159</v>
      </c>
      <c r="G201" s="189">
        <v>46226</v>
      </c>
      <c r="H201" s="122">
        <v>31012182404477</v>
      </c>
      <c r="I201" s="268" t="s">
        <v>1734</v>
      </c>
      <c r="J201" s="267">
        <v>450</v>
      </c>
      <c r="K201" s="271">
        <f t="shared" si="3"/>
        <v>450</v>
      </c>
    </row>
    <row r="202" spans="2:11" ht="28.5" x14ac:dyDescent="0.65">
      <c r="B202" s="71">
        <v>201</v>
      </c>
      <c r="C202" s="84" t="s">
        <v>1194</v>
      </c>
      <c r="D202" s="121" t="s">
        <v>1731</v>
      </c>
      <c r="E202" s="84">
        <v>27</v>
      </c>
      <c r="F202" s="71">
        <v>1119725758</v>
      </c>
      <c r="G202" s="189">
        <v>46228</v>
      </c>
      <c r="H202" s="122">
        <v>29904192402544</v>
      </c>
      <c r="I202" s="268" t="s">
        <v>1733</v>
      </c>
      <c r="J202" s="267">
        <v>450</v>
      </c>
      <c r="K202" s="271">
        <f t="shared" si="3"/>
        <v>450</v>
      </c>
    </row>
    <row r="203" spans="2:11" ht="28.5" x14ac:dyDescent="0.65">
      <c r="B203" s="71">
        <v>202</v>
      </c>
      <c r="C203" s="84" t="s">
        <v>1195</v>
      </c>
      <c r="D203" s="121" t="s">
        <v>1731</v>
      </c>
      <c r="E203" s="84">
        <v>18</v>
      </c>
      <c r="F203" s="71">
        <v>1286131266</v>
      </c>
      <c r="G203" s="189">
        <v>46228</v>
      </c>
      <c r="H203" s="122">
        <v>30802012406863</v>
      </c>
      <c r="I203" s="268" t="s">
        <v>1733</v>
      </c>
      <c r="J203" s="267">
        <v>450</v>
      </c>
      <c r="K203" s="271">
        <f t="shared" si="3"/>
        <v>450</v>
      </c>
    </row>
    <row r="204" spans="2:11" ht="28.5" x14ac:dyDescent="0.65">
      <c r="B204" s="71">
        <v>203</v>
      </c>
      <c r="C204" s="84" t="s">
        <v>1196</v>
      </c>
      <c r="D204" s="121" t="s">
        <v>1731</v>
      </c>
      <c r="E204" s="84">
        <v>32</v>
      </c>
      <c r="F204" s="71">
        <v>1150372497</v>
      </c>
      <c r="G204" s="189">
        <v>46228</v>
      </c>
      <c r="H204" s="122">
        <v>29405252200168</v>
      </c>
      <c r="I204" s="268" t="s">
        <v>1733</v>
      </c>
      <c r="J204" s="267">
        <v>450</v>
      </c>
      <c r="K204" s="271">
        <f t="shared" si="3"/>
        <v>450</v>
      </c>
    </row>
    <row r="205" spans="2:11" ht="28.5" x14ac:dyDescent="0.65">
      <c r="B205" s="71">
        <v>204</v>
      </c>
      <c r="C205" s="84" t="s">
        <v>1197</v>
      </c>
      <c r="D205" s="121" t="s">
        <v>1731</v>
      </c>
      <c r="E205" s="84">
        <v>19</v>
      </c>
      <c r="F205" s="71">
        <v>1147016495</v>
      </c>
      <c r="G205" s="189">
        <v>46228</v>
      </c>
      <c r="H205" s="122">
        <v>30609142202084</v>
      </c>
      <c r="I205" s="268" t="s">
        <v>1733</v>
      </c>
      <c r="J205" s="267">
        <v>450</v>
      </c>
      <c r="K205" s="271">
        <f t="shared" si="3"/>
        <v>450</v>
      </c>
    </row>
    <row r="206" spans="2:11" ht="28.5" x14ac:dyDescent="0.65">
      <c r="B206" s="71">
        <v>205</v>
      </c>
      <c r="C206" s="84" t="s">
        <v>1198</v>
      </c>
      <c r="D206" s="121" t="s">
        <v>1731</v>
      </c>
      <c r="E206" s="84">
        <v>34</v>
      </c>
      <c r="F206" s="71">
        <v>1010731072</v>
      </c>
      <c r="G206" s="189">
        <v>46228</v>
      </c>
      <c r="H206" s="122">
        <v>2920321240418</v>
      </c>
      <c r="I206" s="268" t="s">
        <v>1733</v>
      </c>
      <c r="J206" s="267">
        <v>450</v>
      </c>
      <c r="K206" s="271">
        <f t="shared" si="3"/>
        <v>450</v>
      </c>
    </row>
    <row r="207" spans="2:11" ht="28.5" x14ac:dyDescent="0.65">
      <c r="B207" s="71">
        <v>206</v>
      </c>
      <c r="C207" s="84" t="s">
        <v>1199</v>
      </c>
      <c r="D207" s="121" t="s">
        <v>1731</v>
      </c>
      <c r="E207" s="84">
        <v>18</v>
      </c>
      <c r="F207" s="71">
        <v>1149903463</v>
      </c>
      <c r="G207" s="189">
        <v>46228</v>
      </c>
      <c r="H207" s="122">
        <v>30708252200808</v>
      </c>
      <c r="I207" s="268" t="s">
        <v>1733</v>
      </c>
      <c r="J207" s="267">
        <v>450</v>
      </c>
      <c r="K207" s="271">
        <f t="shared" si="3"/>
        <v>450</v>
      </c>
    </row>
    <row r="208" spans="2:11" ht="28.5" x14ac:dyDescent="0.65">
      <c r="B208" s="71">
        <v>207</v>
      </c>
      <c r="C208" s="84" t="s">
        <v>1200</v>
      </c>
      <c r="D208" s="121" t="s">
        <v>1731</v>
      </c>
      <c r="E208" s="84">
        <v>32</v>
      </c>
      <c r="F208" s="71">
        <v>1155259818</v>
      </c>
      <c r="G208" s="189">
        <v>46228</v>
      </c>
      <c r="H208" s="122">
        <v>28901142202231</v>
      </c>
      <c r="I208" s="268" t="s">
        <v>1733</v>
      </c>
      <c r="J208" s="267">
        <v>450</v>
      </c>
      <c r="K208" s="271">
        <f t="shared" si="3"/>
        <v>450</v>
      </c>
    </row>
    <row r="209" spans="2:11" ht="28.5" x14ac:dyDescent="0.65">
      <c r="B209" s="71">
        <v>208</v>
      </c>
      <c r="C209" s="84" t="s">
        <v>1201</v>
      </c>
      <c r="D209" s="121" t="s">
        <v>1731</v>
      </c>
      <c r="E209" s="84">
        <v>19</v>
      </c>
      <c r="F209" s="71">
        <v>1153518115</v>
      </c>
      <c r="G209" s="189">
        <v>46228</v>
      </c>
      <c r="H209" s="122">
        <v>29311122400535</v>
      </c>
      <c r="I209" s="268" t="s">
        <v>1733</v>
      </c>
      <c r="J209" s="267">
        <v>450</v>
      </c>
      <c r="K209" s="271">
        <f t="shared" si="3"/>
        <v>450</v>
      </c>
    </row>
    <row r="210" spans="2:11" ht="28.5" x14ac:dyDescent="0.65">
      <c r="B210" s="71">
        <v>209</v>
      </c>
      <c r="C210" s="84" t="s">
        <v>1202</v>
      </c>
      <c r="D210" s="121" t="s">
        <v>1731</v>
      </c>
      <c r="E210" s="84">
        <v>18</v>
      </c>
      <c r="F210" s="71">
        <v>1148718252</v>
      </c>
      <c r="G210" s="189">
        <v>46228</v>
      </c>
      <c r="H210" s="122">
        <v>20610272400056</v>
      </c>
      <c r="I210" s="268" t="s">
        <v>1733</v>
      </c>
      <c r="J210" s="267">
        <v>450</v>
      </c>
      <c r="K210" s="271">
        <f t="shared" si="3"/>
        <v>450</v>
      </c>
    </row>
    <row r="211" spans="2:11" ht="28.5" x14ac:dyDescent="0.65">
      <c r="B211" s="71">
        <v>210</v>
      </c>
      <c r="C211" s="84" t="s">
        <v>1203</v>
      </c>
      <c r="D211" s="121" t="s">
        <v>1731</v>
      </c>
      <c r="E211" s="84">
        <v>19</v>
      </c>
      <c r="F211" s="71">
        <v>1158542058</v>
      </c>
      <c r="G211" s="189">
        <v>46228</v>
      </c>
      <c r="H211" s="122">
        <v>30807012406695</v>
      </c>
      <c r="I211" s="268" t="s">
        <v>1733</v>
      </c>
      <c r="J211" s="267">
        <v>450</v>
      </c>
      <c r="K211" s="271">
        <f t="shared" si="3"/>
        <v>450</v>
      </c>
    </row>
    <row r="212" spans="2:11" ht="28.5" x14ac:dyDescent="0.65">
      <c r="B212" s="71">
        <v>211</v>
      </c>
      <c r="C212" s="84" t="s">
        <v>1204</v>
      </c>
      <c r="D212" s="121" t="s">
        <v>1731</v>
      </c>
      <c r="E212" s="84">
        <v>26</v>
      </c>
      <c r="F212" s="71">
        <v>1107202877</v>
      </c>
      <c r="G212" s="189">
        <v>46228</v>
      </c>
      <c r="H212" s="122">
        <v>30609232400594</v>
      </c>
      <c r="I212" s="268" t="s">
        <v>1733</v>
      </c>
      <c r="J212" s="267">
        <v>450</v>
      </c>
      <c r="K212" s="271">
        <f t="shared" si="3"/>
        <v>450</v>
      </c>
    </row>
    <row r="213" spans="2:11" ht="28.5" x14ac:dyDescent="0.65">
      <c r="B213" s="71">
        <v>212</v>
      </c>
      <c r="C213" s="84" t="s">
        <v>1205</v>
      </c>
      <c r="D213" s="121" t="s">
        <v>1731</v>
      </c>
      <c r="E213" s="84">
        <v>32</v>
      </c>
      <c r="F213" s="71">
        <v>1037485691</v>
      </c>
      <c r="G213" s="189">
        <v>46228</v>
      </c>
      <c r="H213" s="122">
        <v>30004152403097</v>
      </c>
      <c r="I213" s="268" t="s">
        <v>1733</v>
      </c>
      <c r="J213" s="267">
        <v>450</v>
      </c>
      <c r="K213" s="271">
        <f t="shared" si="3"/>
        <v>450</v>
      </c>
    </row>
    <row r="214" spans="2:11" ht="28.5" x14ac:dyDescent="0.65">
      <c r="B214" s="71">
        <v>213</v>
      </c>
      <c r="C214" s="84" t="s">
        <v>1206</v>
      </c>
      <c r="D214" s="121" t="s">
        <v>1731</v>
      </c>
      <c r="E214" s="84">
        <v>35</v>
      </c>
      <c r="F214" s="71">
        <v>1066419817</v>
      </c>
      <c r="G214" s="189">
        <v>46228</v>
      </c>
      <c r="H214" s="122">
        <v>29309082403019</v>
      </c>
      <c r="I214" s="268" t="s">
        <v>1733</v>
      </c>
      <c r="J214" s="267">
        <v>450</v>
      </c>
      <c r="K214" s="271">
        <f t="shared" si="3"/>
        <v>450</v>
      </c>
    </row>
    <row r="215" spans="2:11" ht="28.5" x14ac:dyDescent="0.65">
      <c r="B215" s="71">
        <v>214</v>
      </c>
      <c r="C215" s="84" t="s">
        <v>1207</v>
      </c>
      <c r="D215" s="121" t="s">
        <v>1731</v>
      </c>
      <c r="E215" s="84">
        <v>38</v>
      </c>
      <c r="F215" s="71">
        <v>1094643751</v>
      </c>
      <c r="G215" s="189">
        <v>46230</v>
      </c>
      <c r="H215" s="122">
        <v>29011072402783</v>
      </c>
      <c r="I215" s="268" t="s">
        <v>1734</v>
      </c>
      <c r="J215" s="267">
        <v>450</v>
      </c>
      <c r="K215" s="271">
        <f t="shared" si="3"/>
        <v>450</v>
      </c>
    </row>
    <row r="216" spans="2:11" ht="28.5" x14ac:dyDescent="0.65">
      <c r="B216" s="71">
        <v>215</v>
      </c>
      <c r="C216" s="84" t="s">
        <v>1208</v>
      </c>
      <c r="D216" s="121" t="s">
        <v>1731</v>
      </c>
      <c r="E216" s="84">
        <v>17</v>
      </c>
      <c r="F216" s="71">
        <v>110305683</v>
      </c>
      <c r="G216" s="189">
        <v>46230</v>
      </c>
      <c r="H216" s="122">
        <v>28801202405388</v>
      </c>
      <c r="I216" s="268" t="s">
        <v>1734</v>
      </c>
      <c r="J216" s="267">
        <v>450</v>
      </c>
      <c r="K216" s="271">
        <f t="shared" si="3"/>
        <v>450</v>
      </c>
    </row>
    <row r="217" spans="2:11" ht="28.5" x14ac:dyDescent="0.65">
      <c r="B217" s="71">
        <v>216</v>
      </c>
      <c r="C217" s="84" t="s">
        <v>1209</v>
      </c>
      <c r="D217" s="121" t="s">
        <v>1731</v>
      </c>
      <c r="E217" s="84">
        <v>20</v>
      </c>
      <c r="F217" s="71">
        <v>1140429348</v>
      </c>
      <c r="G217" s="189">
        <v>46230</v>
      </c>
      <c r="H217" s="122">
        <v>30812102407449</v>
      </c>
      <c r="I217" s="268" t="s">
        <v>1734</v>
      </c>
      <c r="J217" s="267">
        <v>450</v>
      </c>
      <c r="K217" s="271">
        <f t="shared" si="3"/>
        <v>450</v>
      </c>
    </row>
    <row r="218" spans="2:11" ht="28.5" x14ac:dyDescent="0.65">
      <c r="B218" s="71">
        <v>217</v>
      </c>
      <c r="C218" s="84" t="s">
        <v>1210</v>
      </c>
      <c r="D218" s="121" t="s">
        <v>1731</v>
      </c>
      <c r="E218" s="84">
        <v>24</v>
      </c>
      <c r="F218" s="71">
        <v>1156297367</v>
      </c>
      <c r="G218" s="189">
        <v>46230</v>
      </c>
      <c r="H218" s="122">
        <v>30605032400713</v>
      </c>
      <c r="I218" s="268" t="s">
        <v>1734</v>
      </c>
      <c r="J218" s="267">
        <v>450</v>
      </c>
      <c r="K218" s="271">
        <f t="shared" si="3"/>
        <v>450</v>
      </c>
    </row>
    <row r="219" spans="2:11" ht="28.5" x14ac:dyDescent="0.65">
      <c r="B219" s="71">
        <v>218</v>
      </c>
      <c r="C219" s="84" t="s">
        <v>1211</v>
      </c>
      <c r="D219" s="121" t="s">
        <v>1731</v>
      </c>
      <c r="E219" s="84">
        <v>21</v>
      </c>
      <c r="F219" s="71">
        <v>1158017957</v>
      </c>
      <c r="G219" s="189">
        <v>46230</v>
      </c>
      <c r="H219" s="122">
        <v>30204042400652</v>
      </c>
      <c r="I219" s="268" t="s">
        <v>1734</v>
      </c>
      <c r="J219" s="267">
        <v>450</v>
      </c>
      <c r="K219" s="271">
        <f t="shared" si="3"/>
        <v>450</v>
      </c>
    </row>
    <row r="220" spans="2:11" ht="28.5" x14ac:dyDescent="0.65">
      <c r="B220" s="71">
        <v>219</v>
      </c>
      <c r="C220" s="84" t="s">
        <v>1212</v>
      </c>
      <c r="D220" s="121" t="s">
        <v>1731</v>
      </c>
      <c r="E220" s="84">
        <v>28</v>
      </c>
      <c r="F220" s="71">
        <v>1094399619</v>
      </c>
      <c r="G220" s="189">
        <v>46230</v>
      </c>
      <c r="H220" s="122">
        <v>30502252400656</v>
      </c>
      <c r="I220" s="268" t="s">
        <v>1734</v>
      </c>
      <c r="J220" s="267">
        <v>450</v>
      </c>
      <c r="K220" s="271">
        <f t="shared" si="3"/>
        <v>450</v>
      </c>
    </row>
    <row r="221" spans="2:11" ht="28.5" x14ac:dyDescent="0.65">
      <c r="B221" s="71">
        <v>220</v>
      </c>
      <c r="C221" s="84" t="s">
        <v>1213</v>
      </c>
      <c r="D221" s="121" t="s">
        <v>1731</v>
      </c>
      <c r="E221" s="84">
        <v>35</v>
      </c>
      <c r="F221" s="71">
        <v>1032845313</v>
      </c>
      <c r="G221" s="189">
        <v>46230</v>
      </c>
      <c r="H221" s="122">
        <v>29803012413062</v>
      </c>
      <c r="I221" s="268" t="s">
        <v>1734</v>
      </c>
      <c r="J221" s="267">
        <v>450</v>
      </c>
      <c r="K221" s="271">
        <f t="shared" si="3"/>
        <v>450</v>
      </c>
    </row>
    <row r="222" spans="2:11" ht="28.5" x14ac:dyDescent="0.65">
      <c r="B222" s="71">
        <v>221</v>
      </c>
      <c r="C222" s="84" t="s">
        <v>1214</v>
      </c>
      <c r="D222" s="121" t="s">
        <v>1731</v>
      </c>
      <c r="E222" s="84">
        <v>24</v>
      </c>
      <c r="F222" s="71">
        <v>109599318</v>
      </c>
      <c r="G222" s="189">
        <v>46230</v>
      </c>
      <c r="H222" s="122">
        <v>29103032400241</v>
      </c>
      <c r="I222" s="268" t="s">
        <v>1734</v>
      </c>
      <c r="J222" s="267">
        <v>450</v>
      </c>
      <c r="K222" s="271">
        <f t="shared" si="3"/>
        <v>450</v>
      </c>
    </row>
    <row r="223" spans="2:11" ht="28.5" x14ac:dyDescent="0.65">
      <c r="B223" s="71">
        <v>222</v>
      </c>
      <c r="C223" s="84" t="s">
        <v>1215</v>
      </c>
      <c r="D223" s="121" t="s">
        <v>1731</v>
      </c>
      <c r="E223" s="84">
        <v>26</v>
      </c>
      <c r="F223" s="71">
        <v>1153381031</v>
      </c>
      <c r="G223" s="189">
        <v>46230</v>
      </c>
      <c r="H223" s="122">
        <v>30110012213128</v>
      </c>
      <c r="I223" s="268" t="s">
        <v>1734</v>
      </c>
      <c r="J223" s="267">
        <v>450</v>
      </c>
      <c r="K223" s="271">
        <f t="shared" si="3"/>
        <v>450</v>
      </c>
    </row>
    <row r="224" spans="2:11" ht="28.5" x14ac:dyDescent="0.65">
      <c r="B224" s="71">
        <v>223</v>
      </c>
      <c r="C224" s="84" t="s">
        <v>1216</v>
      </c>
      <c r="D224" s="121" t="s">
        <v>1731</v>
      </c>
      <c r="E224" s="84">
        <v>20</v>
      </c>
      <c r="F224" s="71">
        <v>1114693035</v>
      </c>
      <c r="G224" s="189">
        <v>46230</v>
      </c>
      <c r="H224" s="122">
        <v>29911112401026</v>
      </c>
      <c r="I224" s="268" t="s">
        <v>1734</v>
      </c>
      <c r="J224" s="267">
        <v>450</v>
      </c>
      <c r="K224" s="271">
        <f t="shared" si="3"/>
        <v>450</v>
      </c>
    </row>
    <row r="225" spans="2:11" ht="28.5" x14ac:dyDescent="0.65">
      <c r="B225" s="71">
        <v>224</v>
      </c>
      <c r="C225" s="84" t="s">
        <v>1217</v>
      </c>
      <c r="D225" s="121" t="s">
        <v>1731</v>
      </c>
      <c r="E225" s="84">
        <v>27</v>
      </c>
      <c r="F225" s="71">
        <v>1149399321</v>
      </c>
      <c r="G225" s="189">
        <v>46230</v>
      </c>
      <c r="H225" s="122">
        <v>30602082201046</v>
      </c>
      <c r="I225" s="268" t="s">
        <v>1734</v>
      </c>
      <c r="J225" s="267">
        <v>450</v>
      </c>
      <c r="K225" s="271">
        <f t="shared" si="3"/>
        <v>450</v>
      </c>
    </row>
    <row r="226" spans="2:11" ht="28.5" x14ac:dyDescent="0.65">
      <c r="B226" s="71">
        <v>225</v>
      </c>
      <c r="C226" s="84" t="s">
        <v>1218</v>
      </c>
      <c r="D226" s="121" t="s">
        <v>1731</v>
      </c>
      <c r="E226" s="84">
        <v>27</v>
      </c>
      <c r="F226" s="71">
        <v>1143914979</v>
      </c>
      <c r="G226" s="189">
        <v>46233</v>
      </c>
      <c r="H226" s="122">
        <v>29812012400717</v>
      </c>
      <c r="I226" s="268" t="s">
        <v>1734</v>
      </c>
      <c r="J226" s="267">
        <v>450</v>
      </c>
      <c r="K226" s="271">
        <f t="shared" si="3"/>
        <v>450</v>
      </c>
    </row>
    <row r="227" spans="2:11" ht="28.5" x14ac:dyDescent="0.65">
      <c r="B227" s="71">
        <v>226</v>
      </c>
      <c r="C227" s="84" t="s">
        <v>1219</v>
      </c>
      <c r="D227" s="121" t="s">
        <v>1731</v>
      </c>
      <c r="E227" s="84">
        <v>45</v>
      </c>
      <c r="F227" s="71">
        <v>1211012848</v>
      </c>
      <c r="G227" s="189">
        <v>46233</v>
      </c>
      <c r="H227" s="122">
        <v>29810132402826</v>
      </c>
      <c r="I227" s="268" t="s">
        <v>1734</v>
      </c>
      <c r="J227" s="267">
        <v>450</v>
      </c>
      <c r="K227" s="271">
        <f t="shared" si="3"/>
        <v>450</v>
      </c>
    </row>
    <row r="228" spans="2:11" ht="28.5" x14ac:dyDescent="0.65">
      <c r="B228" s="71">
        <v>227</v>
      </c>
      <c r="C228" s="84" t="s">
        <v>224</v>
      </c>
      <c r="D228" s="121" t="s">
        <v>1731</v>
      </c>
      <c r="E228" s="84">
        <v>60</v>
      </c>
      <c r="F228" s="71">
        <v>1282953766</v>
      </c>
      <c r="G228" s="189">
        <v>46233</v>
      </c>
      <c r="H228" s="122">
        <v>28011222402791</v>
      </c>
      <c r="I228" s="268" t="s">
        <v>1734</v>
      </c>
      <c r="J228" s="267">
        <v>450</v>
      </c>
      <c r="K228" s="271">
        <f t="shared" si="3"/>
        <v>450</v>
      </c>
    </row>
    <row r="229" spans="2:11" ht="26" x14ac:dyDescent="0.6">
      <c r="B229" s="71">
        <v>228</v>
      </c>
      <c r="C229" s="121" t="s">
        <v>1029</v>
      </c>
      <c r="D229" s="121" t="s">
        <v>1271</v>
      </c>
      <c r="E229" s="121">
        <v>27</v>
      </c>
      <c r="F229" s="71">
        <v>1129975167</v>
      </c>
      <c r="G229" s="189">
        <v>46233</v>
      </c>
      <c r="H229" s="122">
        <v>29904062402402</v>
      </c>
      <c r="I229" s="268" t="s">
        <v>1734</v>
      </c>
      <c r="J229" s="267">
        <v>450</v>
      </c>
      <c r="K229" s="271">
        <f t="shared" si="3"/>
        <v>450</v>
      </c>
    </row>
    <row r="230" spans="2:11" ht="26" x14ac:dyDescent="0.6">
      <c r="B230" s="71">
        <v>229</v>
      </c>
      <c r="C230" s="121" t="s">
        <v>1030</v>
      </c>
      <c r="D230" s="121" t="s">
        <v>1731</v>
      </c>
      <c r="E230" s="121">
        <v>20</v>
      </c>
      <c r="F230" s="71">
        <v>1002961696</v>
      </c>
      <c r="G230" s="189">
        <v>46233</v>
      </c>
      <c r="H230" s="122">
        <v>30610032401136</v>
      </c>
      <c r="I230" s="268" t="s">
        <v>1734</v>
      </c>
      <c r="J230" s="267">
        <v>450</v>
      </c>
      <c r="K230" s="271">
        <f t="shared" si="3"/>
        <v>450</v>
      </c>
    </row>
    <row r="231" spans="2:11" ht="26" x14ac:dyDescent="0.6">
      <c r="B231" s="71">
        <v>230</v>
      </c>
      <c r="C231" s="121" t="s">
        <v>1031</v>
      </c>
      <c r="D231" s="121" t="s">
        <v>459</v>
      </c>
      <c r="E231" s="121">
        <v>33</v>
      </c>
      <c r="F231" s="71">
        <v>1274240301</v>
      </c>
      <c r="G231" s="189">
        <v>46233</v>
      </c>
      <c r="H231" s="122">
        <v>29302012400433</v>
      </c>
      <c r="I231" s="268" t="s">
        <v>1734</v>
      </c>
      <c r="J231" s="267">
        <v>450</v>
      </c>
      <c r="K231" s="271">
        <f t="shared" si="3"/>
        <v>450</v>
      </c>
    </row>
    <row r="232" spans="2:11" ht="26" x14ac:dyDescent="0.6">
      <c r="B232" s="71">
        <v>231</v>
      </c>
      <c r="C232" s="121" t="s">
        <v>1032</v>
      </c>
      <c r="D232" s="121" t="s">
        <v>1271</v>
      </c>
      <c r="E232" s="121">
        <v>43</v>
      </c>
      <c r="F232" s="71">
        <v>1118089556</v>
      </c>
      <c r="G232" s="189">
        <v>46233</v>
      </c>
      <c r="H232" s="122">
        <v>28301302402502</v>
      </c>
      <c r="I232" s="268" t="s">
        <v>1734</v>
      </c>
      <c r="J232" s="267">
        <v>450</v>
      </c>
      <c r="K232" s="271">
        <f t="shared" si="3"/>
        <v>450</v>
      </c>
    </row>
    <row r="233" spans="2:11" ht="26" x14ac:dyDescent="0.6">
      <c r="B233" s="71">
        <v>232</v>
      </c>
      <c r="C233" s="121" t="s">
        <v>1033</v>
      </c>
      <c r="D233" s="121" t="s">
        <v>1731</v>
      </c>
      <c r="E233" s="121">
        <v>40</v>
      </c>
      <c r="F233" s="71">
        <v>1143059449</v>
      </c>
      <c r="G233" s="189">
        <v>46233</v>
      </c>
      <c r="H233" s="122">
        <v>28611222202684</v>
      </c>
      <c r="I233" s="268" t="s">
        <v>1734</v>
      </c>
      <c r="J233" s="267">
        <v>450</v>
      </c>
      <c r="K233" s="271">
        <f t="shared" si="3"/>
        <v>450</v>
      </c>
    </row>
    <row r="234" spans="2:11" ht="28.5" x14ac:dyDescent="0.65">
      <c r="B234" s="71">
        <v>233</v>
      </c>
      <c r="C234" s="84"/>
      <c r="D234" s="84"/>
      <c r="E234" s="84"/>
      <c r="F234" s="72"/>
      <c r="G234" s="190"/>
      <c r="H234" s="122"/>
      <c r="I234" s="122"/>
      <c r="J234" s="270"/>
      <c r="K234" s="26"/>
    </row>
    <row r="235" spans="2:11" ht="28.5" x14ac:dyDescent="0.65">
      <c r="B235" s="71">
        <v>234</v>
      </c>
      <c r="C235" s="84"/>
      <c r="D235" s="84"/>
      <c r="E235" s="84"/>
      <c r="F235" s="72"/>
      <c r="G235" s="190"/>
      <c r="H235" s="122"/>
      <c r="I235" s="122"/>
      <c r="J235" s="235"/>
      <c r="K235" s="26"/>
    </row>
    <row r="236" spans="2:11" ht="28.5" x14ac:dyDescent="0.65">
      <c r="B236" s="71">
        <v>235</v>
      </c>
      <c r="C236" s="84"/>
      <c r="D236" s="84"/>
      <c r="E236" s="84"/>
      <c r="F236" s="72"/>
      <c r="G236" s="190"/>
      <c r="H236" s="122"/>
      <c r="I236" s="122"/>
      <c r="J236" s="235"/>
      <c r="K236" s="26"/>
    </row>
    <row r="237" spans="2:11" ht="28.5" x14ac:dyDescent="0.65">
      <c r="B237" s="71">
        <v>236</v>
      </c>
      <c r="C237" s="84"/>
      <c r="D237" s="84"/>
      <c r="E237" s="84"/>
      <c r="F237" s="72"/>
      <c r="G237" s="190"/>
      <c r="H237" s="122"/>
      <c r="I237" s="122"/>
      <c r="J237" s="235"/>
      <c r="K237" s="26"/>
    </row>
    <row r="238" spans="2:11" ht="28.5" x14ac:dyDescent="0.65">
      <c r="B238" s="71">
        <v>237</v>
      </c>
      <c r="C238" s="84"/>
      <c r="D238" s="84"/>
      <c r="E238" s="84"/>
      <c r="F238" s="72"/>
      <c r="G238" s="190"/>
      <c r="H238" s="122"/>
      <c r="I238" s="122"/>
      <c r="J238" s="235"/>
      <c r="K238" s="26"/>
    </row>
    <row r="239" spans="2:11" ht="28.5" x14ac:dyDescent="0.65">
      <c r="B239" s="71">
        <v>238</v>
      </c>
      <c r="C239" s="84"/>
      <c r="D239" s="84"/>
      <c r="E239" s="84"/>
      <c r="F239" s="72"/>
      <c r="G239" s="190"/>
      <c r="H239" s="122"/>
      <c r="I239" s="122"/>
      <c r="J239" s="235"/>
      <c r="K239" s="26"/>
    </row>
    <row r="240" spans="2:11" ht="28.5" x14ac:dyDescent="0.65">
      <c r="B240" s="71">
        <v>239</v>
      </c>
      <c r="C240" s="84"/>
      <c r="D240" s="84"/>
      <c r="E240" s="84"/>
      <c r="F240" s="72"/>
      <c r="G240" s="190"/>
      <c r="H240" s="122"/>
      <c r="I240" s="122"/>
      <c r="J240" s="235"/>
      <c r="K240" s="26"/>
    </row>
    <row r="241" spans="2:11" ht="28.5" x14ac:dyDescent="0.65">
      <c r="B241" s="71">
        <v>240</v>
      </c>
      <c r="C241" s="84"/>
      <c r="D241" s="84"/>
      <c r="E241" s="84"/>
      <c r="F241" s="72"/>
      <c r="G241" s="190"/>
      <c r="H241" s="122"/>
      <c r="I241" s="122"/>
      <c r="J241" s="235"/>
      <c r="K241" s="26"/>
    </row>
    <row r="242" spans="2:11" ht="28.5" x14ac:dyDescent="0.65">
      <c r="B242" s="71">
        <v>241</v>
      </c>
      <c r="C242" s="84"/>
      <c r="D242" s="84"/>
      <c r="E242" s="84"/>
      <c r="F242" s="72"/>
      <c r="G242" s="190"/>
      <c r="H242" s="122"/>
      <c r="I242" s="122"/>
      <c r="J242" s="235"/>
      <c r="K242" s="26"/>
    </row>
    <row r="243" spans="2:11" ht="28.5" x14ac:dyDescent="0.65">
      <c r="B243" s="71">
        <v>242</v>
      </c>
      <c r="C243" s="84"/>
      <c r="D243" s="84"/>
      <c r="E243" s="84"/>
      <c r="F243" s="72"/>
      <c r="G243" s="190"/>
      <c r="H243" s="122"/>
      <c r="I243" s="122"/>
      <c r="J243" s="235"/>
      <c r="K243" s="26"/>
    </row>
    <row r="244" spans="2:11" ht="28.5" x14ac:dyDescent="0.65">
      <c r="B244" s="71">
        <v>243</v>
      </c>
      <c r="C244" s="84"/>
      <c r="D244" s="84"/>
      <c r="E244" s="84"/>
      <c r="F244" s="72"/>
      <c r="G244" s="190"/>
      <c r="H244" s="122"/>
      <c r="I244" s="122"/>
      <c r="J244" s="235"/>
      <c r="K244" s="26"/>
    </row>
    <row r="245" spans="2:11" ht="28.5" x14ac:dyDescent="0.65">
      <c r="B245" s="71">
        <v>244</v>
      </c>
      <c r="C245" s="84"/>
      <c r="D245" s="84"/>
      <c r="E245" s="84"/>
      <c r="F245" s="72"/>
      <c r="G245" s="190"/>
      <c r="H245" s="122"/>
      <c r="I245" s="122"/>
      <c r="J245" s="235"/>
      <c r="K245" s="26"/>
    </row>
    <row r="246" spans="2:11" ht="28.5" x14ac:dyDescent="0.65">
      <c r="B246" s="71">
        <v>245</v>
      </c>
      <c r="C246" s="84"/>
      <c r="D246" s="84"/>
      <c r="E246" s="84"/>
      <c r="F246" s="72"/>
      <c r="G246" s="190"/>
      <c r="H246" s="122"/>
      <c r="I246" s="122"/>
      <c r="J246" s="235"/>
      <c r="K246" s="26"/>
    </row>
    <row r="247" spans="2:11" ht="28.5" x14ac:dyDescent="0.65">
      <c r="B247" s="71">
        <v>246</v>
      </c>
      <c r="C247" s="84"/>
      <c r="D247" s="84"/>
      <c r="E247" s="84"/>
      <c r="F247" s="72"/>
      <c r="G247" s="190"/>
      <c r="H247" s="122"/>
      <c r="I247" s="122"/>
      <c r="J247" s="235"/>
      <c r="K247" s="26"/>
    </row>
    <row r="248" spans="2:11" ht="28.5" x14ac:dyDescent="0.65">
      <c r="B248" s="71">
        <v>247</v>
      </c>
      <c r="C248" s="84"/>
      <c r="D248" s="84"/>
      <c r="E248" s="84"/>
      <c r="F248" s="72"/>
      <c r="G248" s="190"/>
      <c r="H248" s="122"/>
      <c r="I248" s="122"/>
      <c r="J248" s="235"/>
      <c r="K248" s="26"/>
    </row>
    <row r="249" spans="2:11" ht="28.5" x14ac:dyDescent="0.65">
      <c r="B249" s="71">
        <v>248</v>
      </c>
      <c r="C249" s="84"/>
      <c r="D249" s="84"/>
      <c r="E249" s="84"/>
      <c r="F249" s="72"/>
      <c r="G249" s="190"/>
      <c r="H249" s="122"/>
      <c r="I249" s="122"/>
      <c r="J249" s="235"/>
      <c r="K249" s="26"/>
    </row>
    <row r="250" spans="2:11" ht="28.5" x14ac:dyDescent="0.65">
      <c r="B250" s="71">
        <v>249</v>
      </c>
      <c r="C250" s="84"/>
      <c r="D250" s="84"/>
      <c r="E250" s="84"/>
      <c r="F250" s="72"/>
      <c r="G250" s="190"/>
      <c r="H250" s="122"/>
      <c r="I250" s="122"/>
      <c r="J250" s="235"/>
      <c r="K250" s="26"/>
    </row>
    <row r="251" spans="2:11" ht="28.5" x14ac:dyDescent="0.65">
      <c r="B251" s="71">
        <v>250</v>
      </c>
      <c r="C251" s="84"/>
      <c r="D251" s="84"/>
      <c r="E251" s="84"/>
      <c r="F251" s="72"/>
      <c r="G251" s="190"/>
      <c r="H251" s="122"/>
      <c r="I251" s="122"/>
      <c r="J251" s="235"/>
      <c r="K251" s="26"/>
    </row>
    <row r="252" spans="2:11" ht="28.5" x14ac:dyDescent="0.65">
      <c r="B252" s="71">
        <v>251</v>
      </c>
      <c r="C252" s="84"/>
      <c r="D252" s="84"/>
      <c r="E252" s="84"/>
      <c r="F252" s="70"/>
      <c r="G252" s="170"/>
      <c r="H252" s="122"/>
      <c r="I252" s="122"/>
      <c r="J252" s="223"/>
      <c r="K252" s="26"/>
    </row>
    <row r="253" spans="2:11" ht="28.5" x14ac:dyDescent="0.65">
      <c r="B253" s="71">
        <v>252</v>
      </c>
      <c r="C253" s="84"/>
      <c r="D253" s="84"/>
      <c r="E253" s="84"/>
      <c r="F253" s="70"/>
      <c r="G253" s="170"/>
      <c r="H253" s="122"/>
      <c r="I253" s="122"/>
      <c r="J253" s="223"/>
      <c r="K253" s="26"/>
    </row>
    <row r="254" spans="2:11" ht="28.5" x14ac:dyDescent="0.65">
      <c r="B254" s="71">
        <v>253</v>
      </c>
      <c r="C254" s="84"/>
      <c r="D254" s="84"/>
      <c r="E254" s="84"/>
      <c r="F254" s="70"/>
      <c r="G254" s="170"/>
      <c r="H254" s="122"/>
      <c r="I254" s="122"/>
      <c r="J254" s="223"/>
      <c r="K254" s="26"/>
    </row>
    <row r="255" spans="2:11" ht="28.5" x14ac:dyDescent="0.65">
      <c r="B255" s="71">
        <v>254</v>
      </c>
      <c r="C255" s="84"/>
      <c r="D255" s="84"/>
      <c r="E255" s="84"/>
      <c r="F255" s="70"/>
      <c r="G255" s="170"/>
      <c r="H255" s="122"/>
      <c r="I255" s="122"/>
      <c r="J255" s="223"/>
      <c r="K255" s="26"/>
    </row>
    <row r="256" spans="2:11" ht="28.5" x14ac:dyDescent="0.65">
      <c r="B256" s="71">
        <v>255</v>
      </c>
      <c r="C256" s="84"/>
      <c r="D256" s="84"/>
      <c r="E256" s="84"/>
      <c r="F256" s="70"/>
      <c r="G256" s="170"/>
      <c r="H256" s="122"/>
      <c r="I256" s="122"/>
      <c r="J256" s="223"/>
      <c r="K256" s="26"/>
    </row>
    <row r="257" spans="2:11" ht="28.5" x14ac:dyDescent="0.65">
      <c r="B257" s="71">
        <v>256</v>
      </c>
      <c r="C257" s="84"/>
      <c r="D257" s="84"/>
      <c r="E257" s="84"/>
      <c r="F257" s="70"/>
      <c r="G257" s="170"/>
      <c r="H257" s="122"/>
      <c r="I257" s="122"/>
      <c r="J257" s="223"/>
      <c r="K257" s="26"/>
    </row>
    <row r="258" spans="2:11" ht="28.5" x14ac:dyDescent="0.65">
      <c r="B258" s="71">
        <v>257</v>
      </c>
      <c r="C258" s="84"/>
      <c r="D258" s="84"/>
      <c r="E258" s="84"/>
      <c r="F258" s="70"/>
      <c r="G258" s="170"/>
      <c r="H258" s="122"/>
      <c r="I258" s="122"/>
      <c r="J258" s="223"/>
      <c r="K258" s="26"/>
    </row>
    <row r="259" spans="2:11" ht="28.5" x14ac:dyDescent="0.65">
      <c r="B259" s="71">
        <v>258</v>
      </c>
      <c r="C259" s="84"/>
      <c r="D259" s="84"/>
      <c r="E259" s="84"/>
      <c r="F259" s="70"/>
      <c r="G259" s="170"/>
      <c r="H259" s="122"/>
      <c r="I259" s="122"/>
      <c r="J259" s="223"/>
      <c r="K259" s="26"/>
    </row>
    <row r="260" spans="2:11" ht="28.5" x14ac:dyDescent="0.65">
      <c r="B260" s="71">
        <v>259</v>
      </c>
      <c r="C260" s="84"/>
      <c r="D260" s="84"/>
      <c r="E260" s="84"/>
      <c r="F260" s="70"/>
      <c r="G260" s="170"/>
      <c r="H260" s="122"/>
      <c r="I260" s="122"/>
      <c r="J260" s="223"/>
      <c r="K260" s="26"/>
    </row>
    <row r="261" spans="2:11" ht="28.5" x14ac:dyDescent="0.65">
      <c r="B261" s="71">
        <v>260</v>
      </c>
      <c r="C261" s="84"/>
      <c r="D261" s="84"/>
      <c r="E261" s="84"/>
      <c r="F261" s="70"/>
      <c r="G261" s="170"/>
      <c r="H261" s="122"/>
      <c r="I261" s="122"/>
      <c r="J261" s="223"/>
      <c r="K261" s="26"/>
    </row>
    <row r="262" spans="2:11" ht="28.5" x14ac:dyDescent="0.65">
      <c r="B262" s="71">
        <v>261</v>
      </c>
      <c r="C262" s="84"/>
      <c r="D262" s="84"/>
      <c r="E262" s="84"/>
      <c r="F262" s="70"/>
      <c r="G262" s="170"/>
      <c r="H262" s="122"/>
      <c r="I262" s="122"/>
      <c r="J262" s="223"/>
      <c r="K262" s="26"/>
    </row>
    <row r="263" spans="2:11" ht="28.5" x14ac:dyDescent="0.65">
      <c r="B263" s="71">
        <v>262</v>
      </c>
      <c r="C263" s="84"/>
      <c r="D263" s="84"/>
      <c r="E263" s="84"/>
      <c r="F263" s="70"/>
      <c r="G263" s="170"/>
      <c r="H263" s="122"/>
      <c r="I263" s="122"/>
      <c r="J263" s="223"/>
      <c r="K263" s="26"/>
    </row>
    <row r="264" spans="2:11" ht="26" x14ac:dyDescent="0.6">
      <c r="B264" s="71">
        <v>263</v>
      </c>
      <c r="F264" s="70"/>
      <c r="G264" s="170"/>
      <c r="H264" s="122"/>
      <c r="I264" s="122"/>
      <c r="J264" s="223"/>
      <c r="K264" s="26"/>
    </row>
    <row r="265" spans="2:11" ht="26" x14ac:dyDescent="0.6">
      <c r="B265" s="71">
        <v>264</v>
      </c>
      <c r="F265" s="70"/>
      <c r="G265" s="170"/>
      <c r="H265" s="122"/>
      <c r="I265" s="122"/>
      <c r="J265" s="223"/>
      <c r="K265" s="26"/>
    </row>
    <row r="266" spans="2:11" ht="26" x14ac:dyDescent="0.6">
      <c r="B266" s="71">
        <v>265</v>
      </c>
      <c r="F266" s="70"/>
      <c r="G266" s="170"/>
      <c r="H266" s="122"/>
      <c r="I266" s="122"/>
      <c r="J266" s="223"/>
      <c r="K266" s="26"/>
    </row>
    <row r="267" spans="2:11" ht="26" x14ac:dyDescent="0.6">
      <c r="B267" s="71">
        <v>266</v>
      </c>
      <c r="F267" s="70"/>
      <c r="G267" s="170"/>
      <c r="H267" s="122"/>
      <c r="I267" s="122"/>
      <c r="J267" s="223"/>
      <c r="K267" s="26"/>
    </row>
    <row r="268" spans="2:11" ht="26" x14ac:dyDescent="0.6">
      <c r="B268" s="71">
        <v>267</v>
      </c>
      <c r="F268" s="70"/>
      <c r="G268" s="170"/>
      <c r="H268" s="122"/>
      <c r="I268" s="122"/>
      <c r="J268" s="223"/>
      <c r="K268" s="26"/>
    </row>
    <row r="269" spans="2:11" ht="26" x14ac:dyDescent="0.6">
      <c r="B269" s="71">
        <v>268</v>
      </c>
      <c r="F269" s="70"/>
      <c r="G269" s="170"/>
      <c r="H269" s="122"/>
      <c r="I269" s="122"/>
      <c r="J269" s="223"/>
      <c r="K269" s="26"/>
    </row>
    <row r="270" spans="2:11" ht="26" x14ac:dyDescent="0.6">
      <c r="B270" s="71">
        <v>269</v>
      </c>
      <c r="F270" s="70"/>
      <c r="G270" s="170"/>
      <c r="H270" s="122"/>
      <c r="I270" s="122"/>
      <c r="J270" s="223"/>
      <c r="K270" s="26"/>
    </row>
    <row r="271" spans="2:11" ht="26" x14ac:dyDescent="0.6">
      <c r="B271" s="71">
        <v>270</v>
      </c>
      <c r="F271" s="70"/>
      <c r="G271" s="170"/>
      <c r="H271" s="122"/>
      <c r="I271" s="122"/>
      <c r="J271" s="223"/>
      <c r="K271" s="26"/>
    </row>
    <row r="272" spans="2:11" ht="26" x14ac:dyDescent="0.6">
      <c r="B272" s="71">
        <v>271</v>
      </c>
      <c r="F272" s="70"/>
      <c r="G272" s="170"/>
      <c r="H272" s="122"/>
      <c r="I272" s="122"/>
      <c r="J272" s="223"/>
      <c r="K272" s="26"/>
    </row>
    <row r="273" spans="2:11" ht="26" x14ac:dyDescent="0.6">
      <c r="B273" s="71">
        <v>272</v>
      </c>
      <c r="F273" s="70"/>
      <c r="G273" s="170"/>
      <c r="H273" s="122"/>
      <c r="I273" s="122"/>
      <c r="J273" s="223"/>
      <c r="K273" s="26"/>
    </row>
    <row r="274" spans="2:11" ht="26" x14ac:dyDescent="0.6">
      <c r="B274" s="71">
        <v>273</v>
      </c>
      <c r="F274" s="70"/>
      <c r="G274" s="170"/>
      <c r="H274" s="122"/>
      <c r="I274" s="122"/>
      <c r="J274" s="223"/>
      <c r="K274" s="26"/>
    </row>
    <row r="275" spans="2:11" ht="26" x14ac:dyDescent="0.6">
      <c r="B275" s="71">
        <v>274</v>
      </c>
      <c r="F275" s="70"/>
      <c r="G275" s="170"/>
      <c r="H275" s="122"/>
      <c r="I275" s="122"/>
      <c r="J275" s="223"/>
      <c r="K275" s="26"/>
    </row>
    <row r="276" spans="2:11" ht="26" x14ac:dyDescent="0.6">
      <c r="B276" s="71">
        <v>275</v>
      </c>
      <c r="F276" s="70"/>
      <c r="G276" s="170"/>
      <c r="H276" s="122"/>
      <c r="I276" s="122"/>
      <c r="J276" s="223"/>
      <c r="K276" s="26"/>
    </row>
    <row r="277" spans="2:11" ht="26" x14ac:dyDescent="0.6">
      <c r="B277" s="71">
        <v>276</v>
      </c>
      <c r="F277" s="70"/>
      <c r="G277" s="170"/>
      <c r="H277" s="122"/>
      <c r="I277" s="122"/>
      <c r="J277" s="223"/>
      <c r="K277" s="26"/>
    </row>
    <row r="278" spans="2:11" ht="26" x14ac:dyDescent="0.6">
      <c r="B278" s="71">
        <v>277</v>
      </c>
      <c r="F278" s="70"/>
      <c r="G278" s="170"/>
      <c r="H278" s="122"/>
      <c r="I278" s="122"/>
      <c r="J278" s="223"/>
      <c r="K278" s="26"/>
    </row>
    <row r="279" spans="2:11" ht="26" x14ac:dyDescent="0.6">
      <c r="B279" s="71">
        <v>278</v>
      </c>
      <c r="F279" s="70"/>
      <c r="G279" s="170"/>
      <c r="H279" s="122"/>
      <c r="I279" s="122"/>
      <c r="J279" s="223"/>
      <c r="K279" s="26"/>
    </row>
    <row r="280" spans="2:11" ht="26" x14ac:dyDescent="0.6">
      <c r="B280" s="71">
        <v>279</v>
      </c>
      <c r="F280" s="70"/>
      <c r="G280" s="170"/>
      <c r="H280" s="70"/>
      <c r="I280" s="70"/>
      <c r="J280" s="223"/>
      <c r="K280" s="26"/>
    </row>
    <row r="281" spans="2:11" ht="26" x14ac:dyDescent="0.6">
      <c r="B281" s="71">
        <v>280</v>
      </c>
      <c r="F281" s="70"/>
      <c r="G281" s="170"/>
      <c r="H281" s="70"/>
      <c r="I281" s="70"/>
      <c r="J281" s="223"/>
      <c r="K281" s="26"/>
    </row>
    <row r="282" spans="2:11" ht="26" x14ac:dyDescent="0.6">
      <c r="B282" s="71">
        <v>281</v>
      </c>
      <c r="F282" s="70"/>
      <c r="G282" s="170"/>
      <c r="H282" s="70"/>
      <c r="I282" s="70"/>
      <c r="J282" s="223"/>
      <c r="K282" s="26"/>
    </row>
    <row r="283" spans="2:11" ht="26" x14ac:dyDescent="0.6">
      <c r="B283" s="71">
        <v>282</v>
      </c>
      <c r="F283" s="70"/>
      <c r="G283" s="170"/>
      <c r="H283" s="70"/>
      <c r="I283" s="70"/>
      <c r="J283" s="223"/>
      <c r="K283" s="26"/>
    </row>
    <row r="284" spans="2:11" ht="26" x14ac:dyDescent="0.6">
      <c r="B284" s="71">
        <v>283</v>
      </c>
      <c r="F284" s="70"/>
      <c r="G284" s="170"/>
      <c r="H284" s="70"/>
      <c r="I284" s="70"/>
      <c r="J284" s="223"/>
      <c r="K284" s="26"/>
    </row>
    <row r="285" spans="2:11" ht="26" x14ac:dyDescent="0.6">
      <c r="B285" s="71">
        <v>284</v>
      </c>
      <c r="F285" s="70"/>
      <c r="G285" s="170"/>
      <c r="H285" s="70"/>
      <c r="I285" s="70"/>
      <c r="J285" s="223"/>
      <c r="K285" s="26"/>
    </row>
    <row r="286" spans="2:11" ht="26" x14ac:dyDescent="0.6">
      <c r="B286" s="71">
        <v>285</v>
      </c>
      <c r="F286" s="70"/>
      <c r="G286" s="170"/>
      <c r="H286" s="70"/>
      <c r="I286" s="70"/>
      <c r="J286" s="223"/>
      <c r="K286" s="26"/>
    </row>
    <row r="287" spans="2:11" ht="26" x14ac:dyDescent="0.6">
      <c r="B287" s="71">
        <v>286</v>
      </c>
      <c r="F287" s="70"/>
      <c r="G287" s="170"/>
      <c r="H287" s="70"/>
      <c r="I287" s="70"/>
      <c r="J287" s="223"/>
      <c r="K287" s="26"/>
    </row>
    <row r="288" spans="2:11" ht="26" x14ac:dyDescent="0.6">
      <c r="B288" s="71">
        <v>287</v>
      </c>
      <c r="F288" s="70"/>
      <c r="G288" s="170"/>
      <c r="H288" s="70"/>
      <c r="I288" s="70"/>
      <c r="J288" s="223"/>
      <c r="K288" s="26"/>
    </row>
    <row r="289" spans="2:11" ht="26" x14ac:dyDescent="0.6">
      <c r="B289" s="71">
        <v>288</v>
      </c>
      <c r="F289" s="70"/>
      <c r="G289" s="170"/>
      <c r="H289" s="70"/>
      <c r="I289" s="70"/>
      <c r="J289" s="223"/>
      <c r="K289" s="26"/>
    </row>
    <row r="290" spans="2:11" ht="26" x14ac:dyDescent="0.6">
      <c r="B290" s="71">
        <v>289</v>
      </c>
      <c r="F290" s="70"/>
      <c r="G290" s="170"/>
      <c r="H290" s="70"/>
      <c r="I290" s="70"/>
      <c r="J290" s="223"/>
      <c r="K290" s="26"/>
    </row>
    <row r="291" spans="2:11" ht="26" x14ac:dyDescent="0.6">
      <c r="B291" s="71">
        <v>290</v>
      </c>
      <c r="F291" s="70"/>
      <c r="G291" s="170"/>
      <c r="H291" s="70"/>
      <c r="I291" s="70"/>
      <c r="J291" s="223"/>
      <c r="K291" s="26"/>
    </row>
    <row r="292" spans="2:11" ht="26" x14ac:dyDescent="0.6">
      <c r="B292" s="71">
        <v>291</v>
      </c>
      <c r="F292" s="70"/>
      <c r="G292" s="170"/>
      <c r="H292" s="70"/>
      <c r="I292" s="70"/>
      <c r="J292" s="223"/>
      <c r="K292" s="26"/>
    </row>
    <row r="293" spans="2:11" ht="26" x14ac:dyDescent="0.6">
      <c r="B293" s="71">
        <v>300</v>
      </c>
      <c r="F293" s="70"/>
      <c r="G293" s="170"/>
      <c r="H293" s="70"/>
      <c r="I293" s="70"/>
      <c r="J293" s="223"/>
      <c r="K293" s="26"/>
    </row>
    <row r="294" spans="2:11" ht="26" x14ac:dyDescent="0.6">
      <c r="B294" s="71">
        <v>301</v>
      </c>
      <c r="F294" s="70"/>
      <c r="G294" s="170"/>
      <c r="H294" s="70"/>
      <c r="I294" s="70"/>
      <c r="J294" s="223"/>
      <c r="K294" s="26"/>
    </row>
    <row r="295" spans="2:11" ht="26" x14ac:dyDescent="0.6">
      <c r="B295" s="71">
        <v>302</v>
      </c>
      <c r="F295" s="70"/>
      <c r="G295" s="170"/>
      <c r="H295" s="70"/>
      <c r="I295" s="70"/>
      <c r="J295" s="223"/>
      <c r="K295" s="26"/>
    </row>
    <row r="296" spans="2:11" ht="26" x14ac:dyDescent="0.6">
      <c r="B296" s="71">
        <v>303</v>
      </c>
      <c r="F296" s="70"/>
      <c r="G296" s="170"/>
      <c r="H296" s="70"/>
      <c r="I296" s="70"/>
      <c r="J296" s="223"/>
      <c r="K296" s="26"/>
    </row>
    <row r="297" spans="2:11" ht="26" x14ac:dyDescent="0.6">
      <c r="B297" s="71">
        <v>304</v>
      </c>
      <c r="F297" s="70"/>
      <c r="G297" s="170"/>
      <c r="H297" s="70"/>
      <c r="I297" s="70"/>
      <c r="J297" s="223"/>
      <c r="K297" s="26"/>
    </row>
    <row r="298" spans="2:11" ht="26" x14ac:dyDescent="0.6">
      <c r="B298" s="71">
        <v>305</v>
      </c>
      <c r="F298" s="70"/>
      <c r="G298" s="170"/>
      <c r="H298" s="70"/>
      <c r="I298" s="70"/>
      <c r="J298" s="223"/>
      <c r="K298" s="26"/>
    </row>
    <row r="299" spans="2:11" ht="26" x14ac:dyDescent="0.6">
      <c r="B299" s="71">
        <v>306</v>
      </c>
      <c r="F299" s="70"/>
      <c r="G299" s="170"/>
      <c r="H299" s="70"/>
      <c r="I299" s="70"/>
      <c r="J299" s="223"/>
      <c r="K299" s="26"/>
    </row>
    <row r="300" spans="2:11" ht="26" x14ac:dyDescent="0.6">
      <c r="B300" s="71">
        <v>307</v>
      </c>
      <c r="F300" s="70"/>
      <c r="G300" s="170"/>
      <c r="H300" s="70"/>
      <c r="I300" s="70"/>
      <c r="J300" s="223"/>
      <c r="K300" s="26"/>
    </row>
    <row r="301" spans="2:11" ht="26" x14ac:dyDescent="0.6">
      <c r="B301" s="71">
        <v>308</v>
      </c>
      <c r="F301" s="70"/>
      <c r="G301" s="170"/>
      <c r="H301" s="70"/>
      <c r="I301" s="70"/>
      <c r="J301" s="223"/>
      <c r="K301" s="26"/>
    </row>
    <row r="302" spans="2:11" ht="26" x14ac:dyDescent="0.6">
      <c r="B302" s="71">
        <v>309</v>
      </c>
      <c r="F302" s="70"/>
      <c r="G302" s="170"/>
      <c r="H302" s="70"/>
      <c r="I302" s="70"/>
      <c r="J302" s="223"/>
      <c r="K302" s="26"/>
    </row>
    <row r="303" spans="2:11" ht="26" x14ac:dyDescent="0.6">
      <c r="B303" s="71">
        <v>310</v>
      </c>
      <c r="F303" s="70"/>
      <c r="G303" s="170"/>
      <c r="H303" s="70"/>
      <c r="I303" s="70"/>
      <c r="J303" s="223"/>
      <c r="K303" s="26"/>
    </row>
    <row r="304" spans="2:11" ht="26" x14ac:dyDescent="0.6">
      <c r="B304" s="71">
        <v>311</v>
      </c>
      <c r="F304" s="70"/>
      <c r="G304" s="170"/>
      <c r="H304" s="70"/>
      <c r="I304" s="70"/>
      <c r="J304" s="223"/>
      <c r="K304" s="26"/>
    </row>
    <row r="305" spans="2:11" ht="26" x14ac:dyDescent="0.6">
      <c r="B305" s="71">
        <v>312</v>
      </c>
      <c r="G305" s="163"/>
      <c r="J305" s="216"/>
      <c r="K305" s="26"/>
    </row>
    <row r="306" spans="2:11" ht="26" x14ac:dyDescent="0.6">
      <c r="B306" s="71">
        <v>313</v>
      </c>
      <c r="G306" s="163"/>
      <c r="J306" s="216"/>
      <c r="K306" s="26"/>
    </row>
    <row r="307" spans="2:11" ht="26" x14ac:dyDescent="0.6">
      <c r="B307" s="71">
        <v>314</v>
      </c>
      <c r="G307" s="163"/>
      <c r="J307" s="216"/>
      <c r="K307" s="26"/>
    </row>
    <row r="308" spans="2:11" ht="26" x14ac:dyDescent="0.6">
      <c r="B308" s="71">
        <v>315</v>
      </c>
      <c r="G308" s="163"/>
      <c r="J308" s="216"/>
      <c r="K308" s="26"/>
    </row>
  </sheetData>
  <mergeCells count="1">
    <mergeCell ref="B1:K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autoPict="0" r:id="rId5">
            <anchor moveWithCells="1">
              <from>
                <xdr:col>2</xdr:col>
                <xdr:colOff>1708150</xdr:colOff>
                <xdr:row>181</xdr:row>
                <xdr:rowOff>0</xdr:rowOff>
              </from>
              <to>
                <xdr:col>2</xdr:col>
                <xdr:colOff>1898650</xdr:colOff>
                <xdr:row>181</xdr:row>
                <xdr:rowOff>152400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A767"/>
  <sheetViews>
    <sheetView rightToLeft="1" topLeftCell="A290" zoomScale="62" zoomScaleNormal="62" workbookViewId="0">
      <selection activeCell="H303" sqref="H303"/>
    </sheetView>
  </sheetViews>
  <sheetFormatPr defaultColWidth="9" defaultRowHeight="31.5" customHeight="1" x14ac:dyDescent="0.6"/>
  <cols>
    <col min="1" max="1" width="12.7265625" style="103" customWidth="1"/>
    <col min="2" max="2" width="5.26953125" style="105" customWidth="1"/>
    <col min="3" max="3" width="29.90625" style="105" customWidth="1"/>
    <col min="4" max="4" width="5.7265625" style="105" customWidth="1"/>
    <col min="5" max="5" width="25.08984375" style="83" customWidth="1"/>
    <col min="6" max="6" width="20.36328125" style="83" customWidth="1"/>
    <col min="7" max="7" width="19.7265625" style="104" customWidth="1"/>
    <col min="8" max="8" width="12.7265625" style="112" customWidth="1"/>
    <col min="9" max="9" width="10.90625" style="105" customWidth="1"/>
    <col min="10" max="16384" width="9" style="105"/>
  </cols>
  <sheetData>
    <row r="1" spans="1:8" ht="31.5" customHeight="1" x14ac:dyDescent="0.55000000000000004">
      <c r="A1" s="191"/>
      <c r="B1" s="103"/>
      <c r="C1" s="103"/>
      <c r="D1" s="257" t="s">
        <v>127</v>
      </c>
      <c r="E1" s="257"/>
      <c r="F1" s="257"/>
      <c r="H1" s="191"/>
    </row>
    <row r="2" spans="1:8" ht="31.5" customHeight="1" x14ac:dyDescent="0.55000000000000004">
      <c r="A2" s="191"/>
      <c r="B2" s="103"/>
      <c r="C2" s="103"/>
      <c r="D2" s="258"/>
      <c r="E2" s="258"/>
      <c r="F2" s="258"/>
      <c r="G2" s="106"/>
      <c r="H2" s="195"/>
    </row>
    <row r="3" spans="1:8" ht="31.5" customHeight="1" x14ac:dyDescent="0.35">
      <c r="A3" s="191"/>
      <c r="B3" s="107" t="s">
        <v>0</v>
      </c>
      <c r="C3" s="108" t="s">
        <v>7</v>
      </c>
      <c r="D3" s="108" t="s">
        <v>1</v>
      </c>
      <c r="E3" s="108" t="s">
        <v>16</v>
      </c>
      <c r="F3" s="108" t="s">
        <v>15</v>
      </c>
      <c r="G3" s="108" t="s">
        <v>3</v>
      </c>
      <c r="H3" s="194" t="s">
        <v>6</v>
      </c>
    </row>
    <row r="4" spans="1:8" ht="31.5" customHeight="1" x14ac:dyDescent="0.55000000000000004">
      <c r="A4" s="192">
        <v>45444</v>
      </c>
      <c r="B4" s="109">
        <v>1</v>
      </c>
      <c r="C4" s="74" t="s">
        <v>140</v>
      </c>
      <c r="D4" s="74" t="s">
        <v>141</v>
      </c>
      <c r="E4" s="74" t="s">
        <v>142</v>
      </c>
      <c r="F4" s="74" t="s">
        <v>143</v>
      </c>
      <c r="G4" s="74">
        <v>1203318384</v>
      </c>
      <c r="H4" s="172">
        <v>45444</v>
      </c>
    </row>
    <row r="5" spans="1:8" ht="31.5" customHeight="1" x14ac:dyDescent="0.55000000000000004">
      <c r="A5" s="191"/>
      <c r="B5" s="109">
        <v>2</v>
      </c>
      <c r="C5" s="74" t="s">
        <v>144</v>
      </c>
      <c r="D5" s="74" t="s">
        <v>131</v>
      </c>
      <c r="E5" s="74" t="s">
        <v>145</v>
      </c>
      <c r="F5" s="74" t="s">
        <v>146</v>
      </c>
      <c r="G5" s="74">
        <v>1118604621</v>
      </c>
      <c r="H5" s="172">
        <v>45444</v>
      </c>
    </row>
    <row r="6" spans="1:8" ht="31.5" customHeight="1" x14ac:dyDescent="0.55000000000000004">
      <c r="A6" s="191"/>
      <c r="B6" s="109">
        <v>3</v>
      </c>
      <c r="C6" s="74" t="s">
        <v>147</v>
      </c>
      <c r="D6" s="74" t="s">
        <v>148</v>
      </c>
      <c r="E6" s="74" t="s">
        <v>145</v>
      </c>
      <c r="F6" s="74" t="s">
        <v>135</v>
      </c>
      <c r="G6" s="74">
        <v>1225973856</v>
      </c>
      <c r="H6" s="172">
        <v>45444</v>
      </c>
    </row>
    <row r="7" spans="1:8" ht="31.5" customHeight="1" x14ac:dyDescent="0.55000000000000004">
      <c r="A7" s="191"/>
      <c r="B7" s="109">
        <v>4</v>
      </c>
      <c r="C7" s="74" t="s">
        <v>149</v>
      </c>
      <c r="D7" s="74" t="s">
        <v>131</v>
      </c>
      <c r="E7" s="74" t="s">
        <v>150</v>
      </c>
      <c r="F7" s="74" t="s">
        <v>135</v>
      </c>
      <c r="G7" s="74">
        <v>1153991019</v>
      </c>
      <c r="H7" s="172">
        <v>45444</v>
      </c>
    </row>
    <row r="8" spans="1:8" ht="31.5" customHeight="1" x14ac:dyDescent="0.55000000000000004">
      <c r="A8" s="191"/>
      <c r="B8" s="109">
        <v>5</v>
      </c>
      <c r="C8" s="74" t="s">
        <v>151</v>
      </c>
      <c r="D8" s="74" t="s">
        <v>131</v>
      </c>
      <c r="E8" s="74" t="s">
        <v>152</v>
      </c>
      <c r="F8" s="74" t="s">
        <v>153</v>
      </c>
      <c r="G8" s="74">
        <v>1007402710</v>
      </c>
      <c r="H8" s="172">
        <v>45444</v>
      </c>
    </row>
    <row r="9" spans="1:8" ht="31.5" customHeight="1" x14ac:dyDescent="0.55000000000000004">
      <c r="A9" s="191"/>
      <c r="B9" s="109">
        <v>6</v>
      </c>
      <c r="C9" s="74" t="s">
        <v>154</v>
      </c>
      <c r="D9" s="74" t="s">
        <v>141</v>
      </c>
      <c r="E9" s="74" t="s">
        <v>145</v>
      </c>
      <c r="F9" s="74" t="s">
        <v>135</v>
      </c>
      <c r="G9" s="85">
        <v>1009821370</v>
      </c>
      <c r="H9" s="172">
        <v>45444</v>
      </c>
    </row>
    <row r="10" spans="1:8" ht="31.5" customHeight="1" x14ac:dyDescent="0.55000000000000004">
      <c r="A10" s="191"/>
      <c r="B10" s="109">
        <v>7</v>
      </c>
      <c r="C10" s="74" t="s">
        <v>155</v>
      </c>
      <c r="D10" s="74" t="s">
        <v>131</v>
      </c>
      <c r="E10" s="74" t="s">
        <v>142</v>
      </c>
      <c r="F10" s="74" t="s">
        <v>156</v>
      </c>
      <c r="G10" s="74">
        <v>1288896584</v>
      </c>
      <c r="H10" s="172">
        <v>45444</v>
      </c>
    </row>
    <row r="11" spans="1:8" ht="31.5" customHeight="1" x14ac:dyDescent="0.55000000000000004">
      <c r="A11" s="191"/>
      <c r="B11" s="109">
        <v>8</v>
      </c>
      <c r="C11" s="74" t="s">
        <v>157</v>
      </c>
      <c r="D11" s="74" t="s">
        <v>131</v>
      </c>
      <c r="E11" s="74" t="s">
        <v>142</v>
      </c>
      <c r="F11" s="74" t="s">
        <v>158</v>
      </c>
      <c r="G11" s="74">
        <v>1208264556</v>
      </c>
      <c r="H11" s="172">
        <v>45444</v>
      </c>
    </row>
    <row r="12" spans="1:8" ht="31.5" customHeight="1" x14ac:dyDescent="0.55000000000000004">
      <c r="A12" s="191"/>
      <c r="B12" s="109">
        <v>9</v>
      </c>
      <c r="C12" s="74" t="s">
        <v>172</v>
      </c>
      <c r="D12" s="74" t="s">
        <v>148</v>
      </c>
      <c r="E12" s="74" t="s">
        <v>142</v>
      </c>
      <c r="F12" s="74" t="s">
        <v>173</v>
      </c>
      <c r="G12" s="74">
        <v>1288824105</v>
      </c>
      <c r="H12" s="172">
        <v>45444</v>
      </c>
    </row>
    <row r="13" spans="1:8" ht="31.5" customHeight="1" x14ac:dyDescent="0.55000000000000004">
      <c r="A13" s="191"/>
      <c r="B13" s="109">
        <v>10</v>
      </c>
      <c r="C13" s="74" t="s">
        <v>160</v>
      </c>
      <c r="D13" s="74" t="s">
        <v>141</v>
      </c>
      <c r="E13" s="74" t="s">
        <v>142</v>
      </c>
      <c r="F13" s="74" t="s">
        <v>161</v>
      </c>
      <c r="G13" s="74">
        <v>1272986640</v>
      </c>
      <c r="H13" s="172">
        <v>45444</v>
      </c>
    </row>
    <row r="14" spans="1:8" ht="31.5" customHeight="1" x14ac:dyDescent="0.55000000000000004">
      <c r="A14" s="191"/>
      <c r="B14" s="109">
        <v>11</v>
      </c>
      <c r="C14" s="74" t="s">
        <v>162</v>
      </c>
      <c r="D14" s="74" t="s">
        <v>148</v>
      </c>
      <c r="E14" s="74" t="s">
        <v>194</v>
      </c>
      <c r="F14" s="74" t="s">
        <v>159</v>
      </c>
      <c r="G14" s="74">
        <v>1272976240</v>
      </c>
      <c r="H14" s="172">
        <v>45444</v>
      </c>
    </row>
    <row r="15" spans="1:8" ht="31.5" customHeight="1" x14ac:dyDescent="0.55000000000000004">
      <c r="A15" s="191"/>
      <c r="B15" s="109">
        <v>12</v>
      </c>
      <c r="C15" s="74" t="s">
        <v>163</v>
      </c>
      <c r="D15" s="74" t="s">
        <v>131</v>
      </c>
      <c r="E15" s="74" t="s">
        <v>145</v>
      </c>
      <c r="F15" s="74" t="s">
        <v>158</v>
      </c>
      <c r="G15" s="74">
        <v>1113958288</v>
      </c>
      <c r="H15" s="172">
        <v>45444</v>
      </c>
    </row>
    <row r="16" spans="1:8" ht="31.5" customHeight="1" x14ac:dyDescent="0.55000000000000004">
      <c r="A16" s="191"/>
      <c r="B16" s="109">
        <v>13</v>
      </c>
      <c r="C16" s="74" t="s">
        <v>164</v>
      </c>
      <c r="D16" s="74" t="s">
        <v>131</v>
      </c>
      <c r="E16" s="74" t="s">
        <v>142</v>
      </c>
      <c r="F16" s="74" t="s">
        <v>146</v>
      </c>
      <c r="G16" s="74">
        <v>1120276407</v>
      </c>
      <c r="H16" s="172">
        <v>45444</v>
      </c>
    </row>
    <row r="17" spans="1:8" ht="31.5" customHeight="1" x14ac:dyDescent="0.55000000000000004">
      <c r="A17" s="191"/>
      <c r="B17" s="109">
        <v>14</v>
      </c>
      <c r="C17" s="74" t="s">
        <v>165</v>
      </c>
      <c r="D17" s="74" t="s">
        <v>148</v>
      </c>
      <c r="E17" s="74" t="s">
        <v>142</v>
      </c>
      <c r="F17" s="74" t="s">
        <v>166</v>
      </c>
      <c r="G17" s="74">
        <v>1281181796</v>
      </c>
      <c r="H17" s="172">
        <v>45444</v>
      </c>
    </row>
    <row r="18" spans="1:8" ht="31.5" customHeight="1" x14ac:dyDescent="0.55000000000000004">
      <c r="A18" s="191"/>
      <c r="B18" s="109">
        <v>15</v>
      </c>
      <c r="C18" s="74" t="s">
        <v>167</v>
      </c>
      <c r="D18" s="74" t="s">
        <v>148</v>
      </c>
      <c r="E18" s="74" t="s">
        <v>145</v>
      </c>
      <c r="F18" s="74" t="s">
        <v>135</v>
      </c>
      <c r="G18" s="74">
        <v>1207937376</v>
      </c>
      <c r="H18" s="172">
        <v>45444</v>
      </c>
    </row>
    <row r="19" spans="1:8" ht="31.5" customHeight="1" x14ac:dyDescent="0.55000000000000004">
      <c r="A19" s="191"/>
      <c r="B19" s="109">
        <v>16</v>
      </c>
      <c r="C19" s="74" t="s">
        <v>168</v>
      </c>
      <c r="D19" s="74" t="s">
        <v>148</v>
      </c>
      <c r="E19" s="74" t="s">
        <v>145</v>
      </c>
      <c r="F19" s="74" t="s">
        <v>158</v>
      </c>
      <c r="G19" s="74">
        <v>1220679310</v>
      </c>
      <c r="H19" s="172">
        <v>45444</v>
      </c>
    </row>
    <row r="20" spans="1:8" ht="31.5" customHeight="1" x14ac:dyDescent="0.55000000000000004">
      <c r="A20" s="191"/>
      <c r="B20" s="109">
        <v>17</v>
      </c>
      <c r="C20" s="74" t="s">
        <v>169</v>
      </c>
      <c r="D20" s="74" t="s">
        <v>141</v>
      </c>
      <c r="E20" s="74" t="s">
        <v>145</v>
      </c>
      <c r="F20" s="74" t="s">
        <v>161</v>
      </c>
      <c r="G20" s="74" t="s">
        <v>134</v>
      </c>
      <c r="H20" s="172">
        <v>45444</v>
      </c>
    </row>
    <row r="21" spans="1:8" ht="31.5" customHeight="1" x14ac:dyDescent="0.55000000000000004">
      <c r="A21" s="191"/>
      <c r="B21" s="109">
        <v>18</v>
      </c>
      <c r="C21" s="74" t="s">
        <v>170</v>
      </c>
      <c r="D21" s="74" t="s">
        <v>141</v>
      </c>
      <c r="E21" s="74" t="s">
        <v>142</v>
      </c>
      <c r="F21" s="74" t="s">
        <v>159</v>
      </c>
      <c r="G21" s="74">
        <v>1271265748</v>
      </c>
      <c r="H21" s="172">
        <v>45444</v>
      </c>
    </row>
    <row r="22" spans="1:8" ht="31.5" customHeight="1" x14ac:dyDescent="0.55000000000000004">
      <c r="A22" s="191"/>
      <c r="B22" s="109">
        <v>19</v>
      </c>
      <c r="C22" s="74" t="s">
        <v>171</v>
      </c>
      <c r="D22" s="74" t="s">
        <v>131</v>
      </c>
      <c r="E22" s="74" t="s">
        <v>142</v>
      </c>
      <c r="F22" s="74" t="s">
        <v>156</v>
      </c>
      <c r="G22" s="85">
        <v>1129434716</v>
      </c>
      <c r="H22" s="172">
        <v>45444</v>
      </c>
    </row>
    <row r="23" spans="1:8" ht="31.5" customHeight="1" x14ac:dyDescent="0.55000000000000004">
      <c r="A23" s="191"/>
      <c r="B23" s="109">
        <v>20</v>
      </c>
      <c r="C23" s="74" t="s">
        <v>174</v>
      </c>
      <c r="D23" s="74" t="s">
        <v>131</v>
      </c>
      <c r="E23" s="74" t="s">
        <v>142</v>
      </c>
      <c r="F23" s="74" t="s">
        <v>175</v>
      </c>
      <c r="G23" s="74">
        <v>1102335406</v>
      </c>
      <c r="H23" s="172">
        <v>45444</v>
      </c>
    </row>
    <row r="24" spans="1:8" ht="31.5" customHeight="1" x14ac:dyDescent="0.55000000000000004">
      <c r="A24" s="191"/>
      <c r="B24" s="109">
        <v>21</v>
      </c>
      <c r="C24" s="74" t="s">
        <v>176</v>
      </c>
      <c r="D24" s="74" t="s">
        <v>131</v>
      </c>
      <c r="E24" s="74" t="s">
        <v>142</v>
      </c>
      <c r="F24" s="74" t="s">
        <v>159</v>
      </c>
      <c r="G24" s="74">
        <v>1124041555</v>
      </c>
      <c r="H24" s="172">
        <v>45444</v>
      </c>
    </row>
    <row r="25" spans="1:8" ht="31.5" customHeight="1" x14ac:dyDescent="0.55000000000000004">
      <c r="A25" s="191"/>
      <c r="B25" s="109">
        <v>22</v>
      </c>
      <c r="C25" s="74" t="s">
        <v>176</v>
      </c>
      <c r="D25" s="74" t="s">
        <v>148</v>
      </c>
      <c r="E25" s="74" t="s">
        <v>150</v>
      </c>
      <c r="F25" s="74" t="s">
        <v>159</v>
      </c>
      <c r="G25" s="74">
        <v>1124041555</v>
      </c>
      <c r="H25" s="172">
        <v>45444</v>
      </c>
    </row>
    <row r="26" spans="1:8" ht="31.5" customHeight="1" x14ac:dyDescent="0.55000000000000004">
      <c r="A26" s="191"/>
      <c r="B26" s="109">
        <v>23</v>
      </c>
      <c r="C26" s="74" t="s">
        <v>177</v>
      </c>
      <c r="D26" s="74" t="s">
        <v>131</v>
      </c>
      <c r="E26" s="74" t="s">
        <v>150</v>
      </c>
      <c r="F26" s="74" t="s">
        <v>178</v>
      </c>
      <c r="G26" s="85">
        <v>1283117333</v>
      </c>
      <c r="H26" s="172">
        <v>45444</v>
      </c>
    </row>
    <row r="27" spans="1:8" ht="31.5" customHeight="1" x14ac:dyDescent="0.55000000000000004">
      <c r="A27" s="191"/>
      <c r="B27" s="109">
        <v>24</v>
      </c>
      <c r="C27" s="74" t="s">
        <v>179</v>
      </c>
      <c r="D27" s="74" t="s">
        <v>131</v>
      </c>
      <c r="E27" s="74" t="s">
        <v>142</v>
      </c>
      <c r="F27" s="74" t="s">
        <v>146</v>
      </c>
      <c r="G27" s="74">
        <v>1065750860</v>
      </c>
      <c r="H27" s="172">
        <v>45444</v>
      </c>
    </row>
    <row r="28" spans="1:8" ht="31.5" customHeight="1" x14ac:dyDescent="0.55000000000000004">
      <c r="A28" s="191"/>
      <c r="B28" s="109">
        <v>25</v>
      </c>
      <c r="C28" s="74" t="s">
        <v>180</v>
      </c>
      <c r="D28" s="74" t="s">
        <v>131</v>
      </c>
      <c r="E28" s="74" t="s">
        <v>150</v>
      </c>
      <c r="F28" s="74" t="s">
        <v>156</v>
      </c>
      <c r="G28" s="74" t="s">
        <v>134</v>
      </c>
      <c r="H28" s="172">
        <v>45444</v>
      </c>
    </row>
    <row r="29" spans="1:8" ht="31.5" customHeight="1" x14ac:dyDescent="0.55000000000000004">
      <c r="A29" s="191"/>
      <c r="B29" s="109">
        <v>26</v>
      </c>
      <c r="C29" s="74" t="s">
        <v>181</v>
      </c>
      <c r="D29" s="74" t="s">
        <v>148</v>
      </c>
      <c r="E29" s="74" t="s">
        <v>142</v>
      </c>
      <c r="F29" s="74" t="s">
        <v>156</v>
      </c>
      <c r="G29" s="74">
        <v>1225977163</v>
      </c>
      <c r="H29" s="172">
        <v>45444</v>
      </c>
    </row>
    <row r="30" spans="1:8" ht="31.5" customHeight="1" x14ac:dyDescent="0.55000000000000004">
      <c r="A30" s="191"/>
      <c r="B30" s="109">
        <v>27</v>
      </c>
      <c r="C30" s="74" t="s">
        <v>182</v>
      </c>
      <c r="D30" s="74" t="s">
        <v>131</v>
      </c>
      <c r="E30" s="74" t="s">
        <v>142</v>
      </c>
      <c r="F30" s="74" t="s">
        <v>183</v>
      </c>
      <c r="G30" s="74">
        <v>1112909175</v>
      </c>
      <c r="H30" s="172">
        <v>45444</v>
      </c>
    </row>
    <row r="31" spans="1:8" ht="31.5" customHeight="1" x14ac:dyDescent="0.55000000000000004">
      <c r="A31" s="191"/>
      <c r="B31" s="109">
        <v>28</v>
      </c>
      <c r="C31" s="74" t="s">
        <v>184</v>
      </c>
      <c r="D31" s="74" t="s">
        <v>131</v>
      </c>
      <c r="E31" s="74" t="s">
        <v>142</v>
      </c>
      <c r="F31" s="74" t="s">
        <v>156</v>
      </c>
      <c r="G31" s="74">
        <v>1141050477</v>
      </c>
      <c r="H31" s="172">
        <v>45444</v>
      </c>
    </row>
    <row r="32" spans="1:8" ht="31.5" customHeight="1" x14ac:dyDescent="0.55000000000000004">
      <c r="A32" s="191"/>
      <c r="B32" s="109">
        <v>29</v>
      </c>
      <c r="C32" s="74" t="s">
        <v>185</v>
      </c>
      <c r="D32" s="74" t="s">
        <v>141</v>
      </c>
      <c r="E32" s="74" t="s">
        <v>186</v>
      </c>
      <c r="F32" s="74" t="s">
        <v>146</v>
      </c>
      <c r="G32" s="74">
        <v>1104906221</v>
      </c>
      <c r="H32" s="172">
        <v>45444</v>
      </c>
    </row>
    <row r="33" spans="1:8" ht="31.5" customHeight="1" x14ac:dyDescent="0.55000000000000004">
      <c r="A33" s="191"/>
      <c r="B33" s="109">
        <v>30</v>
      </c>
      <c r="C33" s="74" t="s">
        <v>187</v>
      </c>
      <c r="D33" s="74" t="s">
        <v>141</v>
      </c>
      <c r="E33" s="74" t="s">
        <v>186</v>
      </c>
      <c r="F33" s="74" t="s">
        <v>188</v>
      </c>
      <c r="G33" s="85">
        <v>1027373547</v>
      </c>
      <c r="H33" s="172">
        <v>45444</v>
      </c>
    </row>
    <row r="34" spans="1:8" ht="31.5" customHeight="1" x14ac:dyDescent="0.55000000000000004">
      <c r="A34" s="191"/>
      <c r="B34" s="109">
        <v>31</v>
      </c>
      <c r="C34" s="74" t="s">
        <v>162</v>
      </c>
      <c r="D34" s="74" t="s">
        <v>148</v>
      </c>
      <c r="E34" s="74" t="s">
        <v>186</v>
      </c>
      <c r="F34" s="74" t="s">
        <v>159</v>
      </c>
      <c r="G34" s="74">
        <v>1272976240</v>
      </c>
      <c r="H34" s="172">
        <v>45444</v>
      </c>
    </row>
    <row r="35" spans="1:8" ht="31.5" customHeight="1" x14ac:dyDescent="0.55000000000000004">
      <c r="A35" s="191"/>
      <c r="B35" s="109">
        <v>32</v>
      </c>
      <c r="C35" s="74" t="s">
        <v>189</v>
      </c>
      <c r="D35" s="74" t="s">
        <v>148</v>
      </c>
      <c r="E35" s="74" t="s">
        <v>186</v>
      </c>
      <c r="F35" s="74" t="s">
        <v>188</v>
      </c>
      <c r="G35" s="85">
        <v>1123256070</v>
      </c>
      <c r="H35" s="172">
        <v>45444</v>
      </c>
    </row>
    <row r="36" spans="1:8" ht="31.5" customHeight="1" x14ac:dyDescent="0.55000000000000004">
      <c r="A36" s="191"/>
      <c r="B36" s="109">
        <v>33</v>
      </c>
      <c r="C36" s="74" t="s">
        <v>190</v>
      </c>
      <c r="D36" s="74" t="s">
        <v>148</v>
      </c>
      <c r="E36" s="74" t="s">
        <v>186</v>
      </c>
      <c r="F36" s="74" t="s">
        <v>146</v>
      </c>
      <c r="G36" s="85">
        <v>1208335944</v>
      </c>
      <c r="H36" s="172">
        <v>45444</v>
      </c>
    </row>
    <row r="37" spans="1:8" ht="31.5" customHeight="1" x14ac:dyDescent="0.55000000000000004">
      <c r="A37" s="191"/>
      <c r="B37" s="109">
        <v>34</v>
      </c>
      <c r="C37" s="74" t="s">
        <v>191</v>
      </c>
      <c r="D37" s="74" t="s">
        <v>148</v>
      </c>
      <c r="E37" s="74" t="s">
        <v>186</v>
      </c>
      <c r="F37" s="74" t="s">
        <v>135</v>
      </c>
      <c r="G37" s="85" t="s">
        <v>134</v>
      </c>
      <c r="H37" s="172">
        <v>45444</v>
      </c>
    </row>
    <row r="38" spans="1:8" ht="31.5" customHeight="1" x14ac:dyDescent="0.55000000000000004">
      <c r="A38" s="191"/>
      <c r="B38" s="109">
        <v>35</v>
      </c>
      <c r="C38" s="74" t="s">
        <v>192</v>
      </c>
      <c r="D38" s="74" t="s">
        <v>131</v>
      </c>
      <c r="E38" s="74" t="s">
        <v>186</v>
      </c>
      <c r="F38" s="74" t="s">
        <v>146</v>
      </c>
      <c r="G38" s="85">
        <v>1150883476</v>
      </c>
      <c r="H38" s="172">
        <v>45444</v>
      </c>
    </row>
    <row r="39" spans="1:8" ht="31.5" customHeight="1" x14ac:dyDescent="0.55000000000000004">
      <c r="A39" s="191"/>
      <c r="B39" s="109">
        <v>36</v>
      </c>
      <c r="C39" s="74" t="s">
        <v>193</v>
      </c>
      <c r="D39" s="74" t="s">
        <v>141</v>
      </c>
      <c r="E39" s="74" t="s">
        <v>195</v>
      </c>
      <c r="F39" s="74" t="s">
        <v>196</v>
      </c>
      <c r="G39" s="85">
        <v>1146289303</v>
      </c>
      <c r="H39" s="172">
        <v>45444</v>
      </c>
    </row>
    <row r="40" spans="1:8" ht="31.5" customHeight="1" x14ac:dyDescent="0.55000000000000004">
      <c r="A40" s="191"/>
      <c r="B40" s="109">
        <v>37</v>
      </c>
      <c r="C40" s="74" t="s">
        <v>181</v>
      </c>
      <c r="D40" s="74" t="s">
        <v>148</v>
      </c>
      <c r="E40" s="74" t="s">
        <v>186</v>
      </c>
      <c r="F40" s="74" t="s">
        <v>133</v>
      </c>
      <c r="G40" s="74">
        <v>1225977163</v>
      </c>
      <c r="H40" s="172">
        <v>45444</v>
      </c>
    </row>
    <row r="41" spans="1:8" ht="31.5" customHeight="1" x14ac:dyDescent="0.55000000000000004">
      <c r="A41" s="191"/>
      <c r="B41" s="109">
        <v>38</v>
      </c>
      <c r="C41" s="74" t="s">
        <v>197</v>
      </c>
      <c r="D41" s="74" t="s">
        <v>148</v>
      </c>
      <c r="E41" s="74" t="s">
        <v>195</v>
      </c>
      <c r="F41" s="74" t="s">
        <v>146</v>
      </c>
      <c r="G41" s="85">
        <v>1201424142</v>
      </c>
      <c r="H41" s="172">
        <v>45444</v>
      </c>
    </row>
    <row r="42" spans="1:8" ht="31.5" customHeight="1" x14ac:dyDescent="0.55000000000000004">
      <c r="A42" s="191"/>
      <c r="B42" s="109">
        <v>39</v>
      </c>
      <c r="C42" s="74" t="s">
        <v>201</v>
      </c>
      <c r="D42" s="74" t="s">
        <v>131</v>
      </c>
      <c r="E42" s="74" t="s">
        <v>200</v>
      </c>
      <c r="F42" s="74" t="s">
        <v>158</v>
      </c>
      <c r="G42" s="85" t="s">
        <v>134</v>
      </c>
      <c r="H42" s="172">
        <v>45444</v>
      </c>
    </row>
    <row r="43" spans="1:8" ht="31.5" customHeight="1" x14ac:dyDescent="0.55000000000000004">
      <c r="A43" s="191"/>
      <c r="B43" s="109">
        <v>40</v>
      </c>
      <c r="C43" s="74" t="s">
        <v>202</v>
      </c>
      <c r="D43" s="74" t="s">
        <v>131</v>
      </c>
      <c r="E43" s="74" t="s">
        <v>200</v>
      </c>
      <c r="F43" s="74" t="s">
        <v>135</v>
      </c>
      <c r="G43" s="85">
        <v>1202903699</v>
      </c>
      <c r="H43" s="172">
        <v>45444</v>
      </c>
    </row>
    <row r="44" spans="1:8" ht="31.5" customHeight="1" x14ac:dyDescent="0.55000000000000004">
      <c r="A44" s="191"/>
      <c r="B44" s="109">
        <v>41</v>
      </c>
      <c r="C44" s="74" t="s">
        <v>203</v>
      </c>
      <c r="D44" s="74" t="s">
        <v>131</v>
      </c>
      <c r="E44" s="74" t="s">
        <v>200</v>
      </c>
      <c r="F44" s="74" t="s">
        <v>135</v>
      </c>
      <c r="G44" s="85">
        <v>1156275195</v>
      </c>
      <c r="H44" s="172">
        <v>45444</v>
      </c>
    </row>
    <row r="45" spans="1:8" ht="31.5" customHeight="1" x14ac:dyDescent="0.55000000000000004">
      <c r="A45" s="191">
        <v>45445</v>
      </c>
      <c r="B45" s="74">
        <v>1</v>
      </c>
      <c r="C45" s="74" t="s">
        <v>214</v>
      </c>
      <c r="D45" s="74" t="s">
        <v>148</v>
      </c>
      <c r="E45" s="74" t="s">
        <v>215</v>
      </c>
      <c r="F45" s="74" t="s">
        <v>132</v>
      </c>
      <c r="G45" s="85">
        <v>1144189986</v>
      </c>
      <c r="H45" s="172">
        <v>45445</v>
      </c>
    </row>
    <row r="46" spans="1:8" ht="31.5" customHeight="1" x14ac:dyDescent="0.55000000000000004">
      <c r="A46" s="191">
        <v>45446</v>
      </c>
      <c r="B46" s="74">
        <v>1</v>
      </c>
      <c r="C46" s="74" t="s">
        <v>216</v>
      </c>
      <c r="D46" s="74" t="s">
        <v>131</v>
      </c>
      <c r="E46" s="74" t="s">
        <v>145</v>
      </c>
      <c r="F46" s="74" t="s">
        <v>156</v>
      </c>
      <c r="G46" s="85">
        <v>1029880274</v>
      </c>
      <c r="H46" s="172">
        <v>45446</v>
      </c>
    </row>
    <row r="47" spans="1:8" ht="31.5" customHeight="1" x14ac:dyDescent="0.55000000000000004">
      <c r="A47" s="191"/>
      <c r="B47" s="74">
        <v>2</v>
      </c>
      <c r="C47" s="74" t="s">
        <v>217</v>
      </c>
      <c r="D47" s="74" t="s">
        <v>131</v>
      </c>
      <c r="E47" s="74" t="s">
        <v>150</v>
      </c>
      <c r="F47" s="74" t="s">
        <v>135</v>
      </c>
      <c r="G47" s="85">
        <v>1207585796</v>
      </c>
      <c r="H47" s="172">
        <v>45446</v>
      </c>
    </row>
    <row r="48" spans="1:8" ht="31.5" customHeight="1" x14ac:dyDescent="0.55000000000000004">
      <c r="A48" s="191"/>
      <c r="B48" s="74">
        <v>3</v>
      </c>
      <c r="C48" s="74" t="s">
        <v>218</v>
      </c>
      <c r="D48" s="74" t="s">
        <v>131</v>
      </c>
      <c r="E48" s="74" t="s">
        <v>142</v>
      </c>
      <c r="F48" s="74" t="s">
        <v>183</v>
      </c>
      <c r="G48" s="85">
        <v>1119331709</v>
      </c>
      <c r="H48" s="172">
        <v>45446</v>
      </c>
    </row>
    <row r="49" spans="1:8" ht="31.5" customHeight="1" x14ac:dyDescent="0.55000000000000004">
      <c r="A49" s="191"/>
      <c r="B49" s="74">
        <v>4</v>
      </c>
      <c r="C49" s="74" t="s">
        <v>219</v>
      </c>
      <c r="D49" s="74" t="s">
        <v>131</v>
      </c>
      <c r="E49" s="74" t="s">
        <v>145</v>
      </c>
      <c r="F49" s="74" t="s">
        <v>159</v>
      </c>
      <c r="G49" s="85">
        <v>1148427870</v>
      </c>
      <c r="H49" s="172">
        <v>45446</v>
      </c>
    </row>
    <row r="50" spans="1:8" ht="31.5" customHeight="1" x14ac:dyDescent="0.55000000000000004">
      <c r="A50" s="191"/>
      <c r="B50" s="74">
        <v>5</v>
      </c>
      <c r="C50" s="74" t="s">
        <v>220</v>
      </c>
      <c r="D50" s="74" t="s">
        <v>148</v>
      </c>
      <c r="E50" s="74" t="s">
        <v>195</v>
      </c>
      <c r="F50" s="74" t="s">
        <v>183</v>
      </c>
      <c r="G50" s="85" t="s">
        <v>134</v>
      </c>
      <c r="H50" s="172">
        <v>45446</v>
      </c>
    </row>
    <row r="51" spans="1:8" ht="31.5" customHeight="1" x14ac:dyDescent="0.55000000000000004">
      <c r="A51" s="191"/>
      <c r="B51" s="74">
        <v>6</v>
      </c>
      <c r="C51" s="74" t="s">
        <v>221</v>
      </c>
      <c r="D51" s="74" t="s">
        <v>148</v>
      </c>
      <c r="E51" s="74" t="s">
        <v>150</v>
      </c>
      <c r="F51" s="74" t="s">
        <v>146</v>
      </c>
      <c r="G51" s="85" t="s">
        <v>134</v>
      </c>
      <c r="H51" s="172">
        <v>45446</v>
      </c>
    </row>
    <row r="52" spans="1:8" ht="31.5" customHeight="1" x14ac:dyDescent="0.55000000000000004">
      <c r="A52" s="191"/>
      <c r="B52" s="74">
        <v>7</v>
      </c>
      <c r="C52" s="74" t="s">
        <v>222</v>
      </c>
      <c r="D52" s="74" t="s">
        <v>131</v>
      </c>
      <c r="E52" s="74" t="s">
        <v>142</v>
      </c>
      <c r="F52" s="74" t="s">
        <v>156</v>
      </c>
      <c r="G52" s="85">
        <v>1029593973</v>
      </c>
      <c r="H52" s="172">
        <v>45446</v>
      </c>
    </row>
    <row r="53" spans="1:8" ht="31.5" customHeight="1" x14ac:dyDescent="0.55000000000000004">
      <c r="A53" s="191"/>
      <c r="B53" s="74">
        <v>8</v>
      </c>
      <c r="C53" s="74" t="s">
        <v>223</v>
      </c>
      <c r="D53" s="74" t="s">
        <v>131</v>
      </c>
      <c r="E53" s="74" t="s">
        <v>200</v>
      </c>
      <c r="F53" s="74" t="s">
        <v>135</v>
      </c>
      <c r="G53" s="85">
        <v>1127956585</v>
      </c>
      <c r="H53" s="172">
        <v>45446</v>
      </c>
    </row>
    <row r="54" spans="1:8" ht="31.5" customHeight="1" x14ac:dyDescent="0.55000000000000004">
      <c r="A54" s="191"/>
      <c r="B54" s="74">
        <v>9</v>
      </c>
      <c r="C54" s="74" t="s">
        <v>224</v>
      </c>
      <c r="D54" s="74" t="s">
        <v>131</v>
      </c>
      <c r="E54" s="74" t="s">
        <v>200</v>
      </c>
      <c r="F54" s="74" t="s">
        <v>196</v>
      </c>
      <c r="G54" s="85">
        <v>1118514981</v>
      </c>
      <c r="H54" s="172">
        <v>45446</v>
      </c>
    </row>
    <row r="55" spans="1:8" ht="31.5" customHeight="1" x14ac:dyDescent="0.55000000000000004">
      <c r="A55" s="191"/>
      <c r="B55" s="74">
        <v>10</v>
      </c>
      <c r="C55" s="74" t="s">
        <v>225</v>
      </c>
      <c r="D55" s="74" t="s">
        <v>131</v>
      </c>
      <c r="E55" s="74" t="s">
        <v>200</v>
      </c>
      <c r="F55" s="74" t="s">
        <v>226</v>
      </c>
      <c r="G55" s="85" t="s">
        <v>134</v>
      </c>
      <c r="H55" s="172">
        <v>45446</v>
      </c>
    </row>
    <row r="56" spans="1:8" ht="31.5" customHeight="1" x14ac:dyDescent="0.55000000000000004">
      <c r="A56" s="191"/>
      <c r="B56" s="74">
        <v>11</v>
      </c>
      <c r="C56" s="74" t="s">
        <v>227</v>
      </c>
      <c r="D56" s="74" t="s">
        <v>131</v>
      </c>
      <c r="E56" s="74" t="s">
        <v>200</v>
      </c>
      <c r="F56" s="74" t="s">
        <v>158</v>
      </c>
      <c r="G56" s="85">
        <v>1125758623</v>
      </c>
      <c r="H56" s="172">
        <v>45446</v>
      </c>
    </row>
    <row r="57" spans="1:8" ht="31.5" customHeight="1" x14ac:dyDescent="0.55000000000000004">
      <c r="A57" s="191"/>
      <c r="B57" s="74">
        <v>12</v>
      </c>
      <c r="C57" s="74" t="s">
        <v>228</v>
      </c>
      <c r="D57" s="74" t="s">
        <v>148</v>
      </c>
      <c r="E57" s="74" t="s">
        <v>186</v>
      </c>
      <c r="F57" s="74" t="s">
        <v>146</v>
      </c>
      <c r="G57" s="85">
        <v>1005348572</v>
      </c>
      <c r="H57" s="172">
        <v>45446</v>
      </c>
    </row>
    <row r="58" spans="1:8" ht="31.5" customHeight="1" x14ac:dyDescent="0.55000000000000004">
      <c r="A58" s="191"/>
      <c r="B58" s="74">
        <v>13</v>
      </c>
      <c r="C58" s="74" t="s">
        <v>229</v>
      </c>
      <c r="D58" s="74" t="s">
        <v>148</v>
      </c>
      <c r="E58" s="74" t="s">
        <v>186</v>
      </c>
      <c r="F58" s="74" t="s">
        <v>135</v>
      </c>
      <c r="G58" s="85">
        <v>1104427335</v>
      </c>
      <c r="H58" s="172">
        <v>45446</v>
      </c>
    </row>
    <row r="59" spans="1:8" ht="31.5" customHeight="1" x14ac:dyDescent="0.55000000000000004">
      <c r="A59" s="191"/>
      <c r="B59" s="74">
        <v>14</v>
      </c>
      <c r="C59" s="74" t="s">
        <v>230</v>
      </c>
      <c r="D59" s="74" t="s">
        <v>148</v>
      </c>
      <c r="E59" s="74" t="s">
        <v>186</v>
      </c>
      <c r="F59" s="74" t="s">
        <v>135</v>
      </c>
      <c r="G59" s="85">
        <v>1118213272</v>
      </c>
      <c r="H59" s="172">
        <v>45446</v>
      </c>
    </row>
    <row r="60" spans="1:8" ht="31.5" customHeight="1" x14ac:dyDescent="0.55000000000000004">
      <c r="A60" s="191"/>
      <c r="B60" s="74">
        <v>15</v>
      </c>
      <c r="C60" s="74" t="s">
        <v>231</v>
      </c>
      <c r="D60" s="74" t="s">
        <v>148</v>
      </c>
      <c r="E60" s="74" t="s">
        <v>186</v>
      </c>
      <c r="F60" s="109" t="s">
        <v>232</v>
      </c>
      <c r="G60" s="74">
        <v>1118860462</v>
      </c>
      <c r="H60" s="172">
        <v>45446</v>
      </c>
    </row>
    <row r="61" spans="1:8" ht="31.5" customHeight="1" x14ac:dyDescent="0.55000000000000004">
      <c r="A61" s="191"/>
      <c r="B61" s="74">
        <v>16</v>
      </c>
      <c r="C61" s="74" t="s">
        <v>233</v>
      </c>
      <c r="D61" s="74" t="s">
        <v>131</v>
      </c>
      <c r="E61" s="74" t="s">
        <v>186</v>
      </c>
      <c r="F61" s="74" t="s">
        <v>188</v>
      </c>
      <c r="G61" s="85">
        <v>1126288119</v>
      </c>
      <c r="H61" s="172">
        <v>45446</v>
      </c>
    </row>
    <row r="62" spans="1:8" ht="31.5" customHeight="1" x14ac:dyDescent="0.55000000000000004">
      <c r="A62" s="193"/>
      <c r="B62" s="74">
        <v>17</v>
      </c>
      <c r="C62" s="74" t="s">
        <v>234</v>
      </c>
      <c r="D62" s="74" t="s">
        <v>148</v>
      </c>
      <c r="E62" s="74" t="s">
        <v>186</v>
      </c>
      <c r="F62" s="74" t="s">
        <v>132</v>
      </c>
      <c r="G62" s="74">
        <v>1005406170</v>
      </c>
      <c r="H62" s="172">
        <v>45446</v>
      </c>
    </row>
    <row r="63" spans="1:8" ht="31.5" customHeight="1" x14ac:dyDescent="0.55000000000000004">
      <c r="A63" s="191"/>
      <c r="B63" s="74">
        <v>18</v>
      </c>
      <c r="C63" s="74" t="s">
        <v>235</v>
      </c>
      <c r="D63" s="74" t="s">
        <v>141</v>
      </c>
      <c r="E63" s="74" t="s">
        <v>215</v>
      </c>
      <c r="F63" s="74" t="s">
        <v>183</v>
      </c>
      <c r="G63" s="74">
        <v>1118656095</v>
      </c>
      <c r="H63" s="172">
        <v>45446</v>
      </c>
    </row>
    <row r="64" spans="1:8" ht="31.5" customHeight="1" x14ac:dyDescent="0.55000000000000004">
      <c r="A64" s="191"/>
      <c r="B64" s="74">
        <v>19</v>
      </c>
      <c r="C64" s="74" t="s">
        <v>236</v>
      </c>
      <c r="D64" s="74" t="s">
        <v>141</v>
      </c>
      <c r="E64" s="74" t="s">
        <v>186</v>
      </c>
      <c r="F64" s="74" t="s">
        <v>188</v>
      </c>
      <c r="G64" s="74">
        <v>1121624669</v>
      </c>
      <c r="H64" s="172">
        <v>45446</v>
      </c>
    </row>
    <row r="65" spans="1:9" ht="31.5" customHeight="1" x14ac:dyDescent="0.55000000000000004">
      <c r="A65" s="191"/>
      <c r="B65" s="74">
        <v>20</v>
      </c>
      <c r="C65" s="74" t="s">
        <v>237</v>
      </c>
      <c r="D65" s="74" t="s">
        <v>131</v>
      </c>
      <c r="E65" s="74" t="s">
        <v>142</v>
      </c>
      <c r="F65" s="74" t="s">
        <v>156</v>
      </c>
      <c r="G65" s="74">
        <v>1118873298</v>
      </c>
      <c r="H65" s="172">
        <v>45446</v>
      </c>
    </row>
    <row r="66" spans="1:9" ht="31.5" customHeight="1" x14ac:dyDescent="0.55000000000000004">
      <c r="A66" s="191"/>
      <c r="B66" s="74">
        <v>21</v>
      </c>
      <c r="C66" s="74" t="s">
        <v>238</v>
      </c>
      <c r="D66" s="74" t="s">
        <v>148</v>
      </c>
      <c r="E66" s="74" t="s">
        <v>142</v>
      </c>
      <c r="F66" s="74" t="s">
        <v>143</v>
      </c>
      <c r="G66" s="74">
        <v>1102052650</v>
      </c>
      <c r="H66" s="172">
        <v>45446</v>
      </c>
      <c r="I66" s="103"/>
    </row>
    <row r="67" spans="1:9" ht="31.5" customHeight="1" x14ac:dyDescent="0.55000000000000004">
      <c r="A67" s="191"/>
      <c r="B67" s="74">
        <v>22</v>
      </c>
      <c r="C67" s="74" t="s">
        <v>239</v>
      </c>
      <c r="D67" s="74" t="s">
        <v>148</v>
      </c>
      <c r="E67" s="74" t="s">
        <v>142</v>
      </c>
      <c r="F67" s="74" t="s">
        <v>196</v>
      </c>
      <c r="G67" s="74">
        <v>1119150287</v>
      </c>
      <c r="H67" s="172">
        <v>45446</v>
      </c>
    </row>
    <row r="68" spans="1:9" ht="31.5" customHeight="1" x14ac:dyDescent="0.55000000000000004">
      <c r="A68" s="191"/>
      <c r="B68" s="74">
        <v>23</v>
      </c>
      <c r="C68" s="74" t="s">
        <v>240</v>
      </c>
      <c r="D68" s="74" t="s">
        <v>131</v>
      </c>
      <c r="E68" s="74" t="s">
        <v>142</v>
      </c>
      <c r="F68" s="74" t="s">
        <v>156</v>
      </c>
      <c r="G68" s="74">
        <v>1010464945</v>
      </c>
      <c r="H68" s="172">
        <v>45446</v>
      </c>
    </row>
    <row r="69" spans="1:9" ht="31.5" customHeight="1" x14ac:dyDescent="0.55000000000000004">
      <c r="A69" s="191"/>
      <c r="B69" s="74">
        <v>24</v>
      </c>
      <c r="C69" s="74" t="s">
        <v>241</v>
      </c>
      <c r="D69" s="74" t="s">
        <v>141</v>
      </c>
      <c r="E69" s="74" t="s">
        <v>145</v>
      </c>
      <c r="F69" s="74" t="s">
        <v>156</v>
      </c>
      <c r="G69" s="74">
        <v>1027495260</v>
      </c>
      <c r="H69" s="172">
        <v>45446</v>
      </c>
    </row>
    <row r="70" spans="1:9" ht="31.5" customHeight="1" x14ac:dyDescent="0.55000000000000004">
      <c r="A70" s="191"/>
      <c r="B70" s="74">
        <v>25</v>
      </c>
      <c r="C70" s="74" t="s">
        <v>242</v>
      </c>
      <c r="D70" s="74" t="s">
        <v>131</v>
      </c>
      <c r="E70" s="74" t="s">
        <v>142</v>
      </c>
      <c r="F70" s="74" t="s">
        <v>156</v>
      </c>
      <c r="G70" s="74">
        <v>1100943781</v>
      </c>
      <c r="H70" s="172">
        <v>45446</v>
      </c>
    </row>
    <row r="71" spans="1:9" ht="31.5" customHeight="1" x14ac:dyDescent="0.55000000000000004">
      <c r="A71" s="191"/>
      <c r="B71" s="74">
        <v>26</v>
      </c>
      <c r="C71" s="74" t="s">
        <v>243</v>
      </c>
      <c r="D71" s="74" t="s">
        <v>148</v>
      </c>
      <c r="E71" s="74" t="s">
        <v>244</v>
      </c>
      <c r="F71" s="74" t="s">
        <v>133</v>
      </c>
      <c r="G71" s="74">
        <v>1280233869</v>
      </c>
      <c r="H71" s="172">
        <v>45446</v>
      </c>
    </row>
    <row r="72" spans="1:9" ht="31.5" customHeight="1" x14ac:dyDescent="0.55000000000000004">
      <c r="A72" s="191"/>
      <c r="B72" s="74">
        <v>27</v>
      </c>
      <c r="C72" s="74" t="s">
        <v>245</v>
      </c>
      <c r="D72" s="74" t="s">
        <v>148</v>
      </c>
      <c r="E72" s="74" t="s">
        <v>142</v>
      </c>
      <c r="F72" s="74" t="s">
        <v>161</v>
      </c>
      <c r="G72" s="74">
        <v>1270392704</v>
      </c>
      <c r="H72" s="172">
        <v>45446</v>
      </c>
    </row>
    <row r="73" spans="1:9" ht="31.5" customHeight="1" x14ac:dyDescent="0.55000000000000004">
      <c r="A73" s="191"/>
      <c r="B73" s="74">
        <v>28</v>
      </c>
      <c r="C73" s="74" t="s">
        <v>246</v>
      </c>
      <c r="D73" s="74" t="s">
        <v>131</v>
      </c>
      <c r="E73" s="74" t="s">
        <v>142</v>
      </c>
      <c r="F73" s="74" t="s">
        <v>156</v>
      </c>
      <c r="G73" s="74">
        <v>1125500037</v>
      </c>
      <c r="H73" s="172">
        <v>45446</v>
      </c>
    </row>
    <row r="74" spans="1:9" ht="31.5" customHeight="1" x14ac:dyDescent="0.55000000000000004">
      <c r="A74" s="191"/>
      <c r="B74" s="74">
        <v>29</v>
      </c>
      <c r="C74" s="74" t="s">
        <v>247</v>
      </c>
      <c r="D74" s="74" t="s">
        <v>131</v>
      </c>
      <c r="E74" s="74" t="s">
        <v>142</v>
      </c>
      <c r="F74" s="74" t="s">
        <v>248</v>
      </c>
      <c r="G74" s="74">
        <v>1100573936</v>
      </c>
      <c r="H74" s="172">
        <v>45446</v>
      </c>
    </row>
    <row r="75" spans="1:9" ht="31.5" customHeight="1" x14ac:dyDescent="0.55000000000000004">
      <c r="A75" s="191"/>
      <c r="B75" s="74">
        <v>30</v>
      </c>
      <c r="C75" s="74" t="s">
        <v>249</v>
      </c>
      <c r="D75" s="74" t="s">
        <v>131</v>
      </c>
      <c r="E75" s="74" t="s">
        <v>142</v>
      </c>
      <c r="F75" s="74" t="s">
        <v>161</v>
      </c>
      <c r="G75" s="74">
        <v>1143080117</v>
      </c>
      <c r="H75" s="172">
        <v>45446</v>
      </c>
    </row>
    <row r="76" spans="1:9" ht="31.5" customHeight="1" x14ac:dyDescent="0.55000000000000004">
      <c r="A76" s="191"/>
      <c r="B76" s="74">
        <v>31</v>
      </c>
      <c r="C76" s="74" t="s">
        <v>231</v>
      </c>
      <c r="D76" s="74" t="s">
        <v>148</v>
      </c>
      <c r="E76" s="74" t="s">
        <v>142</v>
      </c>
      <c r="F76" s="74" t="s">
        <v>232</v>
      </c>
      <c r="G76" s="74">
        <v>1118860462</v>
      </c>
      <c r="H76" s="172">
        <v>45446</v>
      </c>
    </row>
    <row r="77" spans="1:9" ht="31.5" customHeight="1" x14ac:dyDescent="0.55000000000000004">
      <c r="A77" s="191"/>
      <c r="B77" s="74">
        <v>32</v>
      </c>
      <c r="C77" s="74" t="s">
        <v>250</v>
      </c>
      <c r="D77" s="74" t="s">
        <v>148</v>
      </c>
      <c r="E77" s="74" t="s">
        <v>142</v>
      </c>
      <c r="F77" s="74" t="s">
        <v>183</v>
      </c>
      <c r="G77" s="74">
        <v>1116629468</v>
      </c>
      <c r="H77" s="172">
        <v>45446</v>
      </c>
    </row>
    <row r="78" spans="1:9" ht="31.5" customHeight="1" x14ac:dyDescent="0.55000000000000004">
      <c r="A78" s="191"/>
      <c r="B78" s="74">
        <v>33</v>
      </c>
      <c r="C78" s="74" t="s">
        <v>251</v>
      </c>
      <c r="D78" s="74" t="s">
        <v>131</v>
      </c>
      <c r="E78" s="74" t="s">
        <v>142</v>
      </c>
      <c r="F78" s="74" t="s">
        <v>156</v>
      </c>
      <c r="G78" s="74">
        <v>1115254787</v>
      </c>
      <c r="H78" s="172">
        <v>45446</v>
      </c>
    </row>
    <row r="79" spans="1:9" ht="31.5" customHeight="1" x14ac:dyDescent="0.55000000000000004">
      <c r="A79" s="191"/>
      <c r="B79" s="74">
        <v>34</v>
      </c>
      <c r="C79" s="74" t="s">
        <v>252</v>
      </c>
      <c r="D79" s="74" t="s">
        <v>148</v>
      </c>
      <c r="E79" s="74" t="s">
        <v>142</v>
      </c>
      <c r="F79" s="74" t="s">
        <v>232</v>
      </c>
      <c r="G79" s="74">
        <v>1158124794</v>
      </c>
      <c r="H79" s="172">
        <v>45446</v>
      </c>
    </row>
    <row r="80" spans="1:9" ht="31.5" customHeight="1" x14ac:dyDescent="0.55000000000000004">
      <c r="A80" s="191"/>
      <c r="B80" s="74">
        <v>35</v>
      </c>
      <c r="C80" s="74" t="s">
        <v>253</v>
      </c>
      <c r="D80" s="74" t="s">
        <v>141</v>
      </c>
      <c r="E80" s="74" t="s">
        <v>142</v>
      </c>
      <c r="F80" s="74" t="s">
        <v>143</v>
      </c>
      <c r="G80" s="74">
        <v>1122179353</v>
      </c>
      <c r="H80" s="172">
        <v>45446</v>
      </c>
    </row>
    <row r="81" spans="1:8" ht="31.5" customHeight="1" x14ac:dyDescent="0.55000000000000004">
      <c r="A81" s="191"/>
      <c r="B81" s="74">
        <v>36</v>
      </c>
      <c r="C81" s="74" t="s">
        <v>254</v>
      </c>
      <c r="D81" s="74" t="s">
        <v>131</v>
      </c>
      <c r="E81" s="74" t="s">
        <v>142</v>
      </c>
      <c r="F81" s="74" t="s">
        <v>135</v>
      </c>
      <c r="G81" s="74">
        <v>1113696560</v>
      </c>
      <c r="H81" s="172">
        <v>45446</v>
      </c>
    </row>
    <row r="82" spans="1:8" ht="31.5" customHeight="1" x14ac:dyDescent="0.55000000000000004">
      <c r="A82" s="191"/>
      <c r="B82" s="74">
        <v>37</v>
      </c>
      <c r="C82" s="74" t="s">
        <v>255</v>
      </c>
      <c r="D82" s="74" t="s">
        <v>141</v>
      </c>
      <c r="E82" s="74" t="s">
        <v>150</v>
      </c>
      <c r="F82" s="74" t="s">
        <v>256</v>
      </c>
      <c r="G82" s="74">
        <v>1156641226</v>
      </c>
      <c r="H82" s="172">
        <v>45446</v>
      </c>
    </row>
    <row r="83" spans="1:8" ht="31.5" customHeight="1" x14ac:dyDescent="0.55000000000000004">
      <c r="A83" s="191"/>
      <c r="B83" s="74">
        <v>38</v>
      </c>
      <c r="C83" s="74" t="s">
        <v>257</v>
      </c>
      <c r="D83" s="74" t="s">
        <v>141</v>
      </c>
      <c r="E83" s="74" t="s">
        <v>142</v>
      </c>
      <c r="F83" s="74" t="s">
        <v>161</v>
      </c>
      <c r="G83" s="74" t="s">
        <v>134</v>
      </c>
      <c r="H83" s="172">
        <v>45446</v>
      </c>
    </row>
    <row r="84" spans="1:8" ht="31.5" customHeight="1" x14ac:dyDescent="0.55000000000000004">
      <c r="A84" s="191"/>
      <c r="B84" s="74">
        <v>39</v>
      </c>
      <c r="C84" s="74" t="s">
        <v>264</v>
      </c>
      <c r="D84" s="74" t="s">
        <v>131</v>
      </c>
      <c r="E84" s="74" t="s">
        <v>215</v>
      </c>
      <c r="F84" s="74" t="s">
        <v>263</v>
      </c>
      <c r="G84" s="74" t="s">
        <v>134</v>
      </c>
      <c r="H84" s="172">
        <v>45446</v>
      </c>
    </row>
    <row r="85" spans="1:8" ht="31.5" customHeight="1" x14ac:dyDescent="0.55000000000000004">
      <c r="A85" s="191">
        <v>45449</v>
      </c>
      <c r="B85" s="74">
        <v>1</v>
      </c>
      <c r="C85" s="74" t="s">
        <v>285</v>
      </c>
      <c r="D85" s="74" t="s">
        <v>131</v>
      </c>
      <c r="E85" s="74" t="s">
        <v>142</v>
      </c>
      <c r="F85" s="74" t="s">
        <v>135</v>
      </c>
      <c r="G85" s="74">
        <v>1144053953</v>
      </c>
      <c r="H85" s="172">
        <v>45449</v>
      </c>
    </row>
    <row r="86" spans="1:8" ht="31.5" customHeight="1" x14ac:dyDescent="0.55000000000000004">
      <c r="A86" s="191"/>
      <c r="B86" s="74">
        <v>2</v>
      </c>
      <c r="C86" s="74" t="s">
        <v>286</v>
      </c>
      <c r="D86" s="74" t="s">
        <v>131</v>
      </c>
      <c r="E86" s="74" t="s">
        <v>142</v>
      </c>
      <c r="F86" s="74" t="s">
        <v>263</v>
      </c>
      <c r="G86" s="74">
        <v>1118523659</v>
      </c>
      <c r="H86" s="172">
        <v>45449</v>
      </c>
    </row>
    <row r="87" spans="1:8" ht="31.5" customHeight="1" x14ac:dyDescent="0.55000000000000004">
      <c r="A87" s="191"/>
      <c r="B87" s="74">
        <v>3</v>
      </c>
      <c r="C87" s="74" t="s">
        <v>287</v>
      </c>
      <c r="D87" s="74" t="s">
        <v>131</v>
      </c>
      <c r="E87" s="74" t="s">
        <v>288</v>
      </c>
      <c r="F87" s="74" t="s">
        <v>159</v>
      </c>
      <c r="G87" s="74">
        <v>1203097000</v>
      </c>
      <c r="H87" s="172">
        <v>45449</v>
      </c>
    </row>
    <row r="88" spans="1:8" ht="31.5" customHeight="1" x14ac:dyDescent="0.55000000000000004">
      <c r="A88" s="191"/>
      <c r="B88" s="74">
        <v>4</v>
      </c>
      <c r="C88" s="74" t="s">
        <v>289</v>
      </c>
      <c r="D88" s="74" t="s">
        <v>148</v>
      </c>
      <c r="E88" s="74" t="s">
        <v>142</v>
      </c>
      <c r="F88" s="74" t="s">
        <v>159</v>
      </c>
      <c r="G88" s="74">
        <v>1143212201</v>
      </c>
      <c r="H88" s="172">
        <v>45449</v>
      </c>
    </row>
    <row r="89" spans="1:8" ht="31.5" customHeight="1" x14ac:dyDescent="0.55000000000000004">
      <c r="A89" s="191"/>
      <c r="B89" s="74">
        <v>5</v>
      </c>
      <c r="C89" s="74" t="s">
        <v>290</v>
      </c>
      <c r="D89" s="74" t="s">
        <v>131</v>
      </c>
      <c r="E89" s="74" t="s">
        <v>142</v>
      </c>
      <c r="F89" s="74" t="s">
        <v>156</v>
      </c>
      <c r="G89" s="74">
        <v>1226008737</v>
      </c>
      <c r="H89" s="172">
        <v>45449</v>
      </c>
    </row>
    <row r="90" spans="1:8" ht="31.5" customHeight="1" x14ac:dyDescent="0.55000000000000004">
      <c r="A90" s="191"/>
      <c r="B90" s="74">
        <v>6</v>
      </c>
      <c r="C90" s="74" t="s">
        <v>291</v>
      </c>
      <c r="D90" s="74" t="s">
        <v>131</v>
      </c>
      <c r="E90" s="74" t="s">
        <v>145</v>
      </c>
      <c r="F90" s="74" t="s">
        <v>156</v>
      </c>
      <c r="G90" s="74">
        <v>1118872962</v>
      </c>
      <c r="H90" s="172">
        <v>45449</v>
      </c>
    </row>
    <row r="91" spans="1:8" ht="31.5" customHeight="1" x14ac:dyDescent="0.55000000000000004">
      <c r="A91" s="191"/>
      <c r="B91" s="74">
        <v>7</v>
      </c>
      <c r="C91" s="74" t="s">
        <v>292</v>
      </c>
      <c r="D91" s="74" t="s">
        <v>131</v>
      </c>
      <c r="E91" s="74" t="s">
        <v>142</v>
      </c>
      <c r="F91" s="74" t="s">
        <v>156</v>
      </c>
      <c r="G91" s="74">
        <v>1012890959</v>
      </c>
      <c r="H91" s="172">
        <v>45449</v>
      </c>
    </row>
    <row r="92" spans="1:8" ht="31.5" customHeight="1" x14ac:dyDescent="0.55000000000000004">
      <c r="A92" s="191"/>
      <c r="B92" s="74">
        <v>8</v>
      </c>
      <c r="C92" s="74" t="s">
        <v>293</v>
      </c>
      <c r="D92" s="74" t="s">
        <v>148</v>
      </c>
      <c r="E92" s="74" t="s">
        <v>142</v>
      </c>
      <c r="F92" s="74" t="s">
        <v>183</v>
      </c>
      <c r="G92" s="74" t="s">
        <v>134</v>
      </c>
      <c r="H92" s="172">
        <v>45449</v>
      </c>
    </row>
    <row r="93" spans="1:8" ht="31.5" customHeight="1" x14ac:dyDescent="0.55000000000000004">
      <c r="A93" s="191"/>
      <c r="B93" s="74">
        <v>9</v>
      </c>
      <c r="C93" s="74" t="s">
        <v>294</v>
      </c>
      <c r="D93" s="74" t="s">
        <v>131</v>
      </c>
      <c r="E93" s="74" t="s">
        <v>145</v>
      </c>
      <c r="F93" s="74" t="s">
        <v>232</v>
      </c>
      <c r="G93" s="74">
        <v>1156575970</v>
      </c>
      <c r="H93" s="172">
        <v>45449</v>
      </c>
    </row>
    <row r="94" spans="1:8" ht="31.5" customHeight="1" x14ac:dyDescent="0.55000000000000004">
      <c r="A94" s="191"/>
      <c r="B94" s="74">
        <v>10</v>
      </c>
      <c r="C94" s="74" t="s">
        <v>295</v>
      </c>
      <c r="D94" s="74" t="s">
        <v>131</v>
      </c>
      <c r="E94" s="74" t="s">
        <v>142</v>
      </c>
      <c r="F94" s="74" t="s">
        <v>188</v>
      </c>
      <c r="G94" s="74">
        <v>1145699499</v>
      </c>
      <c r="H94" s="172">
        <v>45449</v>
      </c>
    </row>
    <row r="95" spans="1:8" ht="31.5" customHeight="1" x14ac:dyDescent="0.55000000000000004">
      <c r="A95" s="191"/>
      <c r="B95" s="74">
        <v>11</v>
      </c>
      <c r="C95" s="74" t="s">
        <v>300</v>
      </c>
      <c r="D95" s="74" t="s">
        <v>148</v>
      </c>
      <c r="E95" s="74" t="s">
        <v>142</v>
      </c>
      <c r="F95" s="74" t="s">
        <v>161</v>
      </c>
      <c r="G95" s="74">
        <v>1154898928</v>
      </c>
      <c r="H95" s="172">
        <v>45449</v>
      </c>
    </row>
    <row r="96" spans="1:8" ht="31.5" customHeight="1" x14ac:dyDescent="0.55000000000000004">
      <c r="A96" s="191"/>
      <c r="B96" s="74">
        <v>12</v>
      </c>
      <c r="C96" s="74" t="s">
        <v>301</v>
      </c>
      <c r="D96" s="74" t="s">
        <v>302</v>
      </c>
      <c r="E96" s="74" t="s">
        <v>142</v>
      </c>
      <c r="F96" s="74" t="s">
        <v>135</v>
      </c>
      <c r="G96" s="74">
        <v>1115829792</v>
      </c>
      <c r="H96" s="172">
        <v>45449</v>
      </c>
    </row>
    <row r="97" spans="1:8" ht="31.5" customHeight="1" x14ac:dyDescent="0.55000000000000004">
      <c r="A97" s="191"/>
      <c r="B97" s="74">
        <v>13</v>
      </c>
      <c r="C97" s="74" t="s">
        <v>303</v>
      </c>
      <c r="D97" s="74" t="s">
        <v>302</v>
      </c>
      <c r="E97" s="74" t="s">
        <v>145</v>
      </c>
      <c r="F97" s="74" t="s">
        <v>158</v>
      </c>
      <c r="G97" s="74">
        <v>122918765</v>
      </c>
      <c r="H97" s="172">
        <v>45449</v>
      </c>
    </row>
    <row r="98" spans="1:8" ht="31.5" customHeight="1" x14ac:dyDescent="0.55000000000000004">
      <c r="A98" s="191"/>
      <c r="B98" s="74">
        <v>14</v>
      </c>
      <c r="C98" s="74" t="s">
        <v>304</v>
      </c>
      <c r="D98" s="74" t="s">
        <v>141</v>
      </c>
      <c r="E98" s="74" t="s">
        <v>142</v>
      </c>
      <c r="F98" s="74" t="s">
        <v>196</v>
      </c>
      <c r="G98" s="74" t="s">
        <v>134</v>
      </c>
      <c r="H98" s="172">
        <v>45449</v>
      </c>
    </row>
    <row r="99" spans="1:8" ht="31.5" customHeight="1" x14ac:dyDescent="0.55000000000000004">
      <c r="A99" s="191"/>
      <c r="B99" s="74">
        <v>15</v>
      </c>
      <c r="C99" s="74" t="s">
        <v>305</v>
      </c>
      <c r="D99" s="74" t="s">
        <v>131</v>
      </c>
      <c r="E99" s="74" t="s">
        <v>142</v>
      </c>
      <c r="F99" s="74" t="s">
        <v>135</v>
      </c>
      <c r="G99" s="74">
        <v>1154844317</v>
      </c>
      <c r="H99" s="172">
        <v>45449</v>
      </c>
    </row>
    <row r="100" spans="1:8" ht="31.5" customHeight="1" x14ac:dyDescent="0.55000000000000004">
      <c r="A100" s="191"/>
      <c r="B100" s="74">
        <v>16</v>
      </c>
      <c r="C100" s="74" t="s">
        <v>306</v>
      </c>
      <c r="D100" s="74" t="s">
        <v>141</v>
      </c>
      <c r="E100" s="74" t="s">
        <v>142</v>
      </c>
      <c r="F100" s="74" t="s">
        <v>166</v>
      </c>
      <c r="G100" s="74">
        <v>1111029576</v>
      </c>
      <c r="H100" s="172">
        <v>45449</v>
      </c>
    </row>
    <row r="101" spans="1:8" ht="31.5" customHeight="1" x14ac:dyDescent="0.55000000000000004">
      <c r="A101" s="191"/>
      <c r="B101" s="74">
        <v>17</v>
      </c>
      <c r="C101" s="74" t="s">
        <v>307</v>
      </c>
      <c r="D101" s="74" t="s">
        <v>141</v>
      </c>
      <c r="E101" s="74" t="s">
        <v>142</v>
      </c>
      <c r="F101" s="74" t="s">
        <v>183</v>
      </c>
      <c r="G101" s="74">
        <v>1276962234</v>
      </c>
      <c r="H101" s="172">
        <v>45449</v>
      </c>
    </row>
    <row r="102" spans="1:8" ht="31.5" customHeight="1" x14ac:dyDescent="0.55000000000000004">
      <c r="A102" s="191"/>
      <c r="B102" s="74">
        <v>18</v>
      </c>
      <c r="C102" s="74" t="s">
        <v>308</v>
      </c>
      <c r="D102" s="74" t="s">
        <v>131</v>
      </c>
      <c r="E102" s="74" t="s">
        <v>142</v>
      </c>
      <c r="F102" s="74" t="s">
        <v>309</v>
      </c>
      <c r="G102" s="74">
        <v>1125038164</v>
      </c>
      <c r="H102" s="172">
        <v>45449</v>
      </c>
    </row>
    <row r="103" spans="1:8" ht="31.5" customHeight="1" x14ac:dyDescent="0.55000000000000004">
      <c r="A103" s="191"/>
      <c r="B103" s="74">
        <v>19</v>
      </c>
      <c r="C103" s="74" t="s">
        <v>310</v>
      </c>
      <c r="D103" s="74" t="s">
        <v>141</v>
      </c>
      <c r="E103" s="74" t="s">
        <v>244</v>
      </c>
      <c r="F103" s="74" t="s">
        <v>133</v>
      </c>
      <c r="G103" s="74">
        <v>1208770861</v>
      </c>
      <c r="H103" s="172">
        <v>45449</v>
      </c>
    </row>
    <row r="104" spans="1:8" ht="31.5" customHeight="1" x14ac:dyDescent="0.55000000000000004">
      <c r="A104" s="191"/>
      <c r="B104" s="74">
        <v>20</v>
      </c>
      <c r="C104" s="74" t="s">
        <v>311</v>
      </c>
      <c r="D104" s="74" t="s">
        <v>141</v>
      </c>
      <c r="E104" s="74" t="s">
        <v>142</v>
      </c>
      <c r="F104" s="74" t="s">
        <v>263</v>
      </c>
      <c r="G104" s="74">
        <v>1212732622</v>
      </c>
      <c r="H104" s="172">
        <v>45449</v>
      </c>
    </row>
    <row r="105" spans="1:8" ht="31.5" customHeight="1" x14ac:dyDescent="0.55000000000000004">
      <c r="A105" s="191"/>
      <c r="B105" s="74">
        <v>21</v>
      </c>
      <c r="C105" s="74" t="s">
        <v>312</v>
      </c>
      <c r="D105" s="74" t="s">
        <v>141</v>
      </c>
      <c r="E105" s="74" t="s">
        <v>145</v>
      </c>
      <c r="F105" s="74" t="s">
        <v>158</v>
      </c>
      <c r="G105" s="74">
        <v>1270288184</v>
      </c>
      <c r="H105" s="172">
        <v>45449</v>
      </c>
    </row>
    <row r="106" spans="1:8" ht="31.5" customHeight="1" x14ac:dyDescent="0.55000000000000004">
      <c r="A106" s="191"/>
      <c r="B106" s="74">
        <v>22</v>
      </c>
      <c r="C106" s="74" t="s">
        <v>313</v>
      </c>
      <c r="D106" s="74" t="s">
        <v>141</v>
      </c>
      <c r="E106" s="74" t="s">
        <v>150</v>
      </c>
      <c r="F106" s="74" t="s">
        <v>156</v>
      </c>
      <c r="G106" s="74" t="s">
        <v>134</v>
      </c>
      <c r="H106" s="172">
        <v>45449</v>
      </c>
    </row>
    <row r="107" spans="1:8" ht="31.5" customHeight="1" x14ac:dyDescent="0.55000000000000004">
      <c r="A107" s="191"/>
      <c r="B107" s="74">
        <v>23</v>
      </c>
      <c r="C107" s="74" t="s">
        <v>314</v>
      </c>
      <c r="D107" s="74" t="s">
        <v>148</v>
      </c>
      <c r="E107" s="74" t="s">
        <v>142</v>
      </c>
      <c r="F107" s="74" t="s">
        <v>159</v>
      </c>
      <c r="G107" s="74" t="s">
        <v>134</v>
      </c>
      <c r="H107" s="172">
        <v>45449</v>
      </c>
    </row>
    <row r="108" spans="1:8" ht="31.5" customHeight="1" x14ac:dyDescent="0.55000000000000004">
      <c r="A108" s="191"/>
      <c r="B108" s="74">
        <v>24</v>
      </c>
      <c r="C108" s="74" t="s">
        <v>315</v>
      </c>
      <c r="D108" s="74" t="s">
        <v>141</v>
      </c>
      <c r="E108" s="74" t="s">
        <v>145</v>
      </c>
      <c r="F108" s="74" t="s">
        <v>135</v>
      </c>
      <c r="G108" s="74">
        <v>1226272007</v>
      </c>
      <c r="H108" s="172">
        <v>45449</v>
      </c>
    </row>
    <row r="109" spans="1:8" ht="31.5" customHeight="1" x14ac:dyDescent="0.55000000000000004">
      <c r="A109" s="191"/>
      <c r="B109" s="74">
        <v>25</v>
      </c>
      <c r="C109" s="74" t="s">
        <v>316</v>
      </c>
      <c r="D109" s="74" t="s">
        <v>148</v>
      </c>
      <c r="E109" s="74" t="s">
        <v>142</v>
      </c>
      <c r="F109" s="74" t="s">
        <v>133</v>
      </c>
      <c r="G109" s="74">
        <v>1142927560</v>
      </c>
      <c r="H109" s="172">
        <v>45449</v>
      </c>
    </row>
    <row r="110" spans="1:8" ht="31.5" customHeight="1" x14ac:dyDescent="0.55000000000000004">
      <c r="A110" s="191"/>
      <c r="B110" s="74">
        <v>26</v>
      </c>
      <c r="C110" s="74" t="s">
        <v>317</v>
      </c>
      <c r="D110" s="74" t="s">
        <v>131</v>
      </c>
      <c r="E110" s="74" t="s">
        <v>142</v>
      </c>
      <c r="F110" s="74"/>
      <c r="G110" s="74" t="s">
        <v>134</v>
      </c>
      <c r="H110" s="172">
        <v>45449</v>
      </c>
    </row>
    <row r="111" spans="1:8" ht="31.5" customHeight="1" x14ac:dyDescent="0.55000000000000004">
      <c r="A111" s="191"/>
      <c r="B111" s="74">
        <v>27</v>
      </c>
      <c r="C111" s="74" t="s">
        <v>318</v>
      </c>
      <c r="D111" s="74" t="s">
        <v>131</v>
      </c>
      <c r="E111" s="74" t="s">
        <v>142</v>
      </c>
      <c r="F111" s="74" t="s">
        <v>146</v>
      </c>
      <c r="G111" s="74" t="s">
        <v>134</v>
      </c>
      <c r="H111" s="172">
        <v>45449</v>
      </c>
    </row>
    <row r="112" spans="1:8" ht="31.5" customHeight="1" x14ac:dyDescent="0.55000000000000004">
      <c r="A112" s="191"/>
      <c r="B112" s="74">
        <v>28</v>
      </c>
      <c r="C112" s="74" t="s">
        <v>319</v>
      </c>
      <c r="D112" s="74" t="s">
        <v>131</v>
      </c>
      <c r="E112" s="74" t="s">
        <v>142</v>
      </c>
      <c r="F112" s="74" t="s">
        <v>188</v>
      </c>
      <c r="G112" s="74" t="s">
        <v>134</v>
      </c>
      <c r="H112" s="172">
        <v>45449</v>
      </c>
    </row>
    <row r="113" spans="1:183" ht="31.5" customHeight="1" x14ac:dyDescent="0.55000000000000004">
      <c r="A113" s="191"/>
      <c r="B113" s="74">
        <v>29</v>
      </c>
      <c r="C113" s="74" t="s">
        <v>320</v>
      </c>
      <c r="D113" s="74" t="s">
        <v>141</v>
      </c>
      <c r="E113" s="74" t="s">
        <v>186</v>
      </c>
      <c r="F113" s="74" t="s">
        <v>232</v>
      </c>
      <c r="G113" s="74" t="s">
        <v>134</v>
      </c>
      <c r="H113" s="172">
        <v>45449</v>
      </c>
    </row>
    <row r="114" spans="1:183" ht="31.5" customHeight="1" x14ac:dyDescent="0.55000000000000004">
      <c r="A114" s="191"/>
      <c r="B114" s="74">
        <v>30</v>
      </c>
      <c r="C114" s="74" t="s">
        <v>289</v>
      </c>
      <c r="D114" s="74" t="s">
        <v>148</v>
      </c>
      <c r="E114" s="74" t="s">
        <v>186</v>
      </c>
      <c r="F114" s="74" t="s">
        <v>159</v>
      </c>
      <c r="G114" s="74">
        <v>1143212201</v>
      </c>
      <c r="H114" s="172">
        <v>45449</v>
      </c>
    </row>
    <row r="115" spans="1:183" ht="31.5" customHeight="1" x14ac:dyDescent="0.55000000000000004">
      <c r="A115" s="191"/>
      <c r="B115" s="74">
        <v>31</v>
      </c>
      <c r="C115" s="74" t="s">
        <v>321</v>
      </c>
      <c r="D115" s="74" t="s">
        <v>148</v>
      </c>
      <c r="E115" s="74" t="s">
        <v>186</v>
      </c>
      <c r="F115" s="74" t="s">
        <v>133</v>
      </c>
      <c r="G115" s="74">
        <v>1159462896</v>
      </c>
      <c r="H115" s="172">
        <v>45449</v>
      </c>
    </row>
    <row r="116" spans="1:183" ht="31.5" customHeight="1" x14ac:dyDescent="0.55000000000000004">
      <c r="A116" s="191"/>
      <c r="B116" s="74">
        <v>32</v>
      </c>
      <c r="C116" s="74" t="s">
        <v>322</v>
      </c>
      <c r="D116" s="74" t="s">
        <v>141</v>
      </c>
      <c r="E116" s="74" t="s">
        <v>186</v>
      </c>
      <c r="F116" s="74" t="s">
        <v>323</v>
      </c>
      <c r="G116" s="74">
        <v>1287886240</v>
      </c>
      <c r="H116" s="172">
        <v>45449</v>
      </c>
    </row>
    <row r="117" spans="1:183" ht="31.5" customHeight="1" x14ac:dyDescent="0.55000000000000004">
      <c r="A117" s="191"/>
      <c r="B117" s="74">
        <v>33</v>
      </c>
      <c r="C117" s="74" t="s">
        <v>324</v>
      </c>
      <c r="D117" s="74" t="s">
        <v>148</v>
      </c>
      <c r="E117" s="74" t="s">
        <v>186</v>
      </c>
      <c r="F117" s="74" t="s">
        <v>158</v>
      </c>
      <c r="G117" s="74" t="s">
        <v>134</v>
      </c>
      <c r="H117" s="172">
        <v>45449</v>
      </c>
    </row>
    <row r="118" spans="1:183" ht="31.5" customHeight="1" x14ac:dyDescent="0.55000000000000004">
      <c r="A118" s="191"/>
      <c r="B118" s="74">
        <v>34</v>
      </c>
      <c r="C118" s="74" t="s">
        <v>325</v>
      </c>
      <c r="D118" s="74" t="s">
        <v>148</v>
      </c>
      <c r="E118" s="74" t="s">
        <v>186</v>
      </c>
      <c r="F118" s="74" t="s">
        <v>146</v>
      </c>
      <c r="G118" s="74">
        <v>1123119536</v>
      </c>
      <c r="H118" s="172">
        <v>45449</v>
      </c>
      <c r="CS118" s="105" t="s">
        <v>109</v>
      </c>
      <c r="GA118" s="105" t="s">
        <v>110</v>
      </c>
    </row>
    <row r="119" spans="1:183" ht="31.5" customHeight="1" x14ac:dyDescent="0.55000000000000004">
      <c r="A119" s="191"/>
      <c r="B119" s="74">
        <v>35</v>
      </c>
      <c r="C119" s="74" t="s">
        <v>326</v>
      </c>
      <c r="D119" s="74" t="s">
        <v>148</v>
      </c>
      <c r="E119" s="74" t="s">
        <v>186</v>
      </c>
      <c r="F119" s="74" t="s">
        <v>183</v>
      </c>
      <c r="G119" s="74">
        <v>11412222010</v>
      </c>
      <c r="H119" s="172">
        <v>45449</v>
      </c>
    </row>
    <row r="120" spans="1:183" ht="31.5" customHeight="1" x14ac:dyDescent="0.55000000000000004">
      <c r="A120" s="191"/>
      <c r="B120" s="74">
        <v>36</v>
      </c>
      <c r="C120" s="74" t="s">
        <v>327</v>
      </c>
      <c r="D120" s="74" t="s">
        <v>141</v>
      </c>
      <c r="E120" s="74" t="s">
        <v>186</v>
      </c>
      <c r="F120" s="74" t="s">
        <v>188</v>
      </c>
      <c r="G120" s="74">
        <v>1122691283</v>
      </c>
      <c r="H120" s="172">
        <v>45449</v>
      </c>
    </row>
    <row r="121" spans="1:183" ht="31.5" customHeight="1" x14ac:dyDescent="0.55000000000000004">
      <c r="A121" s="191"/>
      <c r="B121" s="74">
        <v>37</v>
      </c>
      <c r="C121" s="74" t="s">
        <v>328</v>
      </c>
      <c r="D121" s="74" t="s">
        <v>141</v>
      </c>
      <c r="E121" s="74" t="s">
        <v>186</v>
      </c>
      <c r="F121" s="74" t="s">
        <v>188</v>
      </c>
      <c r="G121" s="74">
        <v>1140330940</v>
      </c>
      <c r="H121" s="172">
        <v>45449</v>
      </c>
    </row>
    <row r="122" spans="1:183" ht="31.5" customHeight="1" x14ac:dyDescent="0.55000000000000004">
      <c r="A122" s="191"/>
      <c r="B122" s="74">
        <v>38</v>
      </c>
      <c r="C122" s="74" t="s">
        <v>329</v>
      </c>
      <c r="D122" s="74" t="s">
        <v>148</v>
      </c>
      <c r="E122" s="74" t="s">
        <v>186</v>
      </c>
      <c r="F122" s="74" t="s">
        <v>183</v>
      </c>
      <c r="G122" s="74">
        <v>1148462708</v>
      </c>
      <c r="H122" s="172">
        <v>45449</v>
      </c>
    </row>
    <row r="123" spans="1:183" ht="31.5" customHeight="1" x14ac:dyDescent="0.55000000000000004">
      <c r="A123" s="191"/>
      <c r="B123" s="74">
        <v>39</v>
      </c>
      <c r="C123" s="74" t="s">
        <v>330</v>
      </c>
      <c r="D123" s="74" t="s">
        <v>141</v>
      </c>
      <c r="E123" s="74" t="s">
        <v>195</v>
      </c>
      <c r="F123" s="74" t="s">
        <v>183</v>
      </c>
      <c r="G123" s="74" t="s">
        <v>134</v>
      </c>
      <c r="H123" s="172">
        <v>45449</v>
      </c>
    </row>
    <row r="124" spans="1:183" ht="31.5" customHeight="1" x14ac:dyDescent="0.55000000000000004">
      <c r="A124" s="191"/>
      <c r="B124" s="74">
        <v>40</v>
      </c>
      <c r="C124" s="74" t="s">
        <v>313</v>
      </c>
      <c r="D124" s="74" t="s">
        <v>148</v>
      </c>
      <c r="E124" s="74" t="s">
        <v>186</v>
      </c>
      <c r="F124" s="74" t="s">
        <v>156</v>
      </c>
      <c r="G124" s="74">
        <v>1066979770</v>
      </c>
      <c r="H124" s="172">
        <v>45449</v>
      </c>
    </row>
    <row r="125" spans="1:183" ht="31.5" customHeight="1" x14ac:dyDescent="0.55000000000000004">
      <c r="A125" s="191"/>
      <c r="B125" s="74">
        <v>41</v>
      </c>
      <c r="C125" s="74" t="s">
        <v>331</v>
      </c>
      <c r="D125" s="74" t="s">
        <v>148</v>
      </c>
      <c r="E125" s="74" t="s">
        <v>215</v>
      </c>
      <c r="F125" s="74" t="s">
        <v>188</v>
      </c>
      <c r="G125" s="74">
        <v>1116960966</v>
      </c>
      <c r="H125" s="172">
        <v>45449</v>
      </c>
    </row>
    <row r="126" spans="1:183" ht="31.5" customHeight="1" x14ac:dyDescent="0.55000000000000004">
      <c r="A126" s="191"/>
      <c r="B126" s="74">
        <v>42</v>
      </c>
      <c r="C126" s="74" t="s">
        <v>318</v>
      </c>
      <c r="D126" s="74" t="s">
        <v>302</v>
      </c>
      <c r="E126" s="74" t="s">
        <v>195</v>
      </c>
      <c r="F126" s="74" t="s">
        <v>146</v>
      </c>
      <c r="G126" s="74">
        <v>1285991411</v>
      </c>
      <c r="H126" s="172">
        <v>45449</v>
      </c>
    </row>
    <row r="127" spans="1:183" ht="31.5" customHeight="1" x14ac:dyDescent="0.55000000000000004">
      <c r="A127" s="191"/>
      <c r="B127" s="74">
        <v>43</v>
      </c>
      <c r="C127" s="74" t="s">
        <v>332</v>
      </c>
      <c r="D127" s="74" t="s">
        <v>302</v>
      </c>
      <c r="E127" s="74" t="s">
        <v>200</v>
      </c>
      <c r="F127" s="109" t="s">
        <v>158</v>
      </c>
      <c r="G127" s="74">
        <v>109436668</v>
      </c>
      <c r="H127" s="172">
        <v>45449</v>
      </c>
    </row>
    <row r="128" spans="1:183" ht="31.5" customHeight="1" x14ac:dyDescent="0.55000000000000004">
      <c r="A128" s="191"/>
      <c r="B128" s="74">
        <v>44</v>
      </c>
      <c r="C128" s="74" t="s">
        <v>333</v>
      </c>
      <c r="D128" s="74" t="s">
        <v>302</v>
      </c>
      <c r="E128" s="74" t="s">
        <v>200</v>
      </c>
      <c r="F128" s="74" t="s">
        <v>135</v>
      </c>
      <c r="G128" s="74">
        <v>1090996770</v>
      </c>
      <c r="H128" s="172">
        <v>45449</v>
      </c>
    </row>
    <row r="129" spans="1:8" ht="31.5" customHeight="1" x14ac:dyDescent="0.55000000000000004">
      <c r="A129" s="191"/>
      <c r="B129" s="74">
        <v>45</v>
      </c>
      <c r="C129" s="74" t="s">
        <v>334</v>
      </c>
      <c r="D129" s="74" t="s">
        <v>302</v>
      </c>
      <c r="E129" s="74" t="s">
        <v>200</v>
      </c>
      <c r="F129" s="74" t="s">
        <v>135</v>
      </c>
      <c r="G129" s="74">
        <v>1128084277</v>
      </c>
      <c r="H129" s="172">
        <v>45449</v>
      </c>
    </row>
    <row r="130" spans="1:8" ht="31.5" customHeight="1" x14ac:dyDescent="0.55000000000000004">
      <c r="A130" s="191"/>
      <c r="B130" s="74">
        <v>46</v>
      </c>
      <c r="C130" s="74" t="s">
        <v>335</v>
      </c>
      <c r="D130" s="74" t="s">
        <v>302</v>
      </c>
      <c r="E130" s="74" t="s">
        <v>200</v>
      </c>
      <c r="F130" s="74" t="s">
        <v>158</v>
      </c>
      <c r="G130" s="74">
        <v>1128972278</v>
      </c>
      <c r="H130" s="172">
        <v>45449</v>
      </c>
    </row>
    <row r="131" spans="1:8" ht="31.5" customHeight="1" x14ac:dyDescent="0.55000000000000004">
      <c r="A131" s="191"/>
      <c r="B131" s="74">
        <v>47</v>
      </c>
      <c r="C131" s="74" t="s">
        <v>336</v>
      </c>
      <c r="D131" s="74" t="s">
        <v>141</v>
      </c>
      <c r="E131" s="74" t="s">
        <v>186</v>
      </c>
      <c r="F131" s="74" t="s">
        <v>133</v>
      </c>
      <c r="G131" s="74">
        <v>1279155884</v>
      </c>
      <c r="H131" s="172">
        <v>45449</v>
      </c>
    </row>
    <row r="132" spans="1:8" ht="31.5" customHeight="1" x14ac:dyDescent="0.55000000000000004">
      <c r="A132" s="191">
        <v>45453</v>
      </c>
      <c r="B132" s="74">
        <v>1</v>
      </c>
      <c r="C132" s="74" t="s">
        <v>353</v>
      </c>
      <c r="D132" s="74" t="s">
        <v>354</v>
      </c>
      <c r="E132" s="74" t="s">
        <v>142</v>
      </c>
      <c r="F132" s="74" t="s">
        <v>143</v>
      </c>
      <c r="G132" s="74">
        <v>1157212463</v>
      </c>
      <c r="H132" s="172">
        <v>45453</v>
      </c>
    </row>
    <row r="133" spans="1:8" ht="31.5" customHeight="1" x14ac:dyDescent="0.55000000000000004">
      <c r="A133" s="191"/>
      <c r="B133" s="74">
        <v>2</v>
      </c>
      <c r="C133" s="74" t="s">
        <v>355</v>
      </c>
      <c r="D133" s="74" t="s">
        <v>356</v>
      </c>
      <c r="E133" s="74" t="s">
        <v>142</v>
      </c>
      <c r="F133" s="74" t="s">
        <v>161</v>
      </c>
      <c r="G133" s="74">
        <v>1124478463</v>
      </c>
      <c r="H133" s="172">
        <v>45453</v>
      </c>
    </row>
    <row r="134" spans="1:8" ht="31.5" customHeight="1" x14ac:dyDescent="0.55000000000000004">
      <c r="A134" s="191"/>
      <c r="B134" s="74">
        <v>3</v>
      </c>
      <c r="C134" s="74" t="s">
        <v>357</v>
      </c>
      <c r="D134" s="74" t="s">
        <v>356</v>
      </c>
      <c r="E134" s="74" t="s">
        <v>142</v>
      </c>
      <c r="F134" s="74" t="s">
        <v>156</v>
      </c>
      <c r="G134" s="74">
        <v>1227113701</v>
      </c>
      <c r="H134" s="172">
        <v>45453</v>
      </c>
    </row>
    <row r="135" spans="1:8" ht="31.5" customHeight="1" x14ac:dyDescent="0.55000000000000004">
      <c r="A135" s="191"/>
      <c r="B135" s="74">
        <v>4</v>
      </c>
      <c r="C135" s="74" t="s">
        <v>358</v>
      </c>
      <c r="D135" s="74" t="s">
        <v>359</v>
      </c>
      <c r="E135" s="74" t="s">
        <v>142</v>
      </c>
      <c r="F135" s="74" t="s">
        <v>156</v>
      </c>
      <c r="G135" s="74" t="s">
        <v>134</v>
      </c>
      <c r="H135" s="172">
        <v>45453</v>
      </c>
    </row>
    <row r="136" spans="1:8" ht="31.5" customHeight="1" x14ac:dyDescent="0.55000000000000004">
      <c r="A136" s="191"/>
      <c r="B136" s="74">
        <v>5</v>
      </c>
      <c r="C136" s="74" t="s">
        <v>360</v>
      </c>
      <c r="D136" s="74" t="s">
        <v>359</v>
      </c>
      <c r="E136" s="74" t="s">
        <v>142</v>
      </c>
      <c r="F136" s="74" t="s">
        <v>143</v>
      </c>
      <c r="G136" s="74">
        <v>1125477649</v>
      </c>
      <c r="H136" s="172">
        <v>45453</v>
      </c>
    </row>
    <row r="137" spans="1:8" ht="31.5" customHeight="1" x14ac:dyDescent="0.55000000000000004">
      <c r="A137" s="191"/>
      <c r="B137" s="74">
        <v>6</v>
      </c>
      <c r="C137" s="74" t="s">
        <v>361</v>
      </c>
      <c r="D137" s="74" t="s">
        <v>356</v>
      </c>
      <c r="E137" s="74" t="s">
        <v>142</v>
      </c>
      <c r="F137" s="74" t="s">
        <v>156</v>
      </c>
      <c r="G137" s="74">
        <v>1019480399</v>
      </c>
      <c r="H137" s="172">
        <v>45453</v>
      </c>
    </row>
    <row r="138" spans="1:8" ht="31.5" customHeight="1" x14ac:dyDescent="0.55000000000000004">
      <c r="A138" s="191"/>
      <c r="B138" s="74">
        <v>7</v>
      </c>
      <c r="C138" s="74" t="s">
        <v>362</v>
      </c>
      <c r="D138" s="74" t="s">
        <v>356</v>
      </c>
      <c r="E138" s="74" t="s">
        <v>145</v>
      </c>
      <c r="F138" s="74" t="s">
        <v>156</v>
      </c>
      <c r="G138" s="74">
        <v>1019480399</v>
      </c>
      <c r="H138" s="172">
        <v>45453</v>
      </c>
    </row>
    <row r="139" spans="1:8" ht="31.5" customHeight="1" x14ac:dyDescent="0.55000000000000004">
      <c r="A139" s="191"/>
      <c r="B139" s="74">
        <v>8</v>
      </c>
      <c r="C139" s="74" t="s">
        <v>363</v>
      </c>
      <c r="D139" s="74" t="s">
        <v>356</v>
      </c>
      <c r="E139" s="74" t="s">
        <v>145</v>
      </c>
      <c r="F139" s="74" t="s">
        <v>156</v>
      </c>
      <c r="G139" s="74">
        <v>122335981</v>
      </c>
      <c r="H139" s="172">
        <v>45453</v>
      </c>
    </row>
    <row r="140" spans="1:8" ht="31.5" customHeight="1" x14ac:dyDescent="0.55000000000000004">
      <c r="A140" s="191"/>
      <c r="B140" s="74">
        <v>9</v>
      </c>
      <c r="C140" s="74" t="s">
        <v>364</v>
      </c>
      <c r="D140" s="74" t="s">
        <v>359</v>
      </c>
      <c r="E140" s="74" t="s">
        <v>142</v>
      </c>
      <c r="F140" s="74" t="s">
        <v>158</v>
      </c>
      <c r="G140" s="74">
        <v>1147471496</v>
      </c>
      <c r="H140" s="172">
        <v>45453</v>
      </c>
    </row>
    <row r="141" spans="1:8" ht="31.5" customHeight="1" x14ac:dyDescent="0.55000000000000004">
      <c r="A141" s="191"/>
      <c r="B141" s="74">
        <v>10</v>
      </c>
      <c r="C141" s="74" t="s">
        <v>365</v>
      </c>
      <c r="D141" s="74" t="s">
        <v>356</v>
      </c>
      <c r="E141" s="74" t="s">
        <v>150</v>
      </c>
      <c r="F141" s="74" t="s">
        <v>133</v>
      </c>
      <c r="G141" s="74">
        <v>1122931326</v>
      </c>
      <c r="H141" s="172">
        <v>45453</v>
      </c>
    </row>
    <row r="142" spans="1:8" ht="31.5" customHeight="1" x14ac:dyDescent="0.55000000000000004">
      <c r="A142" s="191"/>
      <c r="B142" s="74">
        <v>11</v>
      </c>
      <c r="C142" s="74" t="s">
        <v>366</v>
      </c>
      <c r="D142" s="74" t="s">
        <v>356</v>
      </c>
      <c r="E142" s="74" t="s">
        <v>145</v>
      </c>
      <c r="F142" s="74" t="s">
        <v>156</v>
      </c>
      <c r="G142" s="74" t="s">
        <v>134</v>
      </c>
      <c r="H142" s="172">
        <v>45453</v>
      </c>
    </row>
    <row r="143" spans="1:8" ht="31.5" customHeight="1" x14ac:dyDescent="0.55000000000000004">
      <c r="A143" s="191"/>
      <c r="B143" s="74">
        <v>12</v>
      </c>
      <c r="C143" s="74" t="s">
        <v>367</v>
      </c>
      <c r="D143" s="74" t="s">
        <v>359</v>
      </c>
      <c r="E143" s="74" t="s">
        <v>142</v>
      </c>
      <c r="F143" s="74" t="s">
        <v>135</v>
      </c>
      <c r="G143" s="74">
        <v>1220425286</v>
      </c>
      <c r="H143" s="172">
        <v>45453</v>
      </c>
    </row>
    <row r="144" spans="1:8" ht="31.5" customHeight="1" x14ac:dyDescent="0.55000000000000004">
      <c r="A144" s="191"/>
      <c r="B144" s="74">
        <v>13</v>
      </c>
      <c r="C144" s="74" t="s">
        <v>368</v>
      </c>
      <c r="D144" s="74" t="s">
        <v>356</v>
      </c>
      <c r="E144" s="74" t="s">
        <v>142</v>
      </c>
      <c r="F144" s="74" t="s">
        <v>161</v>
      </c>
      <c r="G144" s="74">
        <v>1207803267</v>
      </c>
      <c r="H144" s="172">
        <v>45453</v>
      </c>
    </row>
    <row r="145" spans="1:8" ht="31.5" customHeight="1" x14ac:dyDescent="0.55000000000000004">
      <c r="A145" s="191"/>
      <c r="B145" s="74">
        <v>14</v>
      </c>
      <c r="C145" s="74" t="s">
        <v>369</v>
      </c>
      <c r="D145" s="74" t="s">
        <v>354</v>
      </c>
      <c r="E145" s="74" t="s">
        <v>142</v>
      </c>
      <c r="F145" s="74" t="s">
        <v>143</v>
      </c>
      <c r="G145" s="74">
        <v>1122500728</v>
      </c>
      <c r="H145" s="172">
        <v>45453</v>
      </c>
    </row>
    <row r="146" spans="1:8" ht="31.5" customHeight="1" x14ac:dyDescent="0.55000000000000004">
      <c r="A146" s="191"/>
      <c r="B146" s="74">
        <v>15</v>
      </c>
      <c r="C146" s="74" t="s">
        <v>370</v>
      </c>
      <c r="D146" s="74" t="s">
        <v>356</v>
      </c>
      <c r="E146" s="74" t="s">
        <v>142</v>
      </c>
      <c r="F146" s="74" t="s">
        <v>156</v>
      </c>
      <c r="G146" s="74">
        <v>1146405866</v>
      </c>
      <c r="H146" s="172">
        <v>45453</v>
      </c>
    </row>
    <row r="147" spans="1:8" ht="31.5" customHeight="1" x14ac:dyDescent="0.55000000000000004">
      <c r="A147" s="191"/>
      <c r="B147" s="74">
        <v>16</v>
      </c>
      <c r="C147" s="74" t="s">
        <v>371</v>
      </c>
      <c r="D147" s="74" t="s">
        <v>356</v>
      </c>
      <c r="E147" s="74" t="s">
        <v>142</v>
      </c>
      <c r="F147" s="74" t="s">
        <v>135</v>
      </c>
      <c r="G147" s="74">
        <v>1158208851</v>
      </c>
      <c r="H147" s="172">
        <v>45453</v>
      </c>
    </row>
    <row r="148" spans="1:8" ht="31.5" customHeight="1" x14ac:dyDescent="0.55000000000000004">
      <c r="A148" s="191"/>
      <c r="B148" s="74">
        <v>17</v>
      </c>
      <c r="C148" s="74" t="s">
        <v>372</v>
      </c>
      <c r="D148" s="74" t="s">
        <v>354</v>
      </c>
      <c r="E148" s="74" t="s">
        <v>142</v>
      </c>
      <c r="F148" s="74" t="s">
        <v>132</v>
      </c>
      <c r="G148" s="74">
        <v>1286535811</v>
      </c>
      <c r="H148" s="172">
        <v>45453</v>
      </c>
    </row>
    <row r="149" spans="1:8" ht="31.5" customHeight="1" x14ac:dyDescent="0.55000000000000004">
      <c r="A149" s="191"/>
      <c r="B149" s="74">
        <v>18</v>
      </c>
      <c r="C149" s="74" t="s">
        <v>373</v>
      </c>
      <c r="D149" s="74" t="s">
        <v>354</v>
      </c>
      <c r="E149" s="74" t="s">
        <v>142</v>
      </c>
      <c r="F149" s="74" t="s">
        <v>175</v>
      </c>
      <c r="G149" s="74">
        <v>1151611408</v>
      </c>
      <c r="H149" s="172">
        <v>45453</v>
      </c>
    </row>
    <row r="150" spans="1:8" ht="31.5" customHeight="1" x14ac:dyDescent="0.55000000000000004">
      <c r="A150" s="191"/>
      <c r="B150" s="74">
        <v>19</v>
      </c>
      <c r="C150" s="74" t="s">
        <v>374</v>
      </c>
      <c r="D150" s="74" t="s">
        <v>356</v>
      </c>
      <c r="E150" s="74" t="s">
        <v>145</v>
      </c>
      <c r="F150" s="74" t="s">
        <v>156</v>
      </c>
      <c r="G150" s="74">
        <v>1021485009</v>
      </c>
      <c r="H150" s="172">
        <v>45453</v>
      </c>
    </row>
    <row r="151" spans="1:8" ht="31.5" customHeight="1" x14ac:dyDescent="0.55000000000000004">
      <c r="A151" s="191"/>
      <c r="B151" s="74">
        <v>20</v>
      </c>
      <c r="C151" s="74" t="s">
        <v>375</v>
      </c>
      <c r="D151" s="74" t="s">
        <v>359</v>
      </c>
      <c r="E151" s="74" t="s">
        <v>142</v>
      </c>
      <c r="F151" s="74" t="s">
        <v>263</v>
      </c>
      <c r="G151" s="85">
        <v>1154803033</v>
      </c>
      <c r="H151" s="172">
        <v>45453</v>
      </c>
    </row>
    <row r="152" spans="1:8" ht="31.5" customHeight="1" x14ac:dyDescent="0.55000000000000004">
      <c r="A152" s="191"/>
      <c r="B152" s="74">
        <v>21</v>
      </c>
      <c r="C152" s="74" t="s">
        <v>376</v>
      </c>
      <c r="D152" s="74" t="s">
        <v>356</v>
      </c>
      <c r="E152" s="74" t="s">
        <v>142</v>
      </c>
      <c r="F152" s="74" t="s">
        <v>135</v>
      </c>
      <c r="G152" s="74">
        <v>1157508593</v>
      </c>
      <c r="H152" s="172">
        <v>45453</v>
      </c>
    </row>
    <row r="153" spans="1:8" ht="31.5" customHeight="1" x14ac:dyDescent="0.55000000000000004">
      <c r="A153" s="191"/>
      <c r="B153" s="74">
        <v>22</v>
      </c>
      <c r="C153" s="74" t="s">
        <v>377</v>
      </c>
      <c r="D153" s="74" t="s">
        <v>354</v>
      </c>
      <c r="E153" s="74" t="s">
        <v>142</v>
      </c>
      <c r="F153" s="74" t="s">
        <v>143</v>
      </c>
      <c r="G153" s="74">
        <v>1271080922</v>
      </c>
      <c r="H153" s="172">
        <v>45453</v>
      </c>
    </row>
    <row r="154" spans="1:8" ht="31.5" customHeight="1" x14ac:dyDescent="0.55000000000000004">
      <c r="A154" s="191"/>
      <c r="B154" s="74">
        <v>23</v>
      </c>
      <c r="C154" s="74" t="s">
        <v>378</v>
      </c>
      <c r="D154" s="74" t="s">
        <v>356</v>
      </c>
      <c r="E154" s="74" t="s">
        <v>145</v>
      </c>
      <c r="F154" s="74" t="s">
        <v>158</v>
      </c>
      <c r="G154" s="74">
        <v>1118217256</v>
      </c>
      <c r="H154" s="172">
        <v>45453</v>
      </c>
    </row>
    <row r="155" spans="1:8" ht="31.5" customHeight="1" x14ac:dyDescent="0.55000000000000004">
      <c r="A155" s="191"/>
      <c r="B155" s="74">
        <v>24</v>
      </c>
      <c r="C155" s="74" t="s">
        <v>379</v>
      </c>
      <c r="D155" s="74" t="s">
        <v>356</v>
      </c>
      <c r="E155" s="74" t="s">
        <v>142</v>
      </c>
      <c r="F155" s="74" t="s">
        <v>156</v>
      </c>
      <c r="G155" s="74">
        <v>1270684088</v>
      </c>
      <c r="H155" s="172">
        <v>45453</v>
      </c>
    </row>
    <row r="156" spans="1:8" ht="31.5" customHeight="1" x14ac:dyDescent="0.55000000000000004">
      <c r="A156" s="191"/>
      <c r="B156" s="74">
        <v>25</v>
      </c>
      <c r="C156" s="74" t="s">
        <v>380</v>
      </c>
      <c r="D156" s="74" t="s">
        <v>356</v>
      </c>
      <c r="E156" s="74" t="s">
        <v>142</v>
      </c>
      <c r="F156" s="74" t="s">
        <v>156</v>
      </c>
      <c r="G156" s="74" t="s">
        <v>134</v>
      </c>
      <c r="H156" s="172">
        <v>45453</v>
      </c>
    </row>
    <row r="157" spans="1:8" ht="31.5" customHeight="1" x14ac:dyDescent="0.55000000000000004">
      <c r="A157" s="191"/>
      <c r="B157" s="74">
        <v>26</v>
      </c>
      <c r="C157" s="74" t="s">
        <v>381</v>
      </c>
      <c r="D157" s="74" t="s">
        <v>359</v>
      </c>
      <c r="E157" s="74" t="s">
        <v>142</v>
      </c>
      <c r="F157" s="74" t="s">
        <v>382</v>
      </c>
      <c r="G157" s="74">
        <v>1279281761</v>
      </c>
      <c r="H157" s="172">
        <v>45453</v>
      </c>
    </row>
    <row r="158" spans="1:8" ht="31.5" customHeight="1" x14ac:dyDescent="0.55000000000000004">
      <c r="A158" s="191"/>
      <c r="B158" s="74">
        <v>27</v>
      </c>
      <c r="C158" s="74" t="s">
        <v>383</v>
      </c>
      <c r="D158" s="74" t="s">
        <v>356</v>
      </c>
      <c r="E158" s="74" t="s">
        <v>142</v>
      </c>
      <c r="F158" s="74" t="s">
        <v>384</v>
      </c>
      <c r="G158" s="74">
        <v>1126518139</v>
      </c>
      <c r="H158" s="172">
        <v>45453</v>
      </c>
    </row>
    <row r="159" spans="1:8" ht="31.5" customHeight="1" x14ac:dyDescent="0.55000000000000004">
      <c r="A159" s="191"/>
      <c r="B159" s="74">
        <v>28</v>
      </c>
      <c r="C159" s="74" t="s">
        <v>385</v>
      </c>
      <c r="D159" s="74" t="s">
        <v>356</v>
      </c>
      <c r="E159" s="74" t="s">
        <v>142</v>
      </c>
      <c r="F159" s="74" t="s">
        <v>183</v>
      </c>
      <c r="G159" s="74" t="s">
        <v>134</v>
      </c>
      <c r="H159" s="172">
        <v>45453</v>
      </c>
    </row>
    <row r="160" spans="1:8" ht="31.5" customHeight="1" x14ac:dyDescent="0.55000000000000004">
      <c r="A160" s="191"/>
      <c r="B160" s="74">
        <v>29</v>
      </c>
      <c r="C160" s="74" t="s">
        <v>348</v>
      </c>
      <c r="D160" s="74" t="s">
        <v>359</v>
      </c>
      <c r="E160" s="74" t="s">
        <v>244</v>
      </c>
      <c r="F160" s="74" t="s">
        <v>232</v>
      </c>
      <c r="G160" s="74">
        <v>1207240677</v>
      </c>
      <c r="H160" s="172">
        <v>45453</v>
      </c>
    </row>
    <row r="161" spans="1:8" ht="31.5" customHeight="1" x14ac:dyDescent="0.55000000000000004">
      <c r="A161" s="191"/>
      <c r="B161" s="74">
        <v>30</v>
      </c>
      <c r="C161" s="74" t="s">
        <v>386</v>
      </c>
      <c r="D161" s="74" t="s">
        <v>359</v>
      </c>
      <c r="E161" s="74" t="s">
        <v>186</v>
      </c>
      <c r="F161" s="74" t="s">
        <v>188</v>
      </c>
      <c r="G161" s="74">
        <v>1113807399</v>
      </c>
      <c r="H161" s="172">
        <v>45453</v>
      </c>
    </row>
    <row r="162" spans="1:8" ht="31.5" customHeight="1" x14ac:dyDescent="0.55000000000000004">
      <c r="A162" s="191"/>
      <c r="B162" s="74">
        <v>31</v>
      </c>
      <c r="C162" s="74" t="s">
        <v>387</v>
      </c>
      <c r="D162" s="74" t="s">
        <v>359</v>
      </c>
      <c r="E162" s="74" t="s">
        <v>186</v>
      </c>
      <c r="F162" s="74" t="s">
        <v>135</v>
      </c>
      <c r="G162" s="74">
        <v>1153766657</v>
      </c>
      <c r="H162" s="172">
        <v>45453</v>
      </c>
    </row>
    <row r="163" spans="1:8" ht="31.5" customHeight="1" x14ac:dyDescent="0.55000000000000004">
      <c r="A163" s="191"/>
      <c r="B163" s="74">
        <v>32</v>
      </c>
      <c r="C163" s="74" t="s">
        <v>388</v>
      </c>
      <c r="D163" s="74" t="s">
        <v>354</v>
      </c>
      <c r="E163" s="74" t="s">
        <v>186</v>
      </c>
      <c r="F163" s="74" t="s">
        <v>133</v>
      </c>
      <c r="G163" s="74" t="s">
        <v>134</v>
      </c>
      <c r="H163" s="172">
        <v>45453</v>
      </c>
    </row>
    <row r="164" spans="1:8" ht="31.5" customHeight="1" x14ac:dyDescent="0.55000000000000004">
      <c r="A164" s="191"/>
      <c r="B164" s="74">
        <v>33</v>
      </c>
      <c r="C164" s="74" t="s">
        <v>389</v>
      </c>
      <c r="D164" s="74" t="s">
        <v>359</v>
      </c>
      <c r="E164" s="74" t="s">
        <v>186</v>
      </c>
      <c r="F164" s="74" t="s">
        <v>133</v>
      </c>
      <c r="G164" s="74">
        <v>1121625625</v>
      </c>
      <c r="H164" s="172">
        <v>45453</v>
      </c>
    </row>
    <row r="165" spans="1:8" ht="31.5" customHeight="1" x14ac:dyDescent="0.55000000000000004">
      <c r="A165" s="191"/>
      <c r="B165" s="74">
        <v>34</v>
      </c>
      <c r="C165" s="74" t="s">
        <v>390</v>
      </c>
      <c r="D165" s="74" t="s">
        <v>359</v>
      </c>
      <c r="E165" s="74" t="s">
        <v>186</v>
      </c>
      <c r="F165" s="74" t="s">
        <v>391</v>
      </c>
      <c r="G165" s="74">
        <v>1116142523</v>
      </c>
      <c r="H165" s="172">
        <v>45453</v>
      </c>
    </row>
    <row r="166" spans="1:8" ht="31.5" customHeight="1" x14ac:dyDescent="0.55000000000000004">
      <c r="A166" s="191"/>
      <c r="B166" s="74">
        <v>35</v>
      </c>
      <c r="C166" s="74" t="s">
        <v>392</v>
      </c>
      <c r="D166" s="74" t="s">
        <v>354</v>
      </c>
      <c r="E166" s="74" t="s">
        <v>186</v>
      </c>
      <c r="F166" s="74" t="s">
        <v>188</v>
      </c>
      <c r="G166" s="74" t="s">
        <v>134</v>
      </c>
      <c r="H166" s="172">
        <v>45453</v>
      </c>
    </row>
    <row r="167" spans="1:8" ht="31.5" customHeight="1" x14ac:dyDescent="0.55000000000000004">
      <c r="A167" s="191"/>
      <c r="B167" s="74">
        <v>36</v>
      </c>
      <c r="C167" s="74" t="s">
        <v>393</v>
      </c>
      <c r="D167" s="74" t="s">
        <v>354</v>
      </c>
      <c r="E167" s="74" t="s">
        <v>186</v>
      </c>
      <c r="F167" s="74" t="s">
        <v>132</v>
      </c>
      <c r="G167" s="74">
        <v>1022749081</v>
      </c>
      <c r="H167" s="172">
        <v>45453</v>
      </c>
    </row>
    <row r="168" spans="1:8" ht="31.5" customHeight="1" x14ac:dyDescent="0.55000000000000004">
      <c r="A168" s="191"/>
      <c r="B168" s="74">
        <v>37</v>
      </c>
      <c r="C168" s="74" t="s">
        <v>394</v>
      </c>
      <c r="D168" s="74" t="s">
        <v>354</v>
      </c>
      <c r="E168" s="74" t="s">
        <v>195</v>
      </c>
      <c r="F168" s="74" t="s">
        <v>183</v>
      </c>
      <c r="G168" s="74">
        <v>1148361661</v>
      </c>
      <c r="H168" s="172">
        <v>45453</v>
      </c>
    </row>
    <row r="169" spans="1:8" ht="31.5" customHeight="1" x14ac:dyDescent="0.55000000000000004">
      <c r="A169" s="191"/>
      <c r="B169" s="74">
        <v>38</v>
      </c>
      <c r="C169" s="74" t="s">
        <v>395</v>
      </c>
      <c r="D169" s="74" t="s">
        <v>354</v>
      </c>
      <c r="E169" s="74" t="s">
        <v>195</v>
      </c>
      <c r="F169" s="74" t="s">
        <v>183</v>
      </c>
      <c r="G169" s="74">
        <v>1120885994</v>
      </c>
      <c r="H169" s="172">
        <v>45453</v>
      </c>
    </row>
    <row r="170" spans="1:8" ht="31.5" customHeight="1" x14ac:dyDescent="0.55000000000000004">
      <c r="A170" s="191"/>
      <c r="B170" s="74">
        <v>39</v>
      </c>
      <c r="C170" s="74" t="s">
        <v>396</v>
      </c>
      <c r="D170" s="74" t="s">
        <v>359</v>
      </c>
      <c r="E170" s="74" t="s">
        <v>186</v>
      </c>
      <c r="F170" s="74" t="s">
        <v>135</v>
      </c>
      <c r="G170" s="74" t="s">
        <v>134</v>
      </c>
      <c r="H170" s="172">
        <v>45453</v>
      </c>
    </row>
    <row r="171" spans="1:8" ht="31.5" customHeight="1" x14ac:dyDescent="0.55000000000000004">
      <c r="A171" s="191"/>
      <c r="B171" s="74">
        <v>40</v>
      </c>
      <c r="C171" s="74" t="s">
        <v>397</v>
      </c>
      <c r="D171" s="74" t="s">
        <v>354</v>
      </c>
      <c r="E171" s="74" t="s">
        <v>195</v>
      </c>
      <c r="F171" s="74" t="s">
        <v>183</v>
      </c>
      <c r="G171" s="74">
        <v>1100525483</v>
      </c>
      <c r="H171" s="172">
        <v>45453</v>
      </c>
    </row>
    <row r="172" spans="1:8" ht="31.5" customHeight="1" x14ac:dyDescent="0.55000000000000004">
      <c r="A172" s="191"/>
      <c r="B172" s="74">
        <v>41</v>
      </c>
      <c r="C172" s="74" t="s">
        <v>398</v>
      </c>
      <c r="D172" s="74" t="s">
        <v>356</v>
      </c>
      <c r="E172" s="74" t="s">
        <v>200</v>
      </c>
      <c r="F172" s="74" t="s">
        <v>232</v>
      </c>
      <c r="G172" s="74">
        <v>1158434121</v>
      </c>
      <c r="H172" s="172">
        <v>45453</v>
      </c>
    </row>
    <row r="173" spans="1:8" ht="31.5" customHeight="1" x14ac:dyDescent="0.55000000000000004">
      <c r="A173" s="191"/>
      <c r="B173" s="74">
        <v>42</v>
      </c>
      <c r="C173" s="74" t="s">
        <v>399</v>
      </c>
      <c r="D173" s="74" t="s">
        <v>356</v>
      </c>
      <c r="E173" s="74" t="s">
        <v>200</v>
      </c>
      <c r="F173" s="74" t="s">
        <v>161</v>
      </c>
      <c r="G173" s="74">
        <v>1157996440</v>
      </c>
      <c r="H173" s="172">
        <v>45453</v>
      </c>
    </row>
    <row r="174" spans="1:8" ht="31.5" customHeight="1" x14ac:dyDescent="0.55000000000000004">
      <c r="A174" s="191"/>
      <c r="B174" s="74">
        <v>43</v>
      </c>
      <c r="C174" s="74" t="s">
        <v>400</v>
      </c>
      <c r="D174" s="74" t="s">
        <v>356</v>
      </c>
      <c r="E174" s="74" t="s">
        <v>200</v>
      </c>
      <c r="F174" s="74" t="s">
        <v>135</v>
      </c>
      <c r="G174" s="74">
        <v>1132964206</v>
      </c>
      <c r="H174" s="172">
        <v>45453</v>
      </c>
    </row>
    <row r="175" spans="1:8" ht="31.5" customHeight="1" x14ac:dyDescent="0.55000000000000004">
      <c r="A175" s="191"/>
      <c r="B175" s="74">
        <v>44</v>
      </c>
      <c r="C175" s="74" t="s">
        <v>401</v>
      </c>
      <c r="D175" s="74" t="s">
        <v>356</v>
      </c>
      <c r="E175" s="74" t="s">
        <v>200</v>
      </c>
      <c r="F175" s="74" t="s">
        <v>133</v>
      </c>
      <c r="G175" s="74">
        <v>1157049785</v>
      </c>
      <c r="H175" s="172">
        <v>45453</v>
      </c>
    </row>
    <row r="176" spans="1:8" ht="31.5" customHeight="1" x14ac:dyDescent="0.55000000000000004">
      <c r="A176" s="191"/>
      <c r="B176" s="74">
        <v>45</v>
      </c>
      <c r="C176" s="74" t="s">
        <v>402</v>
      </c>
      <c r="D176" s="74" t="s">
        <v>356</v>
      </c>
      <c r="E176" s="74" t="s">
        <v>200</v>
      </c>
      <c r="F176" s="74" t="s">
        <v>135</v>
      </c>
      <c r="G176" s="74">
        <v>1120870809</v>
      </c>
      <c r="H176" s="172">
        <v>45453</v>
      </c>
    </row>
    <row r="177" spans="1:8" ht="31.5" customHeight="1" x14ac:dyDescent="0.55000000000000004">
      <c r="A177" s="191"/>
      <c r="B177" s="74">
        <v>46</v>
      </c>
      <c r="C177" s="74" t="s">
        <v>403</v>
      </c>
      <c r="D177" s="74" t="s">
        <v>356</v>
      </c>
      <c r="E177" s="74" t="s">
        <v>200</v>
      </c>
      <c r="F177" s="74" t="s">
        <v>158</v>
      </c>
      <c r="G177" s="74" t="s">
        <v>134</v>
      </c>
      <c r="H177" s="172">
        <v>45453</v>
      </c>
    </row>
    <row r="178" spans="1:8" ht="31.5" customHeight="1" x14ac:dyDescent="0.55000000000000004">
      <c r="A178" s="191">
        <v>45456</v>
      </c>
      <c r="B178" s="74">
        <v>1</v>
      </c>
      <c r="C178" s="74" t="s">
        <v>424</v>
      </c>
      <c r="D178" s="74" t="s">
        <v>148</v>
      </c>
      <c r="E178" s="74" t="s">
        <v>145</v>
      </c>
      <c r="F178" s="74" t="s">
        <v>135</v>
      </c>
      <c r="G178" s="74">
        <v>1129178000</v>
      </c>
      <c r="H178" s="172">
        <v>45456</v>
      </c>
    </row>
    <row r="179" spans="1:8" ht="31.5" customHeight="1" x14ac:dyDescent="0.55000000000000004">
      <c r="A179" s="191"/>
      <c r="B179" s="74">
        <v>2</v>
      </c>
      <c r="C179" s="74" t="s">
        <v>425</v>
      </c>
      <c r="D179" s="74" t="s">
        <v>131</v>
      </c>
      <c r="E179" s="74" t="s">
        <v>142</v>
      </c>
      <c r="F179" s="74" t="s">
        <v>135</v>
      </c>
      <c r="G179" s="85">
        <v>1113865491</v>
      </c>
      <c r="H179" s="172">
        <v>45456</v>
      </c>
    </row>
    <row r="180" spans="1:8" ht="31.5" customHeight="1" x14ac:dyDescent="0.55000000000000004">
      <c r="A180" s="191"/>
      <c r="B180" s="74">
        <v>3</v>
      </c>
      <c r="C180" s="74" t="s">
        <v>426</v>
      </c>
      <c r="D180" s="74" t="s">
        <v>148</v>
      </c>
      <c r="E180" s="74" t="s">
        <v>142</v>
      </c>
      <c r="F180" s="74" t="s">
        <v>143</v>
      </c>
      <c r="G180" s="74">
        <v>1129099480</v>
      </c>
      <c r="H180" s="172">
        <v>45456</v>
      </c>
    </row>
    <row r="181" spans="1:8" ht="31.5" customHeight="1" x14ac:dyDescent="0.55000000000000004">
      <c r="A181" s="191"/>
      <c r="B181" s="74">
        <v>4</v>
      </c>
      <c r="C181" s="74" t="s">
        <v>427</v>
      </c>
      <c r="D181" s="74" t="s">
        <v>131</v>
      </c>
      <c r="E181" s="74" t="s">
        <v>142</v>
      </c>
      <c r="F181" s="74" t="s">
        <v>156</v>
      </c>
      <c r="G181" s="74">
        <v>1099046860</v>
      </c>
      <c r="H181" s="172">
        <v>45456</v>
      </c>
    </row>
    <row r="182" spans="1:8" ht="31.5" customHeight="1" x14ac:dyDescent="0.55000000000000004">
      <c r="A182" s="191"/>
      <c r="B182" s="74">
        <v>5</v>
      </c>
      <c r="C182" s="74" t="s">
        <v>428</v>
      </c>
      <c r="D182" s="74" t="s">
        <v>141</v>
      </c>
      <c r="E182" s="74" t="s">
        <v>145</v>
      </c>
      <c r="F182" s="74" t="s">
        <v>146</v>
      </c>
      <c r="G182" s="74">
        <v>1156490246</v>
      </c>
      <c r="H182" s="172">
        <v>45456</v>
      </c>
    </row>
    <row r="183" spans="1:8" ht="31.5" customHeight="1" x14ac:dyDescent="0.55000000000000004">
      <c r="A183" s="191"/>
      <c r="B183" s="74">
        <v>6</v>
      </c>
      <c r="C183" s="74" t="s">
        <v>429</v>
      </c>
      <c r="D183" s="74" t="s">
        <v>141</v>
      </c>
      <c r="E183" s="74" t="s">
        <v>145</v>
      </c>
      <c r="F183" s="74" t="s">
        <v>135</v>
      </c>
      <c r="G183" s="74" t="s">
        <v>134</v>
      </c>
      <c r="H183" s="172">
        <v>45456</v>
      </c>
    </row>
    <row r="184" spans="1:8" ht="31.5" customHeight="1" x14ac:dyDescent="0.55000000000000004">
      <c r="A184" s="191"/>
      <c r="B184" s="74">
        <v>7</v>
      </c>
      <c r="C184" s="74" t="s">
        <v>430</v>
      </c>
      <c r="D184" s="74" t="s">
        <v>141</v>
      </c>
      <c r="E184" s="74" t="s">
        <v>142</v>
      </c>
      <c r="F184" s="74" t="s">
        <v>431</v>
      </c>
      <c r="G184" s="74">
        <v>1152764676</v>
      </c>
      <c r="H184" s="172">
        <v>45456</v>
      </c>
    </row>
    <row r="185" spans="1:8" ht="31.5" customHeight="1" x14ac:dyDescent="0.55000000000000004">
      <c r="A185" s="191"/>
      <c r="B185" s="74">
        <v>8</v>
      </c>
      <c r="C185" s="74" t="s">
        <v>432</v>
      </c>
      <c r="D185" s="74" t="s">
        <v>148</v>
      </c>
      <c r="E185" s="74" t="s">
        <v>145</v>
      </c>
      <c r="F185" s="74" t="s">
        <v>143</v>
      </c>
      <c r="G185" s="74">
        <v>1204706529</v>
      </c>
      <c r="H185" s="172">
        <v>45456</v>
      </c>
    </row>
    <row r="186" spans="1:8" ht="31.5" customHeight="1" x14ac:dyDescent="0.55000000000000004">
      <c r="A186" s="191"/>
      <c r="B186" s="74">
        <v>9</v>
      </c>
      <c r="C186" s="74" t="s">
        <v>433</v>
      </c>
      <c r="D186" s="74" t="s">
        <v>131</v>
      </c>
      <c r="E186" s="74" t="s">
        <v>150</v>
      </c>
      <c r="F186" s="74" t="s">
        <v>156</v>
      </c>
      <c r="G186" s="74">
        <v>1228868146</v>
      </c>
      <c r="H186" s="172">
        <v>45456</v>
      </c>
    </row>
    <row r="187" spans="1:8" ht="31.5" customHeight="1" x14ac:dyDescent="0.55000000000000004">
      <c r="A187" s="191"/>
      <c r="B187" s="74">
        <v>10</v>
      </c>
      <c r="C187" s="74" t="s">
        <v>434</v>
      </c>
      <c r="D187" s="74" t="s">
        <v>131</v>
      </c>
      <c r="E187" s="74" t="s">
        <v>145</v>
      </c>
      <c r="F187" s="74" t="s">
        <v>156</v>
      </c>
      <c r="G187" s="74">
        <v>1275233795</v>
      </c>
      <c r="H187" s="172">
        <v>45456</v>
      </c>
    </row>
    <row r="188" spans="1:8" ht="31.5" customHeight="1" x14ac:dyDescent="0.55000000000000004">
      <c r="A188" s="191"/>
      <c r="B188" s="74">
        <v>11</v>
      </c>
      <c r="C188" s="74" t="s">
        <v>435</v>
      </c>
      <c r="D188" s="74" t="s">
        <v>148</v>
      </c>
      <c r="E188" s="74" t="s">
        <v>186</v>
      </c>
      <c r="F188" s="74" t="s">
        <v>183</v>
      </c>
      <c r="G188" s="74">
        <v>1102664663</v>
      </c>
      <c r="H188" s="172">
        <v>45456</v>
      </c>
    </row>
    <row r="189" spans="1:8" ht="31.5" customHeight="1" x14ac:dyDescent="0.55000000000000004">
      <c r="A189" s="191"/>
      <c r="B189" s="74">
        <v>12</v>
      </c>
      <c r="C189" s="74" t="s">
        <v>436</v>
      </c>
      <c r="D189" s="74" t="s">
        <v>148</v>
      </c>
      <c r="E189" s="74" t="s">
        <v>186</v>
      </c>
      <c r="F189" s="74" t="s">
        <v>161</v>
      </c>
      <c r="G189" s="74">
        <v>1120214644</v>
      </c>
      <c r="H189" s="172">
        <v>45456</v>
      </c>
    </row>
    <row r="190" spans="1:8" ht="31.5" customHeight="1" x14ac:dyDescent="0.55000000000000004">
      <c r="A190" s="191"/>
      <c r="B190" s="74">
        <v>13</v>
      </c>
      <c r="C190" s="74" t="s">
        <v>437</v>
      </c>
      <c r="D190" s="74" t="s">
        <v>131</v>
      </c>
      <c r="E190" s="74" t="s">
        <v>195</v>
      </c>
      <c r="F190" s="74" t="s">
        <v>146</v>
      </c>
      <c r="G190" s="74">
        <v>1124954052</v>
      </c>
      <c r="H190" s="172">
        <v>45456</v>
      </c>
    </row>
    <row r="191" spans="1:8" ht="31.5" customHeight="1" x14ac:dyDescent="0.55000000000000004">
      <c r="A191" s="191"/>
      <c r="B191" s="74">
        <v>14</v>
      </c>
      <c r="C191" s="74" t="s">
        <v>438</v>
      </c>
      <c r="D191" s="74" t="s">
        <v>148</v>
      </c>
      <c r="E191" s="74" t="s">
        <v>186</v>
      </c>
      <c r="F191" s="74" t="s">
        <v>158</v>
      </c>
      <c r="G191" s="74">
        <v>1274851304</v>
      </c>
      <c r="H191" s="172">
        <v>45456</v>
      </c>
    </row>
    <row r="192" spans="1:8" ht="31.5" customHeight="1" x14ac:dyDescent="0.55000000000000004">
      <c r="A192" s="191"/>
      <c r="B192" s="74">
        <v>15</v>
      </c>
      <c r="C192" s="74" t="s">
        <v>439</v>
      </c>
      <c r="D192" s="74" t="s">
        <v>148</v>
      </c>
      <c r="E192" s="74" t="s">
        <v>215</v>
      </c>
      <c r="F192" s="74" t="s">
        <v>188</v>
      </c>
      <c r="G192" s="74">
        <v>1011893771</v>
      </c>
      <c r="H192" s="172">
        <v>45456</v>
      </c>
    </row>
    <row r="193" spans="1:9" ht="31.5" customHeight="1" x14ac:dyDescent="0.55000000000000004">
      <c r="A193" s="191"/>
      <c r="B193" s="74">
        <v>16</v>
      </c>
      <c r="C193" s="74" t="s">
        <v>440</v>
      </c>
      <c r="D193" s="74" t="s">
        <v>148</v>
      </c>
      <c r="E193" s="74" t="s">
        <v>186</v>
      </c>
      <c r="F193" s="74" t="s">
        <v>143</v>
      </c>
      <c r="G193" s="74" t="s">
        <v>134</v>
      </c>
      <c r="H193" s="172">
        <v>45456</v>
      </c>
    </row>
    <row r="194" spans="1:9" ht="31.5" customHeight="1" x14ac:dyDescent="0.55000000000000004">
      <c r="A194" s="191"/>
      <c r="B194" s="74">
        <v>17</v>
      </c>
      <c r="C194" s="74" t="s">
        <v>443</v>
      </c>
      <c r="D194" s="74" t="s">
        <v>131</v>
      </c>
      <c r="E194" s="74" t="s">
        <v>200</v>
      </c>
      <c r="F194" s="74" t="s">
        <v>135</v>
      </c>
      <c r="G194" s="85">
        <v>1101675953</v>
      </c>
      <c r="H194" s="172">
        <v>45456</v>
      </c>
    </row>
    <row r="195" spans="1:9" ht="31.5" customHeight="1" x14ac:dyDescent="0.55000000000000004">
      <c r="A195" s="191"/>
      <c r="B195" s="74">
        <v>18</v>
      </c>
      <c r="C195" s="74" t="s">
        <v>444</v>
      </c>
      <c r="D195" s="74" t="s">
        <v>131</v>
      </c>
      <c r="E195" s="74" t="s">
        <v>200</v>
      </c>
      <c r="F195" s="74" t="s">
        <v>135</v>
      </c>
      <c r="G195" s="74">
        <v>1154593735</v>
      </c>
      <c r="H195" s="172">
        <v>45456</v>
      </c>
    </row>
    <row r="196" spans="1:9" ht="31.5" customHeight="1" x14ac:dyDescent="0.55000000000000004">
      <c r="A196" s="191"/>
      <c r="B196" s="74">
        <v>19</v>
      </c>
      <c r="C196" s="74" t="s">
        <v>445</v>
      </c>
      <c r="D196" s="74" t="s">
        <v>148</v>
      </c>
      <c r="E196" s="74" t="s">
        <v>142</v>
      </c>
      <c r="F196" s="74" t="s">
        <v>133</v>
      </c>
      <c r="G196" s="74">
        <v>1128784391</v>
      </c>
      <c r="H196" s="172">
        <v>45456</v>
      </c>
    </row>
    <row r="197" spans="1:9" ht="31.5" customHeight="1" x14ac:dyDescent="0.55000000000000004">
      <c r="A197" s="191"/>
      <c r="B197" s="74">
        <v>20</v>
      </c>
      <c r="C197" s="74" t="s">
        <v>446</v>
      </c>
      <c r="D197" s="102" t="s">
        <v>141</v>
      </c>
      <c r="E197" s="74" t="s">
        <v>195</v>
      </c>
      <c r="F197" s="74" t="s">
        <v>146</v>
      </c>
      <c r="G197" s="74" t="s">
        <v>134</v>
      </c>
      <c r="H197" s="172">
        <v>45456</v>
      </c>
    </row>
    <row r="198" spans="1:9" ht="31.5" customHeight="1" x14ac:dyDescent="0.55000000000000004">
      <c r="A198" s="191"/>
      <c r="B198" s="74">
        <v>21</v>
      </c>
      <c r="C198" s="74" t="s">
        <v>176</v>
      </c>
      <c r="D198" s="102" t="s">
        <v>148</v>
      </c>
      <c r="E198" s="74" t="s">
        <v>186</v>
      </c>
      <c r="F198" s="74" t="s">
        <v>188</v>
      </c>
      <c r="G198" s="74" t="s">
        <v>134</v>
      </c>
      <c r="H198" s="172">
        <v>45456</v>
      </c>
    </row>
    <row r="199" spans="1:9" s="110" customFormat="1" ht="31.5" customHeight="1" x14ac:dyDescent="0.55000000000000004">
      <c r="A199" s="191">
        <v>45463</v>
      </c>
      <c r="B199" s="119">
        <v>1</v>
      </c>
      <c r="C199" s="74" t="s">
        <v>464</v>
      </c>
      <c r="D199" s="102" t="s">
        <v>148</v>
      </c>
      <c r="E199" s="74" t="s">
        <v>465</v>
      </c>
      <c r="F199" s="74" t="s">
        <v>466</v>
      </c>
      <c r="G199" s="74">
        <v>1226502218</v>
      </c>
      <c r="H199" s="172">
        <v>45463</v>
      </c>
      <c r="I199" s="105"/>
    </row>
    <row r="200" spans="1:9" ht="31.5" customHeight="1" x14ac:dyDescent="0.55000000000000004">
      <c r="A200" s="191"/>
      <c r="B200" s="74">
        <v>2</v>
      </c>
      <c r="C200" s="74" t="s">
        <v>467</v>
      </c>
      <c r="D200" s="102" t="s">
        <v>148</v>
      </c>
      <c r="E200" s="74" t="s">
        <v>468</v>
      </c>
      <c r="F200" s="74" t="s">
        <v>469</v>
      </c>
      <c r="G200" s="74">
        <v>1118367538</v>
      </c>
      <c r="H200" s="172">
        <v>45463</v>
      </c>
    </row>
    <row r="201" spans="1:9" ht="31.5" customHeight="1" x14ac:dyDescent="0.55000000000000004">
      <c r="A201" s="191"/>
      <c r="B201" s="119">
        <v>3</v>
      </c>
      <c r="C201" s="74" t="s">
        <v>470</v>
      </c>
      <c r="D201" s="102" t="s">
        <v>148</v>
      </c>
      <c r="E201" s="74" t="s">
        <v>465</v>
      </c>
      <c r="F201" s="74" t="s">
        <v>196</v>
      </c>
      <c r="G201" s="74">
        <v>1112117753</v>
      </c>
      <c r="H201" s="172">
        <v>45463</v>
      </c>
    </row>
    <row r="202" spans="1:9" ht="31.5" customHeight="1" x14ac:dyDescent="0.55000000000000004">
      <c r="A202" s="191"/>
      <c r="B202" s="74">
        <v>4</v>
      </c>
      <c r="C202" s="86" t="s">
        <v>471</v>
      </c>
      <c r="D202" s="86" t="s">
        <v>356</v>
      </c>
      <c r="E202" s="74" t="s">
        <v>465</v>
      </c>
      <c r="F202" s="86" t="s">
        <v>472</v>
      </c>
      <c r="G202" s="74">
        <v>1201820935</v>
      </c>
      <c r="H202" s="172">
        <v>45463</v>
      </c>
    </row>
    <row r="203" spans="1:9" ht="31.5" customHeight="1" x14ac:dyDescent="0.55000000000000004">
      <c r="A203" s="191"/>
      <c r="B203" s="119">
        <v>5</v>
      </c>
      <c r="C203" s="86" t="s">
        <v>473</v>
      </c>
      <c r="D203" s="86" t="s">
        <v>474</v>
      </c>
      <c r="E203" s="86" t="s">
        <v>468</v>
      </c>
      <c r="F203" s="86" t="s">
        <v>475</v>
      </c>
      <c r="G203" s="86">
        <v>1226353505</v>
      </c>
      <c r="H203" s="172">
        <v>45463</v>
      </c>
    </row>
    <row r="204" spans="1:9" ht="31.5" customHeight="1" x14ac:dyDescent="0.55000000000000004">
      <c r="A204" s="191"/>
      <c r="B204" s="74">
        <v>6</v>
      </c>
      <c r="C204" s="86" t="s">
        <v>476</v>
      </c>
      <c r="D204" s="86" t="s">
        <v>356</v>
      </c>
      <c r="E204" s="86" t="s">
        <v>468</v>
      </c>
      <c r="F204" s="86" t="s">
        <v>466</v>
      </c>
      <c r="G204" s="86">
        <v>1159631142</v>
      </c>
      <c r="H204" s="172">
        <v>45463</v>
      </c>
    </row>
    <row r="205" spans="1:9" ht="31.5" customHeight="1" x14ac:dyDescent="0.55000000000000004">
      <c r="A205" s="191"/>
      <c r="B205" s="119">
        <v>7</v>
      </c>
      <c r="C205" s="86" t="s">
        <v>477</v>
      </c>
      <c r="D205" s="86" t="s">
        <v>356</v>
      </c>
      <c r="E205" s="86" t="s">
        <v>478</v>
      </c>
      <c r="F205" s="86" t="s">
        <v>479</v>
      </c>
      <c r="G205" s="86">
        <v>1275982137</v>
      </c>
      <c r="H205" s="172">
        <v>45463</v>
      </c>
    </row>
    <row r="206" spans="1:9" ht="31.5" customHeight="1" x14ac:dyDescent="0.55000000000000004">
      <c r="A206" s="191"/>
      <c r="B206" s="74">
        <v>8</v>
      </c>
      <c r="C206" s="86" t="s">
        <v>480</v>
      </c>
      <c r="D206" s="86" t="s">
        <v>356</v>
      </c>
      <c r="E206" s="86" t="s">
        <v>468</v>
      </c>
      <c r="F206" s="86" t="s">
        <v>135</v>
      </c>
      <c r="G206" s="86">
        <v>1149562307</v>
      </c>
      <c r="H206" s="172">
        <v>45463</v>
      </c>
    </row>
    <row r="207" spans="1:9" ht="31.5" customHeight="1" x14ac:dyDescent="0.55000000000000004">
      <c r="A207" s="191"/>
      <c r="B207" s="119">
        <v>9</v>
      </c>
      <c r="C207" s="109" t="s">
        <v>481</v>
      </c>
      <c r="D207" s="109" t="s">
        <v>359</v>
      </c>
      <c r="E207" s="109" t="s">
        <v>465</v>
      </c>
      <c r="F207" s="86" t="s">
        <v>135</v>
      </c>
      <c r="G207" s="109">
        <v>114754384</v>
      </c>
      <c r="H207" s="172">
        <v>45463</v>
      </c>
    </row>
    <row r="208" spans="1:9" ht="31.5" customHeight="1" x14ac:dyDescent="0.55000000000000004">
      <c r="A208" s="191"/>
      <c r="B208" s="74">
        <v>10</v>
      </c>
      <c r="C208" s="109" t="s">
        <v>482</v>
      </c>
      <c r="D208" s="109" t="s">
        <v>483</v>
      </c>
      <c r="E208" s="109" t="s">
        <v>465</v>
      </c>
      <c r="F208" s="109" t="s">
        <v>469</v>
      </c>
      <c r="G208" s="109" t="s">
        <v>134</v>
      </c>
      <c r="H208" s="172">
        <v>45463</v>
      </c>
    </row>
    <row r="209" spans="1:8" ht="31.5" customHeight="1" x14ac:dyDescent="0.55000000000000004">
      <c r="A209" s="191"/>
      <c r="B209" s="119">
        <v>11</v>
      </c>
      <c r="C209" s="109" t="s">
        <v>484</v>
      </c>
      <c r="D209" s="109" t="s">
        <v>483</v>
      </c>
      <c r="E209" s="109" t="s">
        <v>465</v>
      </c>
      <c r="F209" s="109" t="s">
        <v>485</v>
      </c>
      <c r="G209" s="109">
        <v>1227068543</v>
      </c>
      <c r="H209" s="172">
        <v>45463</v>
      </c>
    </row>
    <row r="210" spans="1:8" ht="31.5" customHeight="1" x14ac:dyDescent="0.55000000000000004">
      <c r="A210" s="191"/>
      <c r="B210" s="74">
        <v>12</v>
      </c>
      <c r="C210" s="109" t="s">
        <v>486</v>
      </c>
      <c r="D210" s="109" t="s">
        <v>483</v>
      </c>
      <c r="E210" s="109" t="s">
        <v>478</v>
      </c>
      <c r="F210" s="109" t="s">
        <v>143</v>
      </c>
      <c r="G210" s="109">
        <v>1224065763</v>
      </c>
      <c r="H210" s="172">
        <v>45463</v>
      </c>
    </row>
    <row r="211" spans="1:8" ht="31.5" customHeight="1" x14ac:dyDescent="0.55000000000000004">
      <c r="A211" s="191"/>
      <c r="B211" s="119">
        <v>13</v>
      </c>
      <c r="C211" s="109" t="s">
        <v>487</v>
      </c>
      <c r="D211" s="109" t="s">
        <v>356</v>
      </c>
      <c r="E211" s="109" t="s">
        <v>465</v>
      </c>
      <c r="F211" s="109" t="s">
        <v>135</v>
      </c>
      <c r="G211" s="109">
        <v>1010822556</v>
      </c>
      <c r="H211" s="172">
        <v>45463</v>
      </c>
    </row>
    <row r="212" spans="1:8" ht="31.5" customHeight="1" x14ac:dyDescent="0.55000000000000004">
      <c r="A212" s="191"/>
      <c r="B212" s="74">
        <v>14</v>
      </c>
      <c r="C212" s="109" t="s">
        <v>488</v>
      </c>
      <c r="D212" s="109" t="s">
        <v>489</v>
      </c>
      <c r="E212" s="109" t="s">
        <v>490</v>
      </c>
      <c r="F212" s="109" t="s">
        <v>135</v>
      </c>
      <c r="G212" s="109">
        <v>1129296360</v>
      </c>
      <c r="H212" s="172">
        <v>45463</v>
      </c>
    </row>
    <row r="213" spans="1:8" ht="31.5" customHeight="1" x14ac:dyDescent="0.55000000000000004">
      <c r="A213" s="191"/>
      <c r="B213" s="119">
        <v>15</v>
      </c>
      <c r="C213" s="109" t="s">
        <v>491</v>
      </c>
      <c r="D213" s="109" t="s">
        <v>489</v>
      </c>
      <c r="E213" s="109" t="s">
        <v>465</v>
      </c>
      <c r="F213" s="109" t="s">
        <v>133</v>
      </c>
      <c r="G213" s="109">
        <v>1121511940</v>
      </c>
      <c r="H213" s="172">
        <v>45463</v>
      </c>
    </row>
    <row r="214" spans="1:8" ht="31.5" customHeight="1" x14ac:dyDescent="0.55000000000000004">
      <c r="A214" s="191"/>
      <c r="B214" s="74">
        <v>16</v>
      </c>
      <c r="C214" s="109" t="s">
        <v>492</v>
      </c>
      <c r="D214" s="109" t="s">
        <v>354</v>
      </c>
      <c r="E214" s="109" t="s">
        <v>468</v>
      </c>
      <c r="F214" s="109" t="s">
        <v>493</v>
      </c>
      <c r="G214" s="109">
        <v>1124742454</v>
      </c>
      <c r="H214" s="172">
        <v>45463</v>
      </c>
    </row>
    <row r="215" spans="1:8" ht="31.5" customHeight="1" x14ac:dyDescent="0.55000000000000004">
      <c r="A215" s="191"/>
      <c r="B215" s="119">
        <v>17</v>
      </c>
      <c r="C215" s="109" t="s">
        <v>494</v>
      </c>
      <c r="D215" s="109" t="s">
        <v>359</v>
      </c>
      <c r="E215" s="109" t="s">
        <v>465</v>
      </c>
      <c r="F215" s="109" t="s">
        <v>159</v>
      </c>
      <c r="G215" s="109">
        <v>1201284313</v>
      </c>
      <c r="H215" s="172">
        <v>45463</v>
      </c>
    </row>
    <row r="216" spans="1:8" ht="31.5" customHeight="1" x14ac:dyDescent="0.55000000000000004">
      <c r="A216" s="191"/>
      <c r="B216" s="74">
        <v>18</v>
      </c>
      <c r="C216" s="109" t="s">
        <v>495</v>
      </c>
      <c r="D216" s="109" t="s">
        <v>356</v>
      </c>
      <c r="E216" s="109" t="s">
        <v>496</v>
      </c>
      <c r="F216" s="109" t="s">
        <v>226</v>
      </c>
      <c r="G216" s="109">
        <v>1159181443</v>
      </c>
      <c r="H216" s="172">
        <v>45463</v>
      </c>
    </row>
    <row r="217" spans="1:8" ht="31.5" customHeight="1" x14ac:dyDescent="0.55000000000000004">
      <c r="A217" s="191"/>
      <c r="B217" s="119">
        <v>19</v>
      </c>
      <c r="C217" s="109" t="s">
        <v>497</v>
      </c>
      <c r="D217" s="109" t="s">
        <v>356</v>
      </c>
      <c r="E217" s="109" t="s">
        <v>496</v>
      </c>
      <c r="F217" s="109" t="s">
        <v>158</v>
      </c>
      <c r="G217" s="109">
        <v>1125920914</v>
      </c>
      <c r="H217" s="172">
        <v>45463</v>
      </c>
    </row>
    <row r="218" spans="1:8" ht="31.5" customHeight="1" x14ac:dyDescent="0.55000000000000004">
      <c r="A218" s="191"/>
      <c r="B218" s="74">
        <v>20</v>
      </c>
      <c r="C218" s="109" t="s">
        <v>464</v>
      </c>
      <c r="D218" s="109" t="s">
        <v>354</v>
      </c>
      <c r="E218" s="109" t="s">
        <v>498</v>
      </c>
      <c r="F218" s="109" t="s">
        <v>466</v>
      </c>
      <c r="G218" s="109">
        <v>1226502218</v>
      </c>
      <c r="H218" s="172">
        <v>45463</v>
      </c>
    </row>
    <row r="219" spans="1:8" ht="31.5" customHeight="1" x14ac:dyDescent="0.55000000000000004">
      <c r="A219" s="191"/>
      <c r="B219" s="119">
        <v>21</v>
      </c>
      <c r="C219" s="109" t="s">
        <v>499</v>
      </c>
      <c r="D219" s="109" t="s">
        <v>354</v>
      </c>
      <c r="E219" s="109" t="s">
        <v>498</v>
      </c>
      <c r="F219" s="109" t="s">
        <v>500</v>
      </c>
      <c r="G219" s="109">
        <v>1116247016</v>
      </c>
      <c r="H219" s="172">
        <v>45463</v>
      </c>
    </row>
    <row r="220" spans="1:8" ht="31.5" customHeight="1" x14ac:dyDescent="0.55000000000000004">
      <c r="A220" s="191"/>
      <c r="B220" s="74">
        <v>22</v>
      </c>
      <c r="C220" s="109" t="s">
        <v>501</v>
      </c>
      <c r="D220" s="109" t="s">
        <v>354</v>
      </c>
      <c r="E220" s="109" t="s">
        <v>498</v>
      </c>
      <c r="F220" s="109" t="s">
        <v>161</v>
      </c>
      <c r="G220" s="109">
        <v>1116263955</v>
      </c>
      <c r="H220" s="172">
        <v>45463</v>
      </c>
    </row>
    <row r="221" spans="1:8" ht="31.5" customHeight="1" x14ac:dyDescent="0.55000000000000004">
      <c r="A221" s="191"/>
      <c r="B221" s="119">
        <v>23</v>
      </c>
      <c r="C221" s="109" t="s">
        <v>502</v>
      </c>
      <c r="D221" s="109" t="s">
        <v>359</v>
      </c>
      <c r="E221" s="109" t="s">
        <v>498</v>
      </c>
      <c r="F221" s="109" t="s">
        <v>133</v>
      </c>
      <c r="G221" s="109">
        <v>1282084041</v>
      </c>
      <c r="H221" s="172">
        <v>45463</v>
      </c>
    </row>
    <row r="222" spans="1:8" ht="31.5" customHeight="1" x14ac:dyDescent="0.55000000000000004">
      <c r="A222" s="191"/>
      <c r="B222" s="74">
        <v>24</v>
      </c>
      <c r="C222" s="109" t="s">
        <v>503</v>
      </c>
      <c r="D222" s="109" t="s">
        <v>359</v>
      </c>
      <c r="E222" s="109" t="s">
        <v>498</v>
      </c>
      <c r="F222" s="109" t="s">
        <v>135</v>
      </c>
      <c r="G222" s="109">
        <v>1150753975</v>
      </c>
      <c r="H222" s="172">
        <v>45463</v>
      </c>
    </row>
    <row r="223" spans="1:8" ht="31.5" customHeight="1" x14ac:dyDescent="0.55000000000000004">
      <c r="A223" s="191"/>
      <c r="B223" s="119">
        <v>25</v>
      </c>
      <c r="C223" s="109" t="s">
        <v>504</v>
      </c>
      <c r="D223" s="109" t="s">
        <v>359</v>
      </c>
      <c r="E223" s="109" t="s">
        <v>498</v>
      </c>
      <c r="F223" s="109" t="s">
        <v>146</v>
      </c>
      <c r="G223" s="109">
        <v>1156936545</v>
      </c>
      <c r="H223" s="172">
        <v>45463</v>
      </c>
    </row>
    <row r="224" spans="1:8" ht="31.5" customHeight="1" x14ac:dyDescent="0.55000000000000004">
      <c r="A224" s="191"/>
      <c r="B224" s="74">
        <v>26</v>
      </c>
      <c r="C224" s="109" t="s">
        <v>505</v>
      </c>
      <c r="D224" s="109" t="s">
        <v>359</v>
      </c>
      <c r="E224" s="109" t="s">
        <v>498</v>
      </c>
      <c r="F224" s="109" t="s">
        <v>506</v>
      </c>
      <c r="G224" s="109">
        <v>1153189669</v>
      </c>
      <c r="H224" s="172">
        <v>45463</v>
      </c>
    </row>
    <row r="225" spans="1:8" ht="31.5" customHeight="1" x14ac:dyDescent="0.55000000000000004">
      <c r="A225" s="191">
        <v>45465</v>
      </c>
      <c r="B225" s="119">
        <v>1</v>
      </c>
      <c r="C225" s="109" t="s">
        <v>197</v>
      </c>
      <c r="D225" s="109" t="s">
        <v>359</v>
      </c>
      <c r="E225" s="109" t="s">
        <v>215</v>
      </c>
      <c r="F225" s="109" t="s">
        <v>510</v>
      </c>
      <c r="G225" s="109">
        <v>1129474131</v>
      </c>
      <c r="H225" s="172">
        <v>45465</v>
      </c>
    </row>
    <row r="226" spans="1:8" ht="31.5" customHeight="1" x14ac:dyDescent="0.55000000000000004">
      <c r="A226" s="191">
        <v>45466</v>
      </c>
      <c r="B226" s="119">
        <v>1</v>
      </c>
      <c r="C226" s="109" t="s">
        <v>543</v>
      </c>
      <c r="D226" s="109" t="s">
        <v>356</v>
      </c>
      <c r="E226" s="109" t="s">
        <v>200</v>
      </c>
      <c r="F226" s="109" t="s">
        <v>135</v>
      </c>
      <c r="G226" s="109" t="s">
        <v>134</v>
      </c>
      <c r="H226" s="172">
        <v>45466</v>
      </c>
    </row>
    <row r="227" spans="1:8" ht="31.5" customHeight="1" x14ac:dyDescent="0.55000000000000004">
      <c r="A227" s="191">
        <v>45467</v>
      </c>
      <c r="B227" s="74">
        <v>1</v>
      </c>
      <c r="C227" s="109" t="s">
        <v>528</v>
      </c>
      <c r="D227" s="109" t="s">
        <v>131</v>
      </c>
      <c r="E227" s="109" t="s">
        <v>145</v>
      </c>
      <c r="F227" s="109" t="s">
        <v>135</v>
      </c>
      <c r="G227" s="109" t="s">
        <v>134</v>
      </c>
      <c r="H227" s="196">
        <v>45467</v>
      </c>
    </row>
    <row r="228" spans="1:8" ht="31.5" customHeight="1" x14ac:dyDescent="0.55000000000000004">
      <c r="A228" s="191"/>
      <c r="B228" s="119">
        <v>2</v>
      </c>
      <c r="C228" s="109" t="s">
        <v>529</v>
      </c>
      <c r="D228" s="109" t="s">
        <v>141</v>
      </c>
      <c r="E228" s="109" t="s">
        <v>142</v>
      </c>
      <c r="F228" s="109" t="s">
        <v>146</v>
      </c>
      <c r="G228" s="109">
        <v>1284422516</v>
      </c>
      <c r="H228" s="196">
        <v>45467</v>
      </c>
    </row>
    <row r="229" spans="1:8" ht="31.5" customHeight="1" x14ac:dyDescent="0.55000000000000004">
      <c r="A229" s="191"/>
      <c r="B229" s="74">
        <v>3</v>
      </c>
      <c r="C229" s="109" t="s">
        <v>530</v>
      </c>
      <c r="D229" s="109" t="s">
        <v>131</v>
      </c>
      <c r="E229" s="109" t="s">
        <v>142</v>
      </c>
      <c r="F229" s="109" t="s">
        <v>183</v>
      </c>
      <c r="G229" s="109">
        <v>1150150373</v>
      </c>
      <c r="H229" s="196">
        <v>45467</v>
      </c>
    </row>
    <row r="230" spans="1:8" ht="31.5" customHeight="1" x14ac:dyDescent="0.55000000000000004">
      <c r="A230" s="191"/>
      <c r="B230" s="119">
        <v>4</v>
      </c>
      <c r="C230" s="109" t="s">
        <v>531</v>
      </c>
      <c r="D230" s="109" t="s">
        <v>148</v>
      </c>
      <c r="E230" s="109" t="s">
        <v>142</v>
      </c>
      <c r="F230" s="109" t="s">
        <v>146</v>
      </c>
      <c r="G230" s="109">
        <v>1272123415</v>
      </c>
      <c r="H230" s="196">
        <v>45467</v>
      </c>
    </row>
    <row r="231" spans="1:8" ht="31.5" customHeight="1" x14ac:dyDescent="0.55000000000000004">
      <c r="A231" s="191"/>
      <c r="B231" s="74">
        <v>5</v>
      </c>
      <c r="C231" s="109" t="s">
        <v>193</v>
      </c>
      <c r="D231" s="109" t="s">
        <v>141</v>
      </c>
      <c r="E231" s="109" t="s">
        <v>186</v>
      </c>
      <c r="F231" s="109" t="s">
        <v>196</v>
      </c>
      <c r="G231" s="109">
        <v>1146289303</v>
      </c>
      <c r="H231" s="196">
        <v>45467</v>
      </c>
    </row>
    <row r="232" spans="1:8" ht="31.5" customHeight="1" x14ac:dyDescent="0.55000000000000004">
      <c r="A232" s="191"/>
      <c r="B232" s="119">
        <v>6</v>
      </c>
      <c r="C232" s="109" t="s">
        <v>532</v>
      </c>
      <c r="D232" s="109" t="s">
        <v>131</v>
      </c>
      <c r="E232" s="109" t="s">
        <v>142</v>
      </c>
      <c r="F232" s="109" t="s">
        <v>533</v>
      </c>
      <c r="G232" s="109">
        <v>1285170029</v>
      </c>
      <c r="H232" s="196">
        <v>45467</v>
      </c>
    </row>
    <row r="233" spans="1:8" ht="31.5" customHeight="1" x14ac:dyDescent="0.55000000000000004">
      <c r="A233" s="191"/>
      <c r="B233" s="74">
        <v>7</v>
      </c>
      <c r="C233" s="109" t="s">
        <v>535</v>
      </c>
      <c r="D233" s="109" t="s">
        <v>141</v>
      </c>
      <c r="E233" s="109" t="s">
        <v>142</v>
      </c>
      <c r="F233" s="109" t="s">
        <v>143</v>
      </c>
      <c r="G233" s="109">
        <v>1116924802</v>
      </c>
      <c r="H233" s="196">
        <v>45467</v>
      </c>
    </row>
    <row r="234" spans="1:8" ht="31.5" customHeight="1" x14ac:dyDescent="0.55000000000000004">
      <c r="A234" s="191"/>
      <c r="B234" s="119">
        <v>8</v>
      </c>
      <c r="C234" s="109" t="s">
        <v>536</v>
      </c>
      <c r="D234" s="109" t="s">
        <v>148</v>
      </c>
      <c r="E234" s="109" t="s">
        <v>145</v>
      </c>
      <c r="F234" s="109" t="s">
        <v>158</v>
      </c>
      <c r="G234" s="109">
        <v>1229210124</v>
      </c>
      <c r="H234" s="196">
        <v>45467</v>
      </c>
    </row>
    <row r="235" spans="1:8" ht="31.5" customHeight="1" x14ac:dyDescent="0.55000000000000004">
      <c r="A235" s="191"/>
      <c r="B235" s="74">
        <v>9</v>
      </c>
      <c r="C235" s="109" t="s">
        <v>537</v>
      </c>
      <c r="D235" s="109" t="s">
        <v>148</v>
      </c>
      <c r="E235" s="109" t="s">
        <v>142</v>
      </c>
      <c r="F235" s="109" t="s">
        <v>135</v>
      </c>
      <c r="G235" s="109">
        <v>1120562450</v>
      </c>
      <c r="H235" s="196">
        <v>45467</v>
      </c>
    </row>
    <row r="236" spans="1:8" ht="31.5" customHeight="1" x14ac:dyDescent="0.55000000000000004">
      <c r="A236" s="191"/>
      <c r="B236" s="119">
        <v>10</v>
      </c>
      <c r="C236" s="109" t="s">
        <v>538</v>
      </c>
      <c r="D236" s="109" t="s">
        <v>141</v>
      </c>
      <c r="E236" s="109" t="s">
        <v>145</v>
      </c>
      <c r="F236" s="109" t="s">
        <v>159</v>
      </c>
      <c r="G236" s="109">
        <v>1287257326</v>
      </c>
      <c r="H236" s="196">
        <v>45467</v>
      </c>
    </row>
    <row r="237" spans="1:8" ht="31.5" customHeight="1" x14ac:dyDescent="0.55000000000000004">
      <c r="A237" s="191"/>
      <c r="B237" s="74">
        <v>11</v>
      </c>
      <c r="C237" s="109" t="s">
        <v>539</v>
      </c>
      <c r="D237" s="109" t="s">
        <v>148</v>
      </c>
      <c r="E237" s="109" t="s">
        <v>142</v>
      </c>
      <c r="F237" s="109" t="s">
        <v>135</v>
      </c>
      <c r="G237" s="109">
        <v>1028611063</v>
      </c>
      <c r="H237" s="196">
        <v>45467</v>
      </c>
    </row>
    <row r="238" spans="1:8" ht="31.5" customHeight="1" x14ac:dyDescent="0.55000000000000004">
      <c r="A238" s="191"/>
      <c r="B238" s="119">
        <v>12</v>
      </c>
      <c r="C238" s="109" t="s">
        <v>545</v>
      </c>
      <c r="D238" s="109" t="s">
        <v>356</v>
      </c>
      <c r="E238" s="109" t="s">
        <v>145</v>
      </c>
      <c r="F238" s="109" t="s">
        <v>159</v>
      </c>
      <c r="G238" s="109">
        <v>1007367839</v>
      </c>
      <c r="H238" s="196">
        <v>45467</v>
      </c>
    </row>
    <row r="239" spans="1:8" ht="31.5" customHeight="1" x14ac:dyDescent="0.55000000000000004">
      <c r="A239" s="191"/>
      <c r="B239" s="74">
        <v>13</v>
      </c>
      <c r="C239" s="109" t="s">
        <v>546</v>
      </c>
      <c r="D239" s="109" t="s">
        <v>356</v>
      </c>
      <c r="E239" s="109" t="s">
        <v>142</v>
      </c>
      <c r="F239" s="109" t="s">
        <v>183</v>
      </c>
      <c r="G239" s="109">
        <v>1122696676</v>
      </c>
      <c r="H239" s="196">
        <v>45467</v>
      </c>
    </row>
    <row r="240" spans="1:8" ht="31.5" customHeight="1" x14ac:dyDescent="0.55000000000000004">
      <c r="A240" s="191"/>
      <c r="B240" s="119">
        <v>14</v>
      </c>
      <c r="C240" s="109" t="s">
        <v>547</v>
      </c>
      <c r="D240" s="109" t="s">
        <v>356</v>
      </c>
      <c r="E240" s="109" t="s">
        <v>142</v>
      </c>
      <c r="F240" s="109" t="s">
        <v>156</v>
      </c>
      <c r="G240" s="109">
        <v>1009798889</v>
      </c>
      <c r="H240" s="196">
        <v>45467</v>
      </c>
    </row>
    <row r="241" spans="1:8" ht="31.5" customHeight="1" x14ac:dyDescent="0.55000000000000004">
      <c r="A241" s="191"/>
      <c r="B241" s="74">
        <v>15</v>
      </c>
      <c r="C241" s="109" t="s">
        <v>548</v>
      </c>
      <c r="D241" s="109" t="s">
        <v>359</v>
      </c>
      <c r="E241" s="109" t="s">
        <v>145</v>
      </c>
      <c r="F241" s="109" t="s">
        <v>166</v>
      </c>
      <c r="G241" s="109">
        <v>1018393800</v>
      </c>
      <c r="H241" s="196">
        <v>45467</v>
      </c>
    </row>
    <row r="242" spans="1:8" ht="31.5" customHeight="1" x14ac:dyDescent="0.55000000000000004">
      <c r="A242" s="191"/>
      <c r="B242" s="119">
        <v>16</v>
      </c>
      <c r="C242" s="109" t="s">
        <v>549</v>
      </c>
      <c r="D242" s="109" t="s">
        <v>354</v>
      </c>
      <c r="E242" s="109" t="s">
        <v>145</v>
      </c>
      <c r="F242" s="109" t="s">
        <v>133</v>
      </c>
      <c r="G242" s="109">
        <v>1158244897</v>
      </c>
      <c r="H242" s="196">
        <v>45467</v>
      </c>
    </row>
    <row r="243" spans="1:8" ht="31.5" customHeight="1" x14ac:dyDescent="0.55000000000000004">
      <c r="A243" s="191"/>
      <c r="B243" s="74">
        <v>17</v>
      </c>
      <c r="C243" s="109" t="s">
        <v>550</v>
      </c>
      <c r="D243" s="109" t="s">
        <v>356</v>
      </c>
      <c r="E243" s="109" t="s">
        <v>145</v>
      </c>
      <c r="F243" s="109" t="s">
        <v>146</v>
      </c>
      <c r="G243" s="109">
        <v>1104751336</v>
      </c>
      <c r="H243" s="196">
        <v>45467</v>
      </c>
    </row>
    <row r="244" spans="1:8" ht="31.5" customHeight="1" x14ac:dyDescent="0.55000000000000004">
      <c r="A244" s="191"/>
      <c r="B244" s="119">
        <v>18</v>
      </c>
      <c r="C244" s="109" t="s">
        <v>551</v>
      </c>
      <c r="D244" s="109" t="s">
        <v>356</v>
      </c>
      <c r="E244" s="109" t="s">
        <v>142</v>
      </c>
      <c r="F244" s="109" t="s">
        <v>132</v>
      </c>
      <c r="G244" s="109">
        <v>1145495959</v>
      </c>
      <c r="H244" s="196">
        <v>45467</v>
      </c>
    </row>
    <row r="245" spans="1:8" ht="31.5" customHeight="1" x14ac:dyDescent="0.55000000000000004">
      <c r="A245" s="191"/>
      <c r="B245" s="74">
        <v>19</v>
      </c>
      <c r="C245" s="109" t="s">
        <v>552</v>
      </c>
      <c r="D245" s="109" t="s">
        <v>354</v>
      </c>
      <c r="E245" s="109" t="s">
        <v>142</v>
      </c>
      <c r="F245" s="109" t="s">
        <v>136</v>
      </c>
      <c r="G245" s="109">
        <v>1289410326</v>
      </c>
      <c r="H245" s="196">
        <v>45467</v>
      </c>
    </row>
    <row r="246" spans="1:8" ht="31.5" customHeight="1" x14ac:dyDescent="0.55000000000000004">
      <c r="A246" s="191"/>
      <c r="B246" s="119">
        <v>20</v>
      </c>
      <c r="C246" s="109" t="s">
        <v>553</v>
      </c>
      <c r="D246" s="109" t="s">
        <v>359</v>
      </c>
      <c r="E246" s="109" t="s">
        <v>142</v>
      </c>
      <c r="F246" s="109" t="s">
        <v>183</v>
      </c>
      <c r="G246" s="109">
        <v>1145245608</v>
      </c>
      <c r="H246" s="196">
        <v>45467</v>
      </c>
    </row>
    <row r="247" spans="1:8" ht="31.5" customHeight="1" x14ac:dyDescent="0.55000000000000004">
      <c r="A247" s="191"/>
      <c r="B247" s="74">
        <v>21</v>
      </c>
      <c r="C247" s="109" t="s">
        <v>554</v>
      </c>
      <c r="D247" s="109" t="s">
        <v>359</v>
      </c>
      <c r="E247" s="109" t="s">
        <v>142</v>
      </c>
      <c r="F247" s="109" t="s">
        <v>136</v>
      </c>
      <c r="G247" s="109">
        <v>1147584514</v>
      </c>
      <c r="H247" s="196">
        <v>45467</v>
      </c>
    </row>
    <row r="248" spans="1:8" ht="31.5" customHeight="1" x14ac:dyDescent="0.55000000000000004">
      <c r="A248" s="191"/>
      <c r="B248" s="119">
        <v>22</v>
      </c>
      <c r="C248" s="109" t="s">
        <v>555</v>
      </c>
      <c r="D248" s="109" t="s">
        <v>354</v>
      </c>
      <c r="E248" s="109" t="s">
        <v>145</v>
      </c>
      <c r="F248" s="109" t="s">
        <v>469</v>
      </c>
      <c r="G248" s="109">
        <v>1148047505</v>
      </c>
      <c r="H248" s="196">
        <v>45467</v>
      </c>
    </row>
    <row r="249" spans="1:8" ht="31.5" customHeight="1" x14ac:dyDescent="0.55000000000000004">
      <c r="A249" s="191"/>
      <c r="B249" s="74">
        <v>23</v>
      </c>
      <c r="C249" s="109" t="s">
        <v>556</v>
      </c>
      <c r="D249" s="109" t="s">
        <v>356</v>
      </c>
      <c r="E249" s="109" t="s">
        <v>142</v>
      </c>
      <c r="F249" s="109" t="s">
        <v>159</v>
      </c>
      <c r="G249" s="109">
        <v>1117363507</v>
      </c>
      <c r="H249" s="196">
        <v>45467</v>
      </c>
    </row>
    <row r="250" spans="1:8" ht="31.5" customHeight="1" x14ac:dyDescent="0.55000000000000004">
      <c r="A250" s="191"/>
      <c r="B250" s="119">
        <v>24</v>
      </c>
      <c r="C250" s="109" t="s">
        <v>557</v>
      </c>
      <c r="D250" s="109" t="s">
        <v>354</v>
      </c>
      <c r="E250" s="109" t="s">
        <v>142</v>
      </c>
      <c r="F250" s="109" t="s">
        <v>159</v>
      </c>
      <c r="G250" s="109">
        <v>1211819920</v>
      </c>
      <c r="H250" s="196">
        <v>45467</v>
      </c>
    </row>
    <row r="251" spans="1:8" ht="31.5" customHeight="1" x14ac:dyDescent="0.55000000000000004">
      <c r="A251" s="191"/>
      <c r="B251" s="74">
        <v>25</v>
      </c>
      <c r="C251" s="109" t="s">
        <v>558</v>
      </c>
      <c r="D251" s="109" t="s">
        <v>354</v>
      </c>
      <c r="E251" s="109" t="s">
        <v>142</v>
      </c>
      <c r="F251" s="109" t="s">
        <v>263</v>
      </c>
      <c r="G251" s="109">
        <v>1122704497</v>
      </c>
      <c r="H251" s="196">
        <v>45467</v>
      </c>
    </row>
    <row r="252" spans="1:8" ht="31.5" customHeight="1" x14ac:dyDescent="0.55000000000000004">
      <c r="A252" s="191"/>
      <c r="B252" s="119">
        <v>26</v>
      </c>
      <c r="C252" s="109" t="s">
        <v>379</v>
      </c>
      <c r="D252" s="109" t="s">
        <v>356</v>
      </c>
      <c r="E252" s="109" t="s">
        <v>145</v>
      </c>
      <c r="F252" s="109" t="s">
        <v>156</v>
      </c>
      <c r="G252" s="109">
        <v>1270684088</v>
      </c>
      <c r="H252" s="196">
        <v>45467</v>
      </c>
    </row>
    <row r="253" spans="1:8" ht="31.5" customHeight="1" x14ac:dyDescent="0.55000000000000004">
      <c r="A253" s="191"/>
      <c r="B253" s="74">
        <v>27</v>
      </c>
      <c r="C253" s="109" t="s">
        <v>559</v>
      </c>
      <c r="D253" s="109" t="s">
        <v>356</v>
      </c>
      <c r="E253" s="109" t="s">
        <v>145</v>
      </c>
      <c r="F253" s="109" t="s">
        <v>431</v>
      </c>
      <c r="G253" s="109">
        <v>1116718815</v>
      </c>
      <c r="H253" s="196">
        <v>45467</v>
      </c>
    </row>
    <row r="254" spans="1:8" ht="31.5" customHeight="1" x14ac:dyDescent="0.55000000000000004">
      <c r="A254" s="191"/>
      <c r="B254" s="119">
        <v>28</v>
      </c>
      <c r="C254" s="109" t="s">
        <v>560</v>
      </c>
      <c r="D254" s="109" t="s">
        <v>356</v>
      </c>
      <c r="E254" s="109" t="s">
        <v>142</v>
      </c>
      <c r="F254" s="109" t="s">
        <v>132</v>
      </c>
      <c r="G254" s="109">
        <v>1112210803</v>
      </c>
      <c r="H254" s="196">
        <v>45467</v>
      </c>
    </row>
    <row r="255" spans="1:8" ht="31.5" customHeight="1" x14ac:dyDescent="0.55000000000000004">
      <c r="A255" s="191"/>
      <c r="B255" s="74">
        <v>29</v>
      </c>
      <c r="C255" s="109" t="s">
        <v>561</v>
      </c>
      <c r="D255" s="109" t="s">
        <v>356</v>
      </c>
      <c r="E255" s="109" t="s">
        <v>142</v>
      </c>
      <c r="F255" s="109" t="s">
        <v>562</v>
      </c>
      <c r="G255" s="109">
        <v>1102017483</v>
      </c>
      <c r="H255" s="196">
        <v>45467</v>
      </c>
    </row>
    <row r="256" spans="1:8" ht="31.5" customHeight="1" x14ac:dyDescent="0.55000000000000004">
      <c r="A256" s="191"/>
      <c r="B256" s="119">
        <v>30</v>
      </c>
      <c r="C256" s="109" t="s">
        <v>563</v>
      </c>
      <c r="D256" s="109" t="s">
        <v>356</v>
      </c>
      <c r="E256" s="109" t="s">
        <v>200</v>
      </c>
      <c r="F256" s="109"/>
      <c r="G256" s="109">
        <v>1152015317</v>
      </c>
      <c r="H256" s="196">
        <v>45467</v>
      </c>
    </row>
    <row r="257" spans="1:8" ht="31.5" customHeight="1" x14ac:dyDescent="0.55000000000000004">
      <c r="A257" s="191"/>
      <c r="B257" s="74">
        <v>31</v>
      </c>
      <c r="C257" s="109" t="s">
        <v>564</v>
      </c>
      <c r="D257" s="109" t="s">
        <v>359</v>
      </c>
      <c r="E257" s="109" t="s">
        <v>195</v>
      </c>
      <c r="F257" s="109" t="s">
        <v>232</v>
      </c>
      <c r="G257" s="109" t="s">
        <v>134</v>
      </c>
      <c r="H257" s="196">
        <v>45467</v>
      </c>
    </row>
    <row r="258" spans="1:8" ht="31.5" customHeight="1" x14ac:dyDescent="0.55000000000000004">
      <c r="A258" s="191"/>
      <c r="B258" s="119">
        <v>32</v>
      </c>
      <c r="C258" s="109" t="s">
        <v>565</v>
      </c>
      <c r="D258" s="109" t="s">
        <v>354</v>
      </c>
      <c r="E258" s="109" t="s">
        <v>186</v>
      </c>
      <c r="F258" s="109" t="s">
        <v>146</v>
      </c>
      <c r="G258" s="109">
        <v>1149063671</v>
      </c>
      <c r="H258" s="196">
        <v>45467</v>
      </c>
    </row>
    <row r="259" spans="1:8" ht="31.5" customHeight="1" x14ac:dyDescent="0.55000000000000004">
      <c r="A259" s="191"/>
      <c r="B259" s="74">
        <v>33</v>
      </c>
      <c r="C259" s="109" t="s">
        <v>566</v>
      </c>
      <c r="D259" s="109" t="s">
        <v>356</v>
      </c>
      <c r="E259" s="109" t="s">
        <v>186</v>
      </c>
      <c r="F259" s="109" t="s">
        <v>272</v>
      </c>
      <c r="G259" s="109">
        <v>1140987271</v>
      </c>
      <c r="H259" s="196">
        <v>45467</v>
      </c>
    </row>
    <row r="260" spans="1:8" ht="31.5" customHeight="1" x14ac:dyDescent="0.55000000000000004">
      <c r="A260" s="191"/>
      <c r="B260" s="119">
        <v>34</v>
      </c>
      <c r="C260" s="109" t="s">
        <v>567</v>
      </c>
      <c r="D260" s="109" t="s">
        <v>359</v>
      </c>
      <c r="E260" s="109" t="s">
        <v>195</v>
      </c>
      <c r="F260" s="109" t="s">
        <v>188</v>
      </c>
      <c r="G260" s="109" t="s">
        <v>134</v>
      </c>
      <c r="H260" s="196">
        <v>45467</v>
      </c>
    </row>
    <row r="261" spans="1:8" ht="31.5" customHeight="1" x14ac:dyDescent="0.55000000000000004">
      <c r="A261" s="191"/>
      <c r="B261" s="74">
        <v>35</v>
      </c>
      <c r="C261" s="109" t="s">
        <v>568</v>
      </c>
      <c r="D261" s="109" t="s">
        <v>359</v>
      </c>
      <c r="E261" s="109" t="s">
        <v>186</v>
      </c>
      <c r="F261" s="109" t="s">
        <v>263</v>
      </c>
      <c r="G261" s="109">
        <v>1123727245</v>
      </c>
      <c r="H261" s="196">
        <v>45467</v>
      </c>
    </row>
    <row r="262" spans="1:8" ht="31.5" customHeight="1" x14ac:dyDescent="0.55000000000000004">
      <c r="A262" s="191"/>
      <c r="B262" s="119">
        <v>36</v>
      </c>
      <c r="C262" s="109" t="s">
        <v>569</v>
      </c>
      <c r="D262" s="109" t="s">
        <v>354</v>
      </c>
      <c r="E262" s="109" t="s">
        <v>186</v>
      </c>
      <c r="F262" s="109" t="s">
        <v>143</v>
      </c>
      <c r="G262" s="109">
        <v>1124195102</v>
      </c>
      <c r="H262" s="196">
        <v>45467</v>
      </c>
    </row>
    <row r="263" spans="1:8" ht="31.5" customHeight="1" x14ac:dyDescent="0.55000000000000004">
      <c r="A263" s="191"/>
      <c r="B263" s="74">
        <v>37</v>
      </c>
      <c r="C263" s="109" t="s">
        <v>570</v>
      </c>
      <c r="D263" s="109" t="s">
        <v>359</v>
      </c>
      <c r="E263" s="109" t="s">
        <v>186</v>
      </c>
      <c r="F263" s="109" t="s">
        <v>196</v>
      </c>
      <c r="G263" s="109" t="s">
        <v>134</v>
      </c>
      <c r="H263" s="196">
        <v>45467</v>
      </c>
    </row>
    <row r="264" spans="1:8" ht="31.5" customHeight="1" x14ac:dyDescent="0.55000000000000004">
      <c r="A264" s="191"/>
      <c r="B264" s="119">
        <v>38</v>
      </c>
      <c r="C264" s="109" t="s">
        <v>571</v>
      </c>
      <c r="D264" s="109" t="s">
        <v>356</v>
      </c>
      <c r="E264" s="109" t="s">
        <v>186</v>
      </c>
      <c r="F264" s="109" t="s">
        <v>146</v>
      </c>
      <c r="G264" s="109">
        <v>1114585314</v>
      </c>
      <c r="H264" s="196">
        <v>45467</v>
      </c>
    </row>
    <row r="265" spans="1:8" ht="31.5" customHeight="1" x14ac:dyDescent="0.55000000000000004">
      <c r="A265" s="191"/>
      <c r="B265" s="74">
        <v>39</v>
      </c>
      <c r="C265" s="109" t="s">
        <v>572</v>
      </c>
      <c r="D265" s="109" t="s">
        <v>354</v>
      </c>
      <c r="E265" s="109" t="s">
        <v>186</v>
      </c>
      <c r="F265" s="109" t="s">
        <v>466</v>
      </c>
      <c r="G265" s="109">
        <v>1283852741</v>
      </c>
      <c r="H265" s="196">
        <v>45467</v>
      </c>
    </row>
    <row r="266" spans="1:8" ht="31.5" customHeight="1" x14ac:dyDescent="0.55000000000000004">
      <c r="A266" s="191"/>
      <c r="B266" s="119">
        <v>40</v>
      </c>
      <c r="C266" s="109" t="s">
        <v>573</v>
      </c>
      <c r="D266" s="109" t="s">
        <v>354</v>
      </c>
      <c r="E266" s="109" t="s">
        <v>186</v>
      </c>
      <c r="F266" s="109" t="s">
        <v>196</v>
      </c>
      <c r="G266" s="109">
        <v>1153822516</v>
      </c>
      <c r="H266" s="196">
        <v>45467</v>
      </c>
    </row>
    <row r="267" spans="1:8" ht="31.5" customHeight="1" x14ac:dyDescent="0.55000000000000004">
      <c r="A267" s="191"/>
      <c r="B267" s="74">
        <v>41</v>
      </c>
      <c r="C267" s="109" t="s">
        <v>574</v>
      </c>
      <c r="D267" s="109" t="s">
        <v>356</v>
      </c>
      <c r="E267" s="109" t="s">
        <v>186</v>
      </c>
      <c r="F267" s="109" t="s">
        <v>256</v>
      </c>
      <c r="G267" s="109">
        <v>1141355453</v>
      </c>
      <c r="H267" s="196">
        <v>45467</v>
      </c>
    </row>
    <row r="268" spans="1:8" ht="31.5" customHeight="1" x14ac:dyDescent="0.55000000000000004">
      <c r="A268" s="191"/>
      <c r="B268" s="119">
        <v>42</v>
      </c>
      <c r="C268" s="109" t="s">
        <v>575</v>
      </c>
      <c r="D268" s="109" t="s">
        <v>354</v>
      </c>
      <c r="E268" s="109" t="s">
        <v>186</v>
      </c>
      <c r="F268" s="109" t="s">
        <v>188</v>
      </c>
      <c r="G268" s="109">
        <v>1125664889</v>
      </c>
      <c r="H268" s="196">
        <v>45467</v>
      </c>
    </row>
    <row r="269" spans="1:8" ht="31.5" customHeight="1" x14ac:dyDescent="0.55000000000000004">
      <c r="A269" s="191"/>
      <c r="B269" s="74">
        <v>43</v>
      </c>
      <c r="C269" s="109" t="s">
        <v>576</v>
      </c>
      <c r="D269" s="109" t="s">
        <v>359</v>
      </c>
      <c r="E269" s="109" t="s">
        <v>186</v>
      </c>
      <c r="F269" s="109" t="s">
        <v>188</v>
      </c>
      <c r="G269" s="109">
        <v>1117379170</v>
      </c>
      <c r="H269" s="196">
        <v>45467</v>
      </c>
    </row>
    <row r="270" spans="1:8" ht="31.5" customHeight="1" x14ac:dyDescent="0.55000000000000004">
      <c r="A270" s="191">
        <v>45470</v>
      </c>
      <c r="B270" s="109">
        <v>1</v>
      </c>
      <c r="C270" s="109" t="s">
        <v>591</v>
      </c>
      <c r="D270" s="109" t="s">
        <v>131</v>
      </c>
      <c r="E270" s="74" t="s">
        <v>142</v>
      </c>
      <c r="F270" s="109" t="s">
        <v>592</v>
      </c>
      <c r="G270" s="109">
        <v>1146296301</v>
      </c>
      <c r="H270" s="196">
        <v>45470</v>
      </c>
    </row>
    <row r="271" spans="1:8" ht="31.5" customHeight="1" x14ac:dyDescent="0.55000000000000004">
      <c r="A271" s="191"/>
      <c r="B271" s="109">
        <v>2</v>
      </c>
      <c r="C271" s="109" t="s">
        <v>593</v>
      </c>
      <c r="D271" s="109" t="s">
        <v>141</v>
      </c>
      <c r="E271" s="74" t="s">
        <v>142</v>
      </c>
      <c r="F271" s="109" t="s">
        <v>161</v>
      </c>
      <c r="G271" s="109">
        <v>1102255245</v>
      </c>
      <c r="H271" s="196">
        <v>45470</v>
      </c>
    </row>
    <row r="272" spans="1:8" ht="31.5" customHeight="1" x14ac:dyDescent="0.55000000000000004">
      <c r="A272" s="191"/>
      <c r="B272" s="109">
        <v>3</v>
      </c>
      <c r="C272" s="109" t="s">
        <v>594</v>
      </c>
      <c r="D272" s="109" t="s">
        <v>131</v>
      </c>
      <c r="E272" s="74" t="s">
        <v>142</v>
      </c>
      <c r="F272" s="109" t="s">
        <v>156</v>
      </c>
      <c r="G272" s="109">
        <v>1144684113</v>
      </c>
      <c r="H272" s="196">
        <v>45470</v>
      </c>
    </row>
    <row r="273" spans="1:8" ht="31.5" customHeight="1" x14ac:dyDescent="0.55000000000000004">
      <c r="A273" s="191"/>
      <c r="B273" s="109">
        <v>4</v>
      </c>
      <c r="C273" s="109" t="s">
        <v>595</v>
      </c>
      <c r="D273" s="109" t="s">
        <v>131</v>
      </c>
      <c r="E273" s="74" t="s">
        <v>142</v>
      </c>
      <c r="F273" s="109" t="s">
        <v>143</v>
      </c>
      <c r="G273" s="109">
        <v>1112719220</v>
      </c>
      <c r="H273" s="196">
        <v>45470</v>
      </c>
    </row>
    <row r="274" spans="1:8" ht="31.5" customHeight="1" x14ac:dyDescent="0.55000000000000004">
      <c r="A274" s="191"/>
      <c r="B274" s="109">
        <v>5</v>
      </c>
      <c r="C274" s="109" t="s">
        <v>596</v>
      </c>
      <c r="D274" s="109" t="s">
        <v>131</v>
      </c>
      <c r="E274" s="109" t="s">
        <v>142</v>
      </c>
      <c r="F274" s="109" t="s">
        <v>156</v>
      </c>
      <c r="G274" s="109">
        <v>1141821709</v>
      </c>
      <c r="H274" s="196">
        <v>45470</v>
      </c>
    </row>
    <row r="275" spans="1:8" ht="31.5" customHeight="1" x14ac:dyDescent="0.55000000000000004">
      <c r="A275" s="191"/>
      <c r="B275" s="109">
        <v>6</v>
      </c>
      <c r="C275" s="109" t="s">
        <v>597</v>
      </c>
      <c r="D275" s="109" t="s">
        <v>141</v>
      </c>
      <c r="E275" s="109" t="s">
        <v>145</v>
      </c>
      <c r="F275" s="109" t="s">
        <v>166</v>
      </c>
      <c r="G275" s="109">
        <v>1140689772</v>
      </c>
      <c r="H275" s="196">
        <v>45470</v>
      </c>
    </row>
    <row r="276" spans="1:8" ht="31.5" customHeight="1" x14ac:dyDescent="0.55000000000000004">
      <c r="A276" s="191"/>
      <c r="B276" s="109">
        <v>7</v>
      </c>
      <c r="C276" s="109" t="s">
        <v>598</v>
      </c>
      <c r="D276" s="109" t="s">
        <v>148</v>
      </c>
      <c r="E276" s="109" t="s">
        <v>142</v>
      </c>
      <c r="F276" s="109" t="s">
        <v>178</v>
      </c>
      <c r="G276" s="109">
        <v>1101845923</v>
      </c>
      <c r="H276" s="196">
        <v>45470</v>
      </c>
    </row>
    <row r="277" spans="1:8" ht="31.5" customHeight="1" x14ac:dyDescent="0.55000000000000004">
      <c r="A277" s="191"/>
      <c r="B277" s="109">
        <v>8</v>
      </c>
      <c r="C277" s="109" t="s">
        <v>599</v>
      </c>
      <c r="D277" s="109" t="s">
        <v>131</v>
      </c>
      <c r="E277" s="109" t="s">
        <v>142</v>
      </c>
      <c r="F277" s="109" t="s">
        <v>135</v>
      </c>
      <c r="G277" s="109">
        <v>1156070409</v>
      </c>
      <c r="H277" s="196">
        <v>45470</v>
      </c>
    </row>
    <row r="278" spans="1:8" ht="31.5" customHeight="1" x14ac:dyDescent="0.55000000000000004">
      <c r="A278" s="191"/>
      <c r="B278" s="109">
        <v>9</v>
      </c>
      <c r="C278" s="109" t="s">
        <v>600</v>
      </c>
      <c r="D278" s="109" t="s">
        <v>131</v>
      </c>
      <c r="E278" s="109" t="s">
        <v>142</v>
      </c>
      <c r="F278" s="109" t="s">
        <v>601</v>
      </c>
      <c r="G278" s="109">
        <v>1152038769</v>
      </c>
      <c r="H278" s="196">
        <v>45470</v>
      </c>
    </row>
    <row r="279" spans="1:8" ht="31.5" customHeight="1" x14ac:dyDescent="0.55000000000000004">
      <c r="A279" s="191"/>
      <c r="B279" s="109">
        <v>10</v>
      </c>
      <c r="C279" s="109" t="s">
        <v>602</v>
      </c>
      <c r="D279" s="109" t="s">
        <v>141</v>
      </c>
      <c r="E279" s="109" t="s">
        <v>142</v>
      </c>
      <c r="F279" s="109" t="s">
        <v>603</v>
      </c>
      <c r="G279" s="109">
        <v>1101843817</v>
      </c>
      <c r="H279" s="196">
        <v>45470</v>
      </c>
    </row>
    <row r="280" spans="1:8" ht="31.5" customHeight="1" x14ac:dyDescent="0.55000000000000004">
      <c r="A280" s="191"/>
      <c r="B280" s="109">
        <v>11</v>
      </c>
      <c r="C280" s="109" t="s">
        <v>604</v>
      </c>
      <c r="D280" s="109" t="s">
        <v>148</v>
      </c>
      <c r="E280" s="109" t="s">
        <v>142</v>
      </c>
      <c r="F280" s="109" t="s">
        <v>133</v>
      </c>
      <c r="G280" s="109">
        <v>1141998683</v>
      </c>
      <c r="H280" s="196">
        <v>45470</v>
      </c>
    </row>
    <row r="281" spans="1:8" ht="31.5" customHeight="1" x14ac:dyDescent="0.55000000000000004">
      <c r="A281" s="191"/>
      <c r="B281" s="109">
        <v>12</v>
      </c>
      <c r="C281" s="109" t="s">
        <v>605</v>
      </c>
      <c r="D281" s="109" t="s">
        <v>131</v>
      </c>
      <c r="E281" s="109" t="s">
        <v>142</v>
      </c>
      <c r="F281" s="109" t="s">
        <v>146</v>
      </c>
      <c r="G281" s="109">
        <v>1153088991</v>
      </c>
      <c r="H281" s="196">
        <v>45470</v>
      </c>
    </row>
    <row r="282" spans="1:8" ht="31.5" customHeight="1" x14ac:dyDescent="0.55000000000000004">
      <c r="A282" s="191"/>
      <c r="B282" s="109">
        <v>13</v>
      </c>
      <c r="C282" s="109" t="s">
        <v>606</v>
      </c>
      <c r="D282" s="109" t="s">
        <v>131</v>
      </c>
      <c r="E282" s="109" t="s">
        <v>142</v>
      </c>
      <c r="F282" s="109" t="s">
        <v>263</v>
      </c>
      <c r="G282" s="109">
        <v>1156902153</v>
      </c>
      <c r="H282" s="196">
        <v>45470</v>
      </c>
    </row>
    <row r="283" spans="1:8" ht="31.5" customHeight="1" x14ac:dyDescent="0.55000000000000004">
      <c r="A283" s="191"/>
      <c r="B283" s="109">
        <v>14</v>
      </c>
      <c r="C283" s="109" t="s">
        <v>607</v>
      </c>
      <c r="D283" s="109" t="s">
        <v>148</v>
      </c>
      <c r="E283" s="109" t="s">
        <v>142</v>
      </c>
      <c r="F283" s="109" t="s">
        <v>156</v>
      </c>
      <c r="G283" s="109">
        <v>1118963435</v>
      </c>
      <c r="H283" s="196">
        <v>45470</v>
      </c>
    </row>
    <row r="284" spans="1:8" ht="31.5" customHeight="1" x14ac:dyDescent="0.55000000000000004">
      <c r="A284" s="191"/>
      <c r="B284" s="109">
        <v>15</v>
      </c>
      <c r="C284" s="109" t="s">
        <v>608</v>
      </c>
      <c r="D284" s="109" t="s">
        <v>131</v>
      </c>
      <c r="E284" s="109" t="s">
        <v>142</v>
      </c>
      <c r="F284" s="109" t="s">
        <v>609</v>
      </c>
      <c r="G284" s="109">
        <v>1126100519</v>
      </c>
      <c r="H284" s="196">
        <v>45470</v>
      </c>
    </row>
    <row r="285" spans="1:8" ht="31.5" customHeight="1" x14ac:dyDescent="0.55000000000000004">
      <c r="A285" s="191"/>
      <c r="B285" s="109">
        <v>16</v>
      </c>
      <c r="C285" s="109" t="s">
        <v>610</v>
      </c>
      <c r="D285" s="109" t="s">
        <v>131</v>
      </c>
      <c r="E285" s="109" t="s">
        <v>142</v>
      </c>
      <c r="F285" s="109" t="s">
        <v>132</v>
      </c>
      <c r="G285" s="109">
        <v>1115341989</v>
      </c>
      <c r="H285" s="196">
        <v>45470</v>
      </c>
    </row>
    <row r="286" spans="1:8" ht="31.5" customHeight="1" x14ac:dyDescent="0.55000000000000004">
      <c r="A286" s="191"/>
      <c r="B286" s="109">
        <v>17</v>
      </c>
      <c r="C286" s="109" t="s">
        <v>611</v>
      </c>
      <c r="D286" s="109" t="s">
        <v>141</v>
      </c>
      <c r="E286" s="109" t="s">
        <v>142</v>
      </c>
      <c r="F286" s="109" t="s">
        <v>143</v>
      </c>
      <c r="G286" s="109">
        <v>1200920594</v>
      </c>
      <c r="H286" s="196">
        <v>45470</v>
      </c>
    </row>
    <row r="287" spans="1:8" ht="31.5" customHeight="1" x14ac:dyDescent="0.55000000000000004">
      <c r="A287" s="191"/>
      <c r="B287" s="109">
        <v>18</v>
      </c>
      <c r="C287" s="109" t="s">
        <v>612</v>
      </c>
      <c r="D287" s="109" t="s">
        <v>131</v>
      </c>
      <c r="E287" s="109" t="s">
        <v>142</v>
      </c>
      <c r="F287" s="109" t="s">
        <v>156</v>
      </c>
      <c r="G287" s="109">
        <v>1126057938</v>
      </c>
      <c r="H287" s="196">
        <v>45470</v>
      </c>
    </row>
    <row r="288" spans="1:8" ht="31.5" customHeight="1" x14ac:dyDescent="0.55000000000000004">
      <c r="A288" s="191"/>
      <c r="B288" s="109">
        <v>19</v>
      </c>
      <c r="C288" s="109" t="s">
        <v>613</v>
      </c>
      <c r="D288" s="109" t="s">
        <v>131</v>
      </c>
      <c r="E288" s="109" t="s">
        <v>142</v>
      </c>
      <c r="F288" s="109" t="s">
        <v>135</v>
      </c>
      <c r="G288" s="109" t="s">
        <v>134</v>
      </c>
      <c r="H288" s="196">
        <v>45470</v>
      </c>
    </row>
    <row r="289" spans="1:20" ht="31.5" customHeight="1" x14ac:dyDescent="0.55000000000000004">
      <c r="A289" s="191"/>
      <c r="B289" s="109">
        <v>20</v>
      </c>
      <c r="C289" s="109" t="s">
        <v>614</v>
      </c>
      <c r="D289" s="109" t="s">
        <v>148</v>
      </c>
      <c r="E289" s="109" t="s">
        <v>142</v>
      </c>
      <c r="F289" s="109" t="s">
        <v>156</v>
      </c>
      <c r="G289" s="109">
        <v>1278841468</v>
      </c>
      <c r="H289" s="196">
        <v>45470</v>
      </c>
    </row>
    <row r="290" spans="1:20" ht="31.5" customHeight="1" x14ac:dyDescent="0.55000000000000004">
      <c r="A290" s="191"/>
      <c r="B290" s="109">
        <v>21</v>
      </c>
      <c r="C290" s="109" t="s">
        <v>615</v>
      </c>
      <c r="D290" s="109" t="s">
        <v>148</v>
      </c>
      <c r="E290" s="109" t="s">
        <v>150</v>
      </c>
      <c r="F290" s="109" t="s">
        <v>196</v>
      </c>
      <c r="G290" s="109">
        <v>1500000708</v>
      </c>
      <c r="H290" s="196">
        <v>45470</v>
      </c>
    </row>
    <row r="291" spans="1:20" ht="31.5" customHeight="1" x14ac:dyDescent="0.55000000000000004">
      <c r="A291" s="191"/>
      <c r="B291" s="109">
        <v>22</v>
      </c>
      <c r="C291" s="109" t="s">
        <v>616</v>
      </c>
      <c r="D291" s="109" t="s">
        <v>148</v>
      </c>
      <c r="E291" s="109" t="s">
        <v>215</v>
      </c>
      <c r="F291" s="109" t="s">
        <v>183</v>
      </c>
      <c r="G291" s="109">
        <v>1120664663</v>
      </c>
      <c r="H291" s="196">
        <v>45470</v>
      </c>
    </row>
    <row r="292" spans="1:20" ht="31.5" customHeight="1" x14ac:dyDescent="0.55000000000000004">
      <c r="A292" s="191"/>
      <c r="B292" s="109">
        <v>23</v>
      </c>
      <c r="C292" s="109" t="s">
        <v>617</v>
      </c>
      <c r="D292" s="109" t="s">
        <v>148</v>
      </c>
      <c r="E292" s="109" t="s">
        <v>186</v>
      </c>
      <c r="F292" s="109" t="s">
        <v>158</v>
      </c>
      <c r="G292" s="109">
        <v>1100467784</v>
      </c>
      <c r="H292" s="196">
        <v>45470</v>
      </c>
    </row>
    <row r="293" spans="1:20" ht="31.5" customHeight="1" x14ac:dyDescent="0.55000000000000004">
      <c r="A293" s="191"/>
      <c r="B293" s="109">
        <v>24</v>
      </c>
      <c r="C293" s="109" t="s">
        <v>602</v>
      </c>
      <c r="D293" s="109" t="s">
        <v>141</v>
      </c>
      <c r="E293" s="109" t="s">
        <v>186</v>
      </c>
      <c r="F293" s="109" t="s">
        <v>603</v>
      </c>
      <c r="G293" s="109" t="s">
        <v>134</v>
      </c>
      <c r="H293" s="196">
        <v>45470</v>
      </c>
    </row>
    <row r="294" spans="1:20" ht="31.5" customHeight="1" x14ac:dyDescent="0.55000000000000004">
      <c r="A294" s="191"/>
      <c r="B294" s="109">
        <v>25</v>
      </c>
      <c r="C294" s="109" t="s">
        <v>618</v>
      </c>
      <c r="D294" s="109" t="s">
        <v>141</v>
      </c>
      <c r="E294" s="109" t="s">
        <v>186</v>
      </c>
      <c r="F294" s="109" t="s">
        <v>133</v>
      </c>
      <c r="G294" s="109">
        <v>1146093625</v>
      </c>
      <c r="H294" s="196">
        <v>45470</v>
      </c>
    </row>
    <row r="295" spans="1:20" ht="31.5" customHeight="1" x14ac:dyDescent="0.55000000000000004">
      <c r="A295" s="191"/>
      <c r="B295" s="109">
        <v>26</v>
      </c>
      <c r="C295" s="109" t="s">
        <v>619</v>
      </c>
      <c r="D295" s="109" t="s">
        <v>148</v>
      </c>
      <c r="E295" s="109" t="s">
        <v>186</v>
      </c>
      <c r="F295" s="109" t="s">
        <v>183</v>
      </c>
      <c r="G295" s="109">
        <v>1149785682</v>
      </c>
      <c r="H295" s="196">
        <v>45470</v>
      </c>
      <c r="I295" s="103"/>
    </row>
    <row r="296" spans="1:20" ht="31.5" customHeight="1" x14ac:dyDescent="0.55000000000000004">
      <c r="A296" s="191"/>
      <c r="B296" s="109">
        <v>27</v>
      </c>
      <c r="C296" s="109" t="s">
        <v>620</v>
      </c>
      <c r="D296" s="109" t="s">
        <v>141</v>
      </c>
      <c r="E296" s="109" t="s">
        <v>186</v>
      </c>
      <c r="F296" s="109" t="s">
        <v>133</v>
      </c>
      <c r="G296" s="109">
        <v>1143377976</v>
      </c>
      <c r="H296" s="196">
        <v>45470</v>
      </c>
      <c r="I296" s="103"/>
    </row>
    <row r="297" spans="1:20" ht="31.5" customHeight="1" x14ac:dyDescent="0.55000000000000004">
      <c r="A297" s="191"/>
      <c r="B297" s="109">
        <v>28</v>
      </c>
      <c r="C297" s="109" t="s">
        <v>605</v>
      </c>
      <c r="D297" s="109" t="s">
        <v>131</v>
      </c>
      <c r="E297" s="109" t="s">
        <v>195</v>
      </c>
      <c r="F297" s="109" t="s">
        <v>146</v>
      </c>
      <c r="G297" s="109">
        <v>1153088991</v>
      </c>
      <c r="H297" s="196">
        <v>45470</v>
      </c>
      <c r="I297" s="103"/>
    </row>
    <row r="298" spans="1:20" ht="31.5" customHeight="1" x14ac:dyDescent="0.6">
      <c r="A298" s="191"/>
      <c r="B298" s="109">
        <v>29</v>
      </c>
      <c r="C298" s="109" t="s">
        <v>621</v>
      </c>
      <c r="D298" s="109" t="s">
        <v>141</v>
      </c>
      <c r="E298" s="109" t="s">
        <v>195</v>
      </c>
      <c r="F298" s="109" t="s">
        <v>183</v>
      </c>
      <c r="G298" s="109">
        <v>1151814562</v>
      </c>
      <c r="H298" s="196">
        <v>45470</v>
      </c>
      <c r="I298" s="103"/>
      <c r="O298" s="112"/>
      <c r="Q298" s="83"/>
      <c r="R298" s="83"/>
      <c r="S298" s="104"/>
      <c r="T298" s="112"/>
    </row>
    <row r="299" spans="1:20" ht="31.5" customHeight="1" x14ac:dyDescent="0.6">
      <c r="A299" s="191"/>
      <c r="B299" s="109">
        <v>30</v>
      </c>
      <c r="C299" s="109" t="s">
        <v>622</v>
      </c>
      <c r="D299" s="109" t="s">
        <v>131</v>
      </c>
      <c r="E299" s="109" t="s">
        <v>195</v>
      </c>
      <c r="F299" s="109" t="s">
        <v>188</v>
      </c>
      <c r="G299" s="109">
        <v>1221185017</v>
      </c>
      <c r="H299" s="196">
        <v>45470</v>
      </c>
      <c r="I299" s="103"/>
      <c r="Q299" s="83"/>
      <c r="R299" s="83"/>
      <c r="S299" s="104"/>
      <c r="T299" s="112"/>
    </row>
    <row r="300" spans="1:20" ht="31.5" customHeight="1" x14ac:dyDescent="0.6">
      <c r="A300" s="191"/>
      <c r="B300" s="109">
        <v>31</v>
      </c>
      <c r="C300" s="109" t="s">
        <v>623</v>
      </c>
      <c r="D300" s="109" t="s">
        <v>148</v>
      </c>
      <c r="E300" s="109" t="s">
        <v>215</v>
      </c>
      <c r="F300" s="109" t="s">
        <v>158</v>
      </c>
      <c r="G300" s="109">
        <v>1147134679</v>
      </c>
      <c r="H300" s="196">
        <v>45470</v>
      </c>
      <c r="I300" s="103"/>
      <c r="Q300" s="83"/>
      <c r="R300" s="83"/>
      <c r="S300" s="104"/>
      <c r="T300" s="112"/>
    </row>
    <row r="301" spans="1:20" ht="31.5" customHeight="1" x14ac:dyDescent="0.6">
      <c r="A301" s="191"/>
      <c r="B301" s="109">
        <v>32</v>
      </c>
      <c r="C301" s="109" t="s">
        <v>624</v>
      </c>
      <c r="D301" s="109" t="s">
        <v>131</v>
      </c>
      <c r="E301" s="109" t="s">
        <v>200</v>
      </c>
      <c r="F301" s="109" t="s">
        <v>158</v>
      </c>
      <c r="G301" s="109">
        <v>1095895912</v>
      </c>
      <c r="H301" s="196">
        <v>45470</v>
      </c>
      <c r="I301" s="103"/>
      <c r="Q301" s="83"/>
      <c r="R301" s="83"/>
      <c r="S301" s="104"/>
      <c r="T301" s="112"/>
    </row>
    <row r="302" spans="1:20" ht="31.5" customHeight="1" x14ac:dyDescent="0.6">
      <c r="A302" s="191"/>
      <c r="B302" s="109">
        <v>33</v>
      </c>
      <c r="C302" s="109" t="s">
        <v>625</v>
      </c>
      <c r="D302" s="109" t="s">
        <v>131</v>
      </c>
      <c r="E302" s="109" t="s">
        <v>200</v>
      </c>
      <c r="F302" s="109" t="s">
        <v>158</v>
      </c>
      <c r="G302" s="109">
        <v>1286404043</v>
      </c>
      <c r="H302" s="196">
        <v>45470</v>
      </c>
      <c r="I302" s="103"/>
      <c r="Q302" s="83"/>
      <c r="R302" s="83"/>
      <c r="S302" s="104"/>
      <c r="T302" s="112"/>
    </row>
    <row r="303" spans="1:20" ht="31.5" customHeight="1" x14ac:dyDescent="0.6">
      <c r="A303" s="191">
        <v>45473</v>
      </c>
      <c r="B303" s="109">
        <v>1</v>
      </c>
      <c r="C303" s="111" t="s">
        <v>642</v>
      </c>
      <c r="D303" s="111" t="s">
        <v>141</v>
      </c>
      <c r="E303" s="111" t="s">
        <v>215</v>
      </c>
      <c r="F303" s="111" t="s">
        <v>188</v>
      </c>
      <c r="G303" s="111">
        <v>1147791360</v>
      </c>
      <c r="H303" s="196">
        <v>45473</v>
      </c>
      <c r="Q303" s="83"/>
      <c r="R303" s="83"/>
      <c r="S303" s="104"/>
      <c r="T303" s="112"/>
    </row>
    <row r="304" spans="1:20" ht="31.5" customHeight="1" x14ac:dyDescent="0.6">
      <c r="A304" s="191"/>
      <c r="B304" s="109">
        <v>2</v>
      </c>
      <c r="C304" s="111" t="s">
        <v>643</v>
      </c>
      <c r="D304" s="111" t="s">
        <v>644</v>
      </c>
      <c r="E304" s="111" t="s">
        <v>186</v>
      </c>
      <c r="F304" s="111" t="s">
        <v>183</v>
      </c>
      <c r="G304" s="111" t="s">
        <v>134</v>
      </c>
      <c r="H304" s="196">
        <v>45473</v>
      </c>
      <c r="Q304" s="83"/>
      <c r="R304" s="83"/>
      <c r="S304" s="104"/>
      <c r="T304" s="112"/>
    </row>
    <row r="305" spans="1:20" ht="31.5" customHeight="1" x14ac:dyDescent="0.6">
      <c r="A305" s="191"/>
      <c r="B305" s="109"/>
      <c r="C305" s="111"/>
      <c r="D305" s="111"/>
      <c r="E305" s="111"/>
      <c r="F305" s="111"/>
      <c r="G305" s="111"/>
      <c r="H305" s="196"/>
      <c r="Q305" s="83"/>
      <c r="R305" s="83"/>
      <c r="S305" s="104"/>
      <c r="T305" s="112"/>
    </row>
    <row r="306" spans="1:20" ht="31.5" customHeight="1" x14ac:dyDescent="0.6">
      <c r="A306" s="191"/>
      <c r="B306" s="109"/>
      <c r="C306" s="111"/>
      <c r="D306" s="111"/>
      <c r="E306" s="111"/>
      <c r="F306" s="111"/>
      <c r="G306" s="111"/>
      <c r="H306" s="196"/>
      <c r="Q306" s="83"/>
      <c r="R306" s="83"/>
      <c r="S306" s="104"/>
      <c r="T306" s="112"/>
    </row>
    <row r="307" spans="1:20" ht="31.5" customHeight="1" x14ac:dyDescent="0.6">
      <c r="A307" s="191"/>
      <c r="B307" s="109"/>
      <c r="C307" s="111"/>
      <c r="D307" s="111"/>
      <c r="E307" s="111"/>
      <c r="F307" s="111"/>
      <c r="G307" s="111"/>
      <c r="H307" s="197"/>
      <c r="Q307" s="83"/>
      <c r="R307" s="83"/>
      <c r="S307" s="104"/>
      <c r="T307" s="112"/>
    </row>
    <row r="308" spans="1:20" ht="31.5" customHeight="1" x14ac:dyDescent="0.6">
      <c r="A308" s="191"/>
      <c r="B308" s="109"/>
      <c r="C308" s="111"/>
      <c r="D308" s="111"/>
      <c r="E308" s="111"/>
      <c r="F308" s="111"/>
      <c r="G308" s="111"/>
      <c r="H308" s="197"/>
      <c r="Q308" s="83"/>
      <c r="R308" s="83"/>
      <c r="S308" s="104"/>
      <c r="T308" s="112"/>
    </row>
    <row r="309" spans="1:20" ht="31.5" customHeight="1" x14ac:dyDescent="0.6">
      <c r="A309" s="191"/>
      <c r="B309" s="109"/>
      <c r="C309" s="111"/>
      <c r="D309" s="111"/>
      <c r="E309" s="111"/>
      <c r="F309" s="111"/>
      <c r="G309" s="111"/>
      <c r="H309" s="197"/>
      <c r="Q309" s="83"/>
      <c r="R309" s="83"/>
      <c r="S309" s="104"/>
      <c r="T309" s="112"/>
    </row>
    <row r="310" spans="1:20" ht="31.5" customHeight="1" x14ac:dyDescent="0.6">
      <c r="A310" s="191"/>
      <c r="B310" s="109"/>
      <c r="C310" s="111"/>
      <c r="D310" s="111"/>
      <c r="E310" s="111"/>
      <c r="F310" s="111"/>
      <c r="G310" s="111"/>
      <c r="H310" s="197"/>
      <c r="Q310" s="83"/>
      <c r="R310" s="83"/>
      <c r="S310" s="104"/>
      <c r="T310" s="112"/>
    </row>
    <row r="311" spans="1:20" ht="31.5" customHeight="1" x14ac:dyDescent="0.6">
      <c r="A311" s="191"/>
      <c r="B311" s="109"/>
      <c r="C311" s="111"/>
      <c r="D311" s="111"/>
      <c r="E311" s="111"/>
      <c r="F311" s="111"/>
      <c r="G311" s="111"/>
      <c r="H311" s="197"/>
      <c r="Q311" s="83"/>
      <c r="R311" s="83"/>
      <c r="S311" s="104"/>
      <c r="T311" s="112"/>
    </row>
    <row r="312" spans="1:20" ht="31.5" customHeight="1" x14ac:dyDescent="0.6">
      <c r="A312" s="191"/>
      <c r="B312" s="109"/>
      <c r="C312" s="111"/>
      <c r="D312" s="111"/>
      <c r="E312" s="111"/>
      <c r="F312" s="111"/>
      <c r="G312" s="111"/>
      <c r="H312" s="197"/>
      <c r="Q312" s="83"/>
      <c r="R312" s="83"/>
      <c r="S312" s="104"/>
      <c r="T312" s="112"/>
    </row>
    <row r="313" spans="1:20" ht="31.5" customHeight="1" x14ac:dyDescent="0.6">
      <c r="A313" s="191"/>
      <c r="B313" s="111"/>
      <c r="C313" s="111"/>
      <c r="D313" s="111"/>
      <c r="E313" s="111"/>
      <c r="F313" s="111"/>
      <c r="G313" s="111"/>
      <c r="H313" s="197"/>
      <c r="Q313" s="83"/>
      <c r="R313" s="83"/>
      <c r="S313" s="104"/>
      <c r="T313" s="112"/>
    </row>
    <row r="314" spans="1:20" ht="31.5" customHeight="1" x14ac:dyDescent="0.6">
      <c r="A314" s="191"/>
      <c r="B314" s="111"/>
      <c r="C314" s="111"/>
      <c r="D314" s="111"/>
      <c r="E314" s="111"/>
      <c r="F314" s="111"/>
      <c r="G314" s="111"/>
      <c r="H314" s="197"/>
      <c r="Q314" s="83"/>
      <c r="R314" s="83"/>
      <c r="S314" s="104"/>
      <c r="T314" s="112"/>
    </row>
    <row r="315" spans="1:20" ht="31.5" customHeight="1" x14ac:dyDescent="0.6">
      <c r="A315" s="191"/>
      <c r="B315" s="111"/>
      <c r="C315" s="111"/>
      <c r="D315" s="111"/>
      <c r="E315" s="111"/>
      <c r="F315" s="111"/>
      <c r="G315" s="111"/>
      <c r="H315" s="197"/>
      <c r="Q315" s="83"/>
      <c r="R315" s="83"/>
      <c r="S315" s="104"/>
      <c r="T315" s="112"/>
    </row>
    <row r="316" spans="1:20" ht="31.5" customHeight="1" x14ac:dyDescent="0.6">
      <c r="A316" s="191"/>
      <c r="B316" s="111"/>
      <c r="C316" s="111"/>
      <c r="D316" s="111"/>
      <c r="E316" s="111"/>
      <c r="F316" s="111"/>
      <c r="G316" s="111"/>
      <c r="H316" s="197"/>
      <c r="Q316" s="83"/>
      <c r="R316" s="83"/>
      <c r="S316" s="104"/>
      <c r="T316" s="112"/>
    </row>
    <row r="317" spans="1:20" ht="31.5" customHeight="1" x14ac:dyDescent="0.6">
      <c r="A317" s="191"/>
      <c r="B317" s="111"/>
      <c r="C317" s="111"/>
      <c r="D317" s="111"/>
      <c r="E317" s="111"/>
      <c r="F317" s="111"/>
      <c r="G317" s="111"/>
      <c r="H317" s="197"/>
      <c r="Q317" s="83"/>
      <c r="R317" s="83"/>
      <c r="S317" s="104"/>
      <c r="T317" s="112"/>
    </row>
    <row r="318" spans="1:20" ht="31.5" customHeight="1" x14ac:dyDescent="0.6">
      <c r="A318" s="191"/>
      <c r="B318" s="111"/>
      <c r="C318" s="111"/>
      <c r="D318" s="111"/>
      <c r="E318" s="111"/>
      <c r="F318" s="111"/>
      <c r="G318" s="111"/>
      <c r="H318" s="197"/>
      <c r="Q318" s="83"/>
      <c r="R318" s="83"/>
      <c r="S318" s="104"/>
      <c r="T318" s="112"/>
    </row>
    <row r="319" spans="1:20" ht="31.5" customHeight="1" x14ac:dyDescent="0.6">
      <c r="A319" s="191"/>
      <c r="B319" s="111"/>
      <c r="C319" s="111"/>
      <c r="D319" s="111"/>
      <c r="E319" s="111"/>
      <c r="F319" s="111"/>
      <c r="G319" s="111"/>
      <c r="H319" s="197"/>
      <c r="Q319" s="83"/>
      <c r="R319" s="83"/>
      <c r="S319" s="104"/>
      <c r="T319" s="112"/>
    </row>
    <row r="320" spans="1:20" ht="31.5" customHeight="1" x14ac:dyDescent="0.6">
      <c r="A320" s="191"/>
      <c r="B320" s="111"/>
      <c r="C320" s="111"/>
      <c r="D320" s="111"/>
      <c r="E320" s="111"/>
      <c r="F320" s="111"/>
      <c r="G320" s="111"/>
      <c r="H320" s="197"/>
      <c r="Q320" s="83"/>
      <c r="R320" s="83"/>
      <c r="S320" s="104"/>
      <c r="T320" s="112"/>
    </row>
    <row r="321" spans="1:20" ht="31.5" customHeight="1" x14ac:dyDescent="0.6">
      <c r="A321" s="191"/>
      <c r="B321" s="111"/>
      <c r="C321" s="111"/>
      <c r="D321" s="111"/>
      <c r="E321" s="111"/>
      <c r="F321" s="111"/>
      <c r="G321" s="111"/>
      <c r="H321" s="197"/>
      <c r="Q321" s="83"/>
      <c r="R321" s="83"/>
      <c r="S321" s="104"/>
      <c r="T321" s="112"/>
    </row>
    <row r="322" spans="1:20" ht="31.5" customHeight="1" x14ac:dyDescent="0.6">
      <c r="A322" s="191"/>
      <c r="B322" s="111"/>
      <c r="C322" s="111"/>
      <c r="D322" s="111"/>
      <c r="E322" s="111"/>
      <c r="F322" s="111"/>
      <c r="G322" s="111"/>
      <c r="H322" s="197"/>
      <c r="Q322" s="83"/>
      <c r="R322" s="83"/>
      <c r="S322" s="104"/>
      <c r="T322" s="112"/>
    </row>
    <row r="323" spans="1:20" ht="31.5" customHeight="1" x14ac:dyDescent="0.6">
      <c r="A323" s="191"/>
      <c r="B323" s="111"/>
      <c r="C323" s="111"/>
      <c r="D323" s="111"/>
      <c r="E323" s="111"/>
      <c r="F323" s="111"/>
      <c r="G323" s="111"/>
      <c r="H323" s="197"/>
      <c r="Q323" s="83"/>
      <c r="R323" s="83"/>
      <c r="S323" s="104"/>
      <c r="T323" s="112"/>
    </row>
    <row r="324" spans="1:20" ht="31.5" customHeight="1" x14ac:dyDescent="0.6">
      <c r="A324" s="191"/>
      <c r="B324" s="111"/>
      <c r="C324" s="111"/>
      <c r="D324" s="111"/>
      <c r="E324" s="111"/>
      <c r="F324" s="111"/>
      <c r="G324" s="111"/>
      <c r="H324" s="197"/>
      <c r="Q324" s="83"/>
      <c r="R324" s="83"/>
      <c r="S324" s="104"/>
      <c r="T324" s="112"/>
    </row>
    <row r="325" spans="1:20" ht="31.5" customHeight="1" x14ac:dyDescent="0.6">
      <c r="A325" s="191"/>
      <c r="B325" s="111"/>
      <c r="C325" s="111"/>
      <c r="D325" s="111"/>
      <c r="E325" s="111"/>
      <c r="F325" s="111"/>
      <c r="G325" s="111"/>
      <c r="H325" s="197"/>
      <c r="Q325" s="83"/>
      <c r="R325" s="83"/>
      <c r="S325" s="104"/>
      <c r="T325" s="112"/>
    </row>
    <row r="326" spans="1:20" ht="31.5" customHeight="1" x14ac:dyDescent="0.6">
      <c r="A326" s="191"/>
      <c r="B326" s="111"/>
      <c r="C326" s="111"/>
      <c r="D326" s="111"/>
      <c r="E326" s="111"/>
      <c r="F326" s="111"/>
      <c r="G326" s="111"/>
      <c r="H326" s="197"/>
      <c r="Q326" s="83"/>
      <c r="R326" s="83"/>
      <c r="S326" s="104"/>
      <c r="T326" s="112"/>
    </row>
    <row r="327" spans="1:20" ht="31.5" customHeight="1" x14ac:dyDescent="0.6">
      <c r="A327" s="191"/>
      <c r="B327" s="111"/>
      <c r="C327" s="111"/>
      <c r="D327" s="111"/>
      <c r="E327" s="111"/>
      <c r="F327" s="111"/>
      <c r="G327" s="111"/>
      <c r="H327" s="197"/>
      <c r="Q327" s="83"/>
      <c r="R327" s="83"/>
      <c r="S327" s="104"/>
      <c r="T327" s="112"/>
    </row>
    <row r="328" spans="1:20" ht="31.5" customHeight="1" x14ac:dyDescent="0.6">
      <c r="A328" s="191"/>
      <c r="B328" s="111"/>
      <c r="C328" s="111"/>
      <c r="D328" s="111"/>
      <c r="E328" s="111"/>
      <c r="F328" s="111"/>
      <c r="G328" s="111"/>
      <c r="H328" s="197"/>
      <c r="Q328" s="83"/>
      <c r="R328" s="83"/>
      <c r="S328" s="104"/>
      <c r="T328" s="112"/>
    </row>
    <row r="329" spans="1:20" ht="31.5" customHeight="1" x14ac:dyDescent="0.6">
      <c r="A329" s="191"/>
      <c r="B329" s="111"/>
      <c r="C329" s="111"/>
      <c r="D329" s="111"/>
      <c r="E329" s="111"/>
      <c r="F329" s="111"/>
      <c r="G329" s="111"/>
      <c r="H329" s="197"/>
      <c r="Q329" s="83"/>
      <c r="R329" s="83"/>
      <c r="S329" s="104"/>
      <c r="T329" s="112"/>
    </row>
    <row r="330" spans="1:20" ht="31.5" customHeight="1" x14ac:dyDescent="0.6">
      <c r="A330" s="191"/>
      <c r="B330" s="111"/>
      <c r="C330" s="111"/>
      <c r="D330" s="111"/>
      <c r="E330" s="111"/>
      <c r="F330" s="111"/>
      <c r="G330" s="111"/>
      <c r="H330" s="197"/>
      <c r="Q330" s="83"/>
      <c r="R330" s="83"/>
      <c r="S330" s="104"/>
      <c r="T330" s="112"/>
    </row>
    <row r="331" spans="1:20" ht="31.5" customHeight="1" x14ac:dyDescent="0.6">
      <c r="A331" s="191"/>
      <c r="B331" s="111"/>
      <c r="C331" s="111"/>
      <c r="D331" s="111"/>
      <c r="E331" s="111"/>
      <c r="F331" s="111"/>
      <c r="G331" s="111"/>
      <c r="H331" s="197"/>
      <c r="Q331" s="83"/>
      <c r="R331" s="83"/>
      <c r="S331" s="104"/>
      <c r="T331" s="112"/>
    </row>
    <row r="332" spans="1:20" ht="31.5" customHeight="1" x14ac:dyDescent="0.6">
      <c r="A332" s="191"/>
      <c r="B332" s="111"/>
      <c r="C332" s="111"/>
      <c r="D332" s="111"/>
      <c r="E332" s="111"/>
      <c r="F332" s="111"/>
      <c r="G332" s="111"/>
      <c r="H332" s="197"/>
      <c r="Q332" s="83"/>
      <c r="R332" s="83"/>
      <c r="S332" s="104"/>
      <c r="T332" s="112"/>
    </row>
    <row r="333" spans="1:20" ht="31.5" customHeight="1" x14ac:dyDescent="0.6">
      <c r="A333" s="191"/>
      <c r="B333" s="111"/>
      <c r="C333" s="111"/>
      <c r="D333" s="111"/>
      <c r="E333" s="111"/>
      <c r="F333" s="111"/>
      <c r="G333" s="111"/>
      <c r="H333" s="197"/>
      <c r="Q333" s="83"/>
      <c r="R333" s="83"/>
      <c r="S333" s="104"/>
      <c r="T333" s="112"/>
    </row>
    <row r="334" spans="1:20" ht="31.5" customHeight="1" x14ac:dyDescent="0.6">
      <c r="A334" s="191"/>
      <c r="B334" s="111"/>
      <c r="C334" s="111"/>
      <c r="D334" s="111"/>
      <c r="E334" s="111"/>
      <c r="F334" s="111"/>
      <c r="G334" s="111"/>
      <c r="H334" s="197"/>
      <c r="Q334" s="83"/>
      <c r="R334" s="83"/>
      <c r="S334" s="104"/>
      <c r="T334" s="112"/>
    </row>
    <row r="335" spans="1:20" ht="31.5" customHeight="1" x14ac:dyDescent="0.6">
      <c r="A335" s="191"/>
      <c r="B335" s="111"/>
      <c r="C335" s="111"/>
      <c r="D335" s="111"/>
      <c r="E335" s="111"/>
      <c r="F335" s="111"/>
      <c r="G335" s="111"/>
      <c r="H335" s="197"/>
      <c r="Q335" s="83"/>
      <c r="R335" s="83"/>
      <c r="S335" s="104"/>
      <c r="T335" s="112"/>
    </row>
    <row r="336" spans="1:20" ht="31.5" customHeight="1" x14ac:dyDescent="0.6">
      <c r="A336" s="191"/>
      <c r="B336" s="111"/>
      <c r="C336" s="111"/>
      <c r="D336" s="111"/>
      <c r="E336" s="111"/>
      <c r="F336" s="111"/>
      <c r="G336" s="111"/>
      <c r="H336" s="197"/>
      <c r="Q336" s="83"/>
      <c r="R336" s="83"/>
      <c r="S336" s="104"/>
      <c r="T336" s="112"/>
    </row>
    <row r="337" spans="1:20" ht="31.5" customHeight="1" x14ac:dyDescent="0.6">
      <c r="A337" s="191"/>
      <c r="B337" s="111"/>
      <c r="C337" s="111"/>
      <c r="D337" s="111"/>
      <c r="E337" s="111"/>
      <c r="F337" s="111"/>
      <c r="G337" s="111"/>
      <c r="H337" s="197"/>
      <c r="Q337" s="83"/>
      <c r="R337" s="83"/>
      <c r="S337" s="104"/>
      <c r="T337" s="112"/>
    </row>
    <row r="338" spans="1:20" ht="31.5" customHeight="1" x14ac:dyDescent="0.6">
      <c r="A338" s="191"/>
      <c r="B338" s="113"/>
      <c r="C338" s="111"/>
      <c r="D338" s="111"/>
      <c r="E338" s="111"/>
      <c r="F338" s="111"/>
      <c r="G338" s="111"/>
      <c r="H338" s="197"/>
      <c r="Q338" s="83"/>
      <c r="R338" s="83"/>
      <c r="S338" s="104"/>
      <c r="T338" s="112"/>
    </row>
    <row r="339" spans="1:20" ht="31.5" customHeight="1" x14ac:dyDescent="0.6">
      <c r="A339" s="191"/>
      <c r="B339" s="113"/>
      <c r="C339" s="111"/>
      <c r="D339" s="111"/>
      <c r="E339" s="111"/>
      <c r="F339" s="111"/>
      <c r="G339" s="111"/>
      <c r="H339" s="197"/>
      <c r="Q339" s="83"/>
      <c r="R339" s="83"/>
      <c r="S339" s="104"/>
      <c r="T339" s="112"/>
    </row>
    <row r="340" spans="1:20" ht="31.5" customHeight="1" x14ac:dyDescent="0.6">
      <c r="A340" s="191"/>
      <c r="B340" s="113"/>
      <c r="C340" s="111"/>
      <c r="D340" s="111"/>
      <c r="E340" s="111"/>
      <c r="F340" s="111"/>
      <c r="G340" s="111"/>
      <c r="H340" s="197"/>
      <c r="Q340" s="83"/>
      <c r="R340" s="83"/>
      <c r="S340" s="104"/>
      <c r="T340" s="112"/>
    </row>
    <row r="341" spans="1:20" ht="31.5" customHeight="1" x14ac:dyDescent="0.6">
      <c r="A341" s="191"/>
      <c r="B341" s="113"/>
      <c r="C341" s="111"/>
      <c r="D341" s="111"/>
      <c r="E341" s="111"/>
      <c r="F341" s="111"/>
      <c r="G341" s="111"/>
      <c r="H341" s="197"/>
      <c r="Q341" s="83"/>
      <c r="R341" s="83"/>
      <c r="S341" s="104"/>
      <c r="T341" s="112"/>
    </row>
    <row r="342" spans="1:20" ht="31.5" customHeight="1" x14ac:dyDescent="0.6">
      <c r="A342" s="191"/>
      <c r="B342" s="113"/>
      <c r="C342" s="111"/>
      <c r="D342" s="111"/>
      <c r="E342" s="111"/>
      <c r="F342" s="111"/>
      <c r="G342" s="111"/>
      <c r="H342" s="197"/>
      <c r="Q342" s="83"/>
      <c r="R342" s="83"/>
      <c r="S342" s="104"/>
      <c r="T342" s="112"/>
    </row>
    <row r="343" spans="1:20" ht="31.5" customHeight="1" x14ac:dyDescent="0.6">
      <c r="A343" s="191"/>
      <c r="B343" s="113"/>
      <c r="C343" s="111"/>
      <c r="D343" s="111"/>
      <c r="E343" s="111"/>
      <c r="F343" s="111"/>
      <c r="G343" s="111"/>
      <c r="H343" s="197"/>
      <c r="Q343" s="83"/>
      <c r="R343" s="83"/>
      <c r="S343" s="104"/>
      <c r="T343" s="112"/>
    </row>
    <row r="344" spans="1:20" ht="31.5" customHeight="1" x14ac:dyDescent="0.6">
      <c r="A344" s="191"/>
      <c r="B344" s="113"/>
      <c r="C344" s="111"/>
      <c r="D344" s="111"/>
      <c r="E344" s="111"/>
      <c r="F344" s="111"/>
      <c r="G344" s="111"/>
      <c r="H344" s="197"/>
      <c r="Q344" s="83"/>
      <c r="R344" s="83"/>
      <c r="S344" s="104"/>
      <c r="T344" s="112"/>
    </row>
    <row r="345" spans="1:20" ht="31.5" customHeight="1" x14ac:dyDescent="0.6">
      <c r="A345" s="191"/>
      <c r="B345" s="113"/>
      <c r="C345" s="109"/>
      <c r="D345" s="109"/>
      <c r="E345" s="109"/>
      <c r="F345" s="109"/>
      <c r="G345" s="109"/>
      <c r="H345" s="196"/>
      <c r="Q345" s="83"/>
      <c r="R345" s="83"/>
      <c r="S345" s="104"/>
      <c r="T345" s="112"/>
    </row>
    <row r="346" spans="1:20" ht="31.5" customHeight="1" x14ac:dyDescent="0.6">
      <c r="A346" s="191"/>
      <c r="B346" s="113"/>
      <c r="C346" s="114"/>
      <c r="D346" s="114"/>
      <c r="E346" s="114"/>
      <c r="F346" s="114"/>
      <c r="G346" s="114"/>
      <c r="H346" s="198"/>
      <c r="Q346" s="83"/>
      <c r="R346" s="83"/>
      <c r="S346" s="104"/>
      <c r="T346" s="112"/>
    </row>
    <row r="347" spans="1:20" ht="31.5" customHeight="1" x14ac:dyDescent="0.6">
      <c r="A347" s="191"/>
      <c r="B347" s="113"/>
      <c r="C347" s="114"/>
      <c r="D347" s="114"/>
      <c r="E347" s="114"/>
      <c r="F347" s="114"/>
      <c r="G347" s="114"/>
      <c r="H347" s="198"/>
      <c r="Q347" s="83"/>
      <c r="R347" s="83"/>
      <c r="S347" s="104"/>
      <c r="T347" s="112"/>
    </row>
    <row r="348" spans="1:20" ht="31.5" customHeight="1" x14ac:dyDescent="0.6">
      <c r="A348" s="191"/>
      <c r="B348" s="113"/>
      <c r="C348" s="114"/>
      <c r="D348" s="114"/>
      <c r="E348" s="114"/>
      <c r="F348" s="114"/>
      <c r="G348" s="114"/>
      <c r="H348" s="198"/>
      <c r="Q348" s="83"/>
      <c r="R348" s="83"/>
      <c r="S348" s="104"/>
      <c r="T348" s="112"/>
    </row>
    <row r="349" spans="1:20" ht="31.5" customHeight="1" x14ac:dyDescent="0.6">
      <c r="A349" s="191"/>
      <c r="B349" s="113"/>
      <c r="C349" s="114"/>
      <c r="D349" s="114"/>
      <c r="E349" s="114"/>
      <c r="F349" s="114"/>
      <c r="G349" s="114"/>
      <c r="H349" s="198"/>
      <c r="Q349" s="83"/>
      <c r="R349" s="83"/>
      <c r="S349" s="104"/>
      <c r="T349" s="112"/>
    </row>
    <row r="350" spans="1:20" ht="31.5" customHeight="1" x14ac:dyDescent="0.6">
      <c r="A350" s="191"/>
      <c r="B350" s="113"/>
      <c r="C350" s="114"/>
      <c r="D350" s="114"/>
      <c r="E350" s="114"/>
      <c r="F350" s="114"/>
      <c r="G350" s="114"/>
      <c r="H350" s="198"/>
      <c r="Q350" s="83"/>
      <c r="R350" s="83"/>
      <c r="S350" s="104"/>
      <c r="T350" s="112"/>
    </row>
    <row r="351" spans="1:20" ht="31.5" customHeight="1" x14ac:dyDescent="0.6">
      <c r="A351" s="191"/>
      <c r="B351" s="113"/>
      <c r="C351" s="114"/>
      <c r="D351" s="114"/>
      <c r="E351" s="114"/>
      <c r="F351" s="114"/>
      <c r="G351" s="114"/>
      <c r="H351" s="198"/>
      <c r="Q351" s="83"/>
      <c r="R351" s="83"/>
      <c r="S351" s="104"/>
      <c r="T351" s="112"/>
    </row>
    <row r="352" spans="1:20" ht="31.5" customHeight="1" x14ac:dyDescent="0.6">
      <c r="A352" s="191"/>
      <c r="B352" s="113"/>
      <c r="C352" s="114"/>
      <c r="D352" s="114"/>
      <c r="E352" s="114"/>
      <c r="F352" s="114"/>
      <c r="G352" s="114"/>
      <c r="H352" s="198"/>
      <c r="Q352" s="83"/>
      <c r="R352" s="83"/>
      <c r="S352" s="104"/>
      <c r="T352" s="112"/>
    </row>
    <row r="353" spans="1:20" ht="31.5" customHeight="1" x14ac:dyDescent="0.6">
      <c r="A353" s="191"/>
      <c r="B353" s="113"/>
      <c r="C353" s="114"/>
      <c r="D353" s="114"/>
      <c r="E353" s="114"/>
      <c r="F353" s="114"/>
      <c r="G353" s="114"/>
      <c r="H353" s="198"/>
      <c r="Q353" s="83"/>
      <c r="R353" s="83"/>
      <c r="S353" s="104"/>
      <c r="T353" s="112"/>
    </row>
    <row r="354" spans="1:20" ht="31.5" customHeight="1" x14ac:dyDescent="0.6">
      <c r="A354" s="191"/>
      <c r="B354" s="113"/>
      <c r="C354" s="114"/>
      <c r="D354" s="114"/>
      <c r="E354" s="114"/>
      <c r="F354" s="114"/>
      <c r="G354" s="114"/>
      <c r="H354" s="198"/>
      <c r="Q354" s="83"/>
      <c r="R354" s="83"/>
      <c r="S354" s="104"/>
      <c r="T354" s="112"/>
    </row>
    <row r="355" spans="1:20" ht="31.5" customHeight="1" x14ac:dyDescent="0.6">
      <c r="A355" s="191"/>
      <c r="B355" s="113"/>
      <c r="C355" s="114"/>
      <c r="D355" s="114"/>
      <c r="E355" s="114"/>
      <c r="F355" s="114"/>
      <c r="G355" s="114"/>
      <c r="H355" s="198"/>
      <c r="Q355" s="83"/>
      <c r="R355" s="83"/>
      <c r="S355" s="104"/>
      <c r="T355" s="112"/>
    </row>
    <row r="356" spans="1:20" ht="31.5" customHeight="1" x14ac:dyDescent="0.6">
      <c r="A356" s="191"/>
      <c r="B356" s="113"/>
      <c r="C356" s="114"/>
      <c r="D356" s="114"/>
      <c r="E356" s="114"/>
      <c r="F356" s="114"/>
      <c r="G356" s="114"/>
      <c r="H356" s="198"/>
      <c r="Q356" s="83"/>
      <c r="R356" s="83"/>
      <c r="S356" s="104"/>
      <c r="T356" s="112"/>
    </row>
    <row r="357" spans="1:20" ht="31.5" customHeight="1" x14ac:dyDescent="0.6">
      <c r="A357" s="191"/>
      <c r="B357" s="113"/>
      <c r="C357" s="114"/>
      <c r="D357" s="114"/>
      <c r="E357" s="114"/>
      <c r="F357" s="114"/>
      <c r="G357" s="114"/>
      <c r="H357" s="198"/>
      <c r="Q357" s="83"/>
      <c r="R357" s="83"/>
      <c r="S357" s="104"/>
      <c r="T357" s="112"/>
    </row>
    <row r="358" spans="1:20" ht="31.5" customHeight="1" x14ac:dyDescent="0.6">
      <c r="A358" s="191"/>
      <c r="B358" s="113"/>
      <c r="C358" s="114"/>
      <c r="D358" s="114"/>
      <c r="E358" s="114"/>
      <c r="F358" s="114"/>
      <c r="G358" s="114"/>
      <c r="H358" s="198"/>
      <c r="Q358" s="83"/>
      <c r="R358" s="83"/>
      <c r="S358" s="104"/>
      <c r="T358" s="112"/>
    </row>
    <row r="359" spans="1:20" ht="31.5" customHeight="1" x14ac:dyDescent="0.6">
      <c r="A359" s="191"/>
      <c r="B359" s="113"/>
      <c r="C359" s="114"/>
      <c r="D359" s="114"/>
      <c r="E359" s="114"/>
      <c r="F359" s="114"/>
      <c r="G359" s="114"/>
      <c r="H359" s="198"/>
      <c r="Q359" s="83"/>
      <c r="R359" s="83"/>
      <c r="S359" s="104"/>
      <c r="T359" s="112"/>
    </row>
    <row r="360" spans="1:20" ht="31.5" customHeight="1" x14ac:dyDescent="0.6">
      <c r="A360" s="191"/>
      <c r="B360" s="113"/>
      <c r="C360" s="114"/>
      <c r="D360" s="114"/>
      <c r="E360" s="114"/>
      <c r="F360" s="114"/>
      <c r="G360" s="114"/>
      <c r="H360" s="198"/>
      <c r="Q360" s="83"/>
      <c r="R360" s="83"/>
      <c r="S360" s="104"/>
      <c r="T360" s="112"/>
    </row>
    <row r="361" spans="1:20" ht="31.5" customHeight="1" x14ac:dyDescent="0.6">
      <c r="A361" s="191"/>
      <c r="B361" s="113"/>
      <c r="C361" s="114"/>
      <c r="D361" s="114"/>
      <c r="E361" s="114"/>
      <c r="F361" s="114"/>
      <c r="G361" s="114"/>
      <c r="H361" s="198"/>
      <c r="Q361" s="83"/>
      <c r="R361" s="83"/>
      <c r="S361" s="104"/>
      <c r="T361" s="112"/>
    </row>
    <row r="362" spans="1:20" ht="31.5" customHeight="1" x14ac:dyDescent="0.6">
      <c r="A362" s="191"/>
      <c r="B362" s="113"/>
      <c r="C362" s="114"/>
      <c r="D362" s="114"/>
      <c r="E362" s="114"/>
      <c r="F362" s="114"/>
      <c r="G362" s="114"/>
      <c r="H362" s="198"/>
      <c r="Q362" s="83"/>
      <c r="R362" s="83"/>
      <c r="S362" s="104"/>
      <c r="T362" s="112"/>
    </row>
    <row r="363" spans="1:20" ht="31.5" customHeight="1" x14ac:dyDescent="0.6">
      <c r="A363" s="191"/>
      <c r="B363" s="113"/>
      <c r="C363" s="114"/>
      <c r="D363" s="114"/>
      <c r="E363" s="114"/>
      <c r="F363" s="114"/>
      <c r="G363" s="114"/>
      <c r="H363" s="198"/>
      <c r="Q363" s="83"/>
      <c r="R363" s="83"/>
      <c r="S363" s="104"/>
      <c r="T363" s="112"/>
    </row>
    <row r="364" spans="1:20" ht="31.5" customHeight="1" x14ac:dyDescent="0.6">
      <c r="A364" s="191"/>
      <c r="B364" s="113"/>
      <c r="C364" s="114"/>
      <c r="D364" s="114"/>
      <c r="E364" s="114"/>
      <c r="F364" s="114"/>
      <c r="G364" s="114"/>
      <c r="H364" s="198"/>
      <c r="Q364" s="83"/>
      <c r="R364" s="83"/>
      <c r="S364" s="104"/>
      <c r="T364" s="112"/>
    </row>
    <row r="365" spans="1:20" ht="31.5" customHeight="1" x14ac:dyDescent="0.6">
      <c r="A365" s="191"/>
      <c r="B365" s="113"/>
      <c r="C365" s="114"/>
      <c r="D365" s="114"/>
      <c r="E365" s="114"/>
      <c r="F365" s="114"/>
      <c r="G365" s="114"/>
      <c r="H365" s="198"/>
      <c r="Q365" s="83"/>
      <c r="R365" s="83"/>
      <c r="S365" s="104"/>
      <c r="T365" s="112"/>
    </row>
    <row r="366" spans="1:20" ht="31.5" customHeight="1" x14ac:dyDescent="0.6">
      <c r="A366" s="191"/>
      <c r="B366" s="113"/>
      <c r="C366" s="114"/>
      <c r="D366" s="114"/>
      <c r="E366" s="114"/>
      <c r="F366" s="114"/>
      <c r="G366" s="114"/>
      <c r="H366" s="198"/>
      <c r="Q366" s="83"/>
      <c r="R366" s="83"/>
      <c r="S366" s="104"/>
      <c r="T366" s="112"/>
    </row>
    <row r="367" spans="1:20" ht="31.5" customHeight="1" x14ac:dyDescent="0.6">
      <c r="A367" s="191"/>
      <c r="B367" s="113"/>
      <c r="C367" s="114"/>
      <c r="D367" s="114"/>
      <c r="E367" s="114"/>
      <c r="F367" s="114"/>
      <c r="G367" s="114"/>
      <c r="H367" s="198"/>
      <c r="Q367" s="83"/>
      <c r="R367" s="83"/>
      <c r="S367" s="104"/>
      <c r="T367" s="112"/>
    </row>
    <row r="368" spans="1:20" ht="31.5" customHeight="1" x14ac:dyDescent="0.6">
      <c r="A368" s="191"/>
      <c r="B368" s="113"/>
      <c r="C368" s="114"/>
      <c r="D368" s="114"/>
      <c r="E368" s="114"/>
      <c r="F368" s="114"/>
      <c r="G368" s="114"/>
      <c r="H368" s="198"/>
      <c r="Q368" s="83"/>
      <c r="R368" s="83"/>
      <c r="S368" s="104"/>
      <c r="T368" s="112"/>
    </row>
    <row r="369" spans="1:20" ht="31.5" customHeight="1" x14ac:dyDescent="0.6">
      <c r="A369" s="191"/>
      <c r="B369" s="113"/>
      <c r="C369" s="114"/>
      <c r="D369" s="114"/>
      <c r="E369" s="114"/>
      <c r="F369" s="114"/>
      <c r="G369" s="114"/>
      <c r="H369" s="198"/>
      <c r="Q369" s="83"/>
      <c r="R369" s="83"/>
      <c r="S369" s="104"/>
      <c r="T369" s="112"/>
    </row>
    <row r="370" spans="1:20" ht="31.5" customHeight="1" x14ac:dyDescent="0.6">
      <c r="A370" s="191"/>
      <c r="B370" s="113"/>
      <c r="C370" s="114"/>
      <c r="D370" s="114"/>
      <c r="E370" s="114"/>
      <c r="F370" s="114"/>
      <c r="G370" s="114"/>
      <c r="H370" s="198"/>
      <c r="Q370" s="83"/>
      <c r="R370" s="83"/>
      <c r="S370" s="104"/>
      <c r="T370" s="112"/>
    </row>
    <row r="371" spans="1:20" ht="31.5" customHeight="1" x14ac:dyDescent="0.6">
      <c r="A371" s="191"/>
      <c r="B371" s="113"/>
      <c r="C371" s="114"/>
      <c r="D371" s="114"/>
      <c r="E371" s="114"/>
      <c r="F371" s="114"/>
      <c r="G371" s="114"/>
      <c r="H371" s="198"/>
      <c r="Q371" s="83"/>
      <c r="R371" s="83"/>
      <c r="S371" s="104"/>
      <c r="T371" s="112"/>
    </row>
    <row r="372" spans="1:20" ht="31.5" customHeight="1" x14ac:dyDescent="0.6">
      <c r="A372" s="191"/>
      <c r="B372" s="113"/>
      <c r="C372" s="114"/>
      <c r="D372" s="114"/>
      <c r="E372" s="114"/>
      <c r="F372" s="114"/>
      <c r="G372" s="114"/>
      <c r="H372" s="198"/>
      <c r="Q372" s="83"/>
      <c r="R372" s="83"/>
      <c r="S372" s="104"/>
      <c r="T372" s="112"/>
    </row>
    <row r="373" spans="1:20" ht="31.5" customHeight="1" x14ac:dyDescent="0.6">
      <c r="A373" s="191"/>
      <c r="B373" s="113"/>
      <c r="C373" s="114"/>
      <c r="D373" s="114"/>
      <c r="E373" s="114"/>
      <c r="F373" s="114"/>
      <c r="G373" s="114"/>
      <c r="H373" s="198"/>
      <c r="Q373" s="83"/>
      <c r="R373" s="83"/>
      <c r="S373" s="104"/>
      <c r="T373" s="112"/>
    </row>
    <row r="374" spans="1:20" ht="31.5" customHeight="1" x14ac:dyDescent="0.6">
      <c r="A374" s="191"/>
      <c r="B374" s="113"/>
      <c r="C374" s="114"/>
      <c r="D374" s="114"/>
      <c r="E374" s="114"/>
      <c r="F374" s="114"/>
      <c r="G374" s="114"/>
      <c r="H374" s="198"/>
      <c r="Q374" s="83"/>
      <c r="R374" s="83"/>
      <c r="S374" s="104"/>
      <c r="T374" s="112"/>
    </row>
    <row r="375" spans="1:20" ht="31.5" customHeight="1" x14ac:dyDescent="0.6">
      <c r="A375" s="191"/>
      <c r="B375" s="113"/>
      <c r="C375" s="114"/>
      <c r="D375" s="114"/>
      <c r="E375" s="114"/>
      <c r="F375" s="114"/>
      <c r="G375" s="114"/>
      <c r="H375" s="198"/>
      <c r="Q375" s="83"/>
      <c r="R375" s="83"/>
      <c r="S375" s="104"/>
      <c r="T375" s="112"/>
    </row>
    <row r="376" spans="1:20" ht="31.5" customHeight="1" x14ac:dyDescent="0.6">
      <c r="A376" s="191"/>
      <c r="B376" s="113"/>
      <c r="C376" s="114"/>
      <c r="D376" s="114"/>
      <c r="E376" s="114"/>
      <c r="F376" s="114"/>
      <c r="G376" s="114"/>
      <c r="H376" s="198"/>
      <c r="Q376" s="83"/>
      <c r="R376" s="83"/>
      <c r="S376" s="104"/>
      <c r="T376" s="112"/>
    </row>
    <row r="377" spans="1:20" ht="31.5" customHeight="1" x14ac:dyDescent="0.6">
      <c r="A377" s="191"/>
      <c r="B377" s="113"/>
      <c r="C377" s="114"/>
      <c r="D377" s="114"/>
      <c r="E377" s="114"/>
      <c r="F377" s="114"/>
      <c r="G377" s="114"/>
      <c r="H377" s="198"/>
      <c r="Q377" s="83"/>
      <c r="R377" s="83"/>
      <c r="S377" s="104"/>
      <c r="T377" s="112"/>
    </row>
    <row r="378" spans="1:20" ht="31.5" customHeight="1" x14ac:dyDescent="0.6">
      <c r="A378" s="191"/>
      <c r="B378" s="113"/>
      <c r="C378" s="114"/>
      <c r="D378" s="114"/>
      <c r="E378" s="114"/>
      <c r="F378" s="114"/>
      <c r="G378" s="114"/>
      <c r="H378" s="198"/>
      <c r="Q378" s="83"/>
      <c r="R378" s="83"/>
      <c r="S378" s="104"/>
      <c r="T378" s="112"/>
    </row>
    <row r="379" spans="1:20" ht="31.5" customHeight="1" x14ac:dyDescent="0.6">
      <c r="A379" s="191"/>
      <c r="B379" s="113"/>
      <c r="C379" s="114"/>
      <c r="D379" s="114"/>
      <c r="E379" s="114"/>
      <c r="F379" s="114"/>
      <c r="G379" s="114"/>
      <c r="H379" s="198"/>
      <c r="Q379" s="83"/>
      <c r="R379" s="83"/>
      <c r="S379" s="104"/>
      <c r="T379" s="112"/>
    </row>
    <row r="380" spans="1:20" ht="31.5" customHeight="1" x14ac:dyDescent="0.6">
      <c r="A380" s="191"/>
      <c r="B380" s="113"/>
      <c r="C380" s="114"/>
      <c r="D380" s="114"/>
      <c r="E380" s="114"/>
      <c r="F380" s="114"/>
      <c r="G380" s="114"/>
      <c r="H380" s="198"/>
      <c r="Q380" s="83"/>
      <c r="R380" s="83"/>
      <c r="S380" s="104"/>
      <c r="T380" s="112"/>
    </row>
    <row r="381" spans="1:20" ht="31.5" customHeight="1" x14ac:dyDescent="0.6">
      <c r="A381" s="191"/>
      <c r="B381" s="113"/>
      <c r="C381" s="114"/>
      <c r="D381" s="114"/>
      <c r="E381" s="114"/>
      <c r="F381" s="114"/>
      <c r="G381" s="114"/>
      <c r="H381" s="198"/>
      <c r="Q381" s="83"/>
      <c r="R381" s="83"/>
      <c r="S381" s="104"/>
      <c r="T381" s="112"/>
    </row>
    <row r="382" spans="1:20" ht="31.5" customHeight="1" x14ac:dyDescent="0.6">
      <c r="A382" s="191"/>
      <c r="B382" s="113"/>
      <c r="C382" s="114"/>
      <c r="D382" s="114"/>
      <c r="E382" s="114"/>
      <c r="F382" s="114"/>
      <c r="G382" s="114"/>
      <c r="H382" s="198"/>
      <c r="Q382" s="83"/>
      <c r="R382" s="83"/>
      <c r="S382" s="104"/>
      <c r="T382" s="112"/>
    </row>
    <row r="383" spans="1:20" ht="31.5" customHeight="1" x14ac:dyDescent="0.6">
      <c r="A383" s="191"/>
      <c r="B383" s="113"/>
      <c r="C383" s="114"/>
      <c r="D383" s="114"/>
      <c r="E383" s="114"/>
      <c r="F383" s="114"/>
      <c r="G383" s="114"/>
      <c r="H383" s="198"/>
      <c r="Q383" s="83"/>
      <c r="R383" s="83"/>
      <c r="S383" s="104"/>
      <c r="T383" s="112"/>
    </row>
    <row r="384" spans="1:20" ht="31.5" customHeight="1" x14ac:dyDescent="0.6">
      <c r="A384" s="191"/>
      <c r="B384" s="113"/>
      <c r="C384" s="114"/>
      <c r="D384" s="114"/>
      <c r="E384" s="114"/>
      <c r="F384" s="114"/>
      <c r="G384" s="114"/>
      <c r="H384" s="198"/>
      <c r="Q384" s="83"/>
      <c r="R384" s="83"/>
      <c r="S384" s="104"/>
      <c r="T384" s="112"/>
    </row>
    <row r="385" spans="1:20" ht="31.5" customHeight="1" x14ac:dyDescent="0.6">
      <c r="A385" s="191"/>
      <c r="B385" s="113"/>
      <c r="C385" s="114"/>
      <c r="D385" s="114"/>
      <c r="E385" s="114"/>
      <c r="F385" s="114"/>
      <c r="G385" s="114"/>
      <c r="H385" s="198"/>
      <c r="Q385" s="83"/>
      <c r="R385" s="83"/>
      <c r="S385" s="104"/>
      <c r="T385" s="112"/>
    </row>
    <row r="386" spans="1:20" ht="31.5" customHeight="1" x14ac:dyDescent="0.6">
      <c r="A386" s="191"/>
      <c r="B386" s="113"/>
      <c r="C386" s="114"/>
      <c r="D386" s="114"/>
      <c r="E386" s="114"/>
      <c r="F386" s="114"/>
      <c r="G386" s="114"/>
      <c r="H386" s="198"/>
      <c r="Q386" s="83"/>
      <c r="R386" s="83"/>
      <c r="S386" s="104"/>
      <c r="T386" s="112"/>
    </row>
    <row r="387" spans="1:20" ht="31.5" customHeight="1" x14ac:dyDescent="0.6">
      <c r="A387" s="191"/>
      <c r="B387" s="113"/>
      <c r="C387" s="114"/>
      <c r="D387" s="114"/>
      <c r="E387" s="114"/>
      <c r="F387" s="114"/>
      <c r="G387" s="114"/>
      <c r="H387" s="198"/>
      <c r="Q387" s="83"/>
      <c r="R387" s="83"/>
      <c r="S387" s="104"/>
      <c r="T387" s="112"/>
    </row>
    <row r="388" spans="1:20" ht="31.5" customHeight="1" x14ac:dyDescent="0.6">
      <c r="A388" s="191"/>
      <c r="B388" s="113"/>
      <c r="C388" s="114"/>
      <c r="D388" s="114"/>
      <c r="E388" s="114"/>
      <c r="F388" s="114"/>
      <c r="G388" s="114"/>
      <c r="H388" s="198"/>
      <c r="Q388" s="83"/>
      <c r="R388" s="83"/>
      <c r="S388" s="104"/>
      <c r="T388" s="112"/>
    </row>
    <row r="389" spans="1:20" ht="31.5" customHeight="1" x14ac:dyDescent="0.6">
      <c r="A389" s="191"/>
      <c r="B389" s="113"/>
      <c r="C389" s="114"/>
      <c r="D389" s="114"/>
      <c r="E389" s="114"/>
      <c r="F389" s="114"/>
      <c r="G389" s="114"/>
      <c r="H389" s="198"/>
      <c r="Q389" s="83"/>
      <c r="R389" s="83"/>
      <c r="S389" s="104"/>
      <c r="T389" s="112"/>
    </row>
    <row r="390" spans="1:20" ht="31.5" customHeight="1" x14ac:dyDescent="0.6">
      <c r="A390" s="191"/>
      <c r="B390" s="113"/>
      <c r="C390" s="114"/>
      <c r="D390" s="114"/>
      <c r="E390" s="114"/>
      <c r="F390" s="114"/>
      <c r="G390" s="114"/>
      <c r="H390" s="198"/>
      <c r="Q390" s="83"/>
      <c r="R390" s="83"/>
      <c r="S390" s="104"/>
      <c r="T390" s="112"/>
    </row>
    <row r="391" spans="1:20" ht="31.5" customHeight="1" x14ac:dyDescent="0.6">
      <c r="A391" s="191"/>
      <c r="B391" s="113"/>
      <c r="C391" s="114"/>
      <c r="D391" s="114"/>
      <c r="E391" s="114"/>
      <c r="F391" s="114"/>
      <c r="G391" s="114"/>
      <c r="H391" s="198"/>
      <c r="Q391" s="83"/>
      <c r="R391" s="83"/>
      <c r="S391" s="104"/>
      <c r="T391" s="112"/>
    </row>
    <row r="392" spans="1:20" ht="31.5" customHeight="1" x14ac:dyDescent="0.6">
      <c r="A392" s="191"/>
      <c r="B392" s="113"/>
      <c r="C392" s="114"/>
      <c r="D392" s="114"/>
      <c r="E392" s="114"/>
      <c r="F392" s="114"/>
      <c r="G392" s="114"/>
      <c r="H392" s="198"/>
      <c r="Q392" s="83"/>
      <c r="R392" s="83"/>
      <c r="S392" s="104"/>
      <c r="T392" s="112"/>
    </row>
    <row r="393" spans="1:20" ht="31.5" customHeight="1" x14ac:dyDescent="0.6">
      <c r="A393" s="191"/>
      <c r="B393" s="113"/>
      <c r="C393" s="114"/>
      <c r="D393" s="114"/>
      <c r="E393" s="114"/>
      <c r="F393" s="114"/>
      <c r="G393" s="114"/>
      <c r="H393" s="198"/>
      <c r="Q393" s="83"/>
      <c r="R393" s="83"/>
      <c r="S393" s="104"/>
      <c r="T393" s="112"/>
    </row>
    <row r="394" spans="1:20" ht="31.5" customHeight="1" x14ac:dyDescent="0.6">
      <c r="A394" s="191"/>
      <c r="B394" s="113"/>
      <c r="C394" s="114"/>
      <c r="D394" s="114"/>
      <c r="E394" s="114"/>
      <c r="F394" s="114"/>
      <c r="G394" s="114"/>
      <c r="H394" s="198"/>
      <c r="Q394" s="83"/>
      <c r="R394" s="83"/>
      <c r="S394" s="104"/>
      <c r="T394" s="112"/>
    </row>
    <row r="395" spans="1:20" ht="31.5" customHeight="1" x14ac:dyDescent="0.6">
      <c r="A395" s="191"/>
      <c r="B395" s="113"/>
      <c r="C395" s="114"/>
      <c r="D395" s="114"/>
      <c r="E395" s="114"/>
      <c r="F395" s="114"/>
      <c r="G395" s="114"/>
      <c r="H395" s="198"/>
      <c r="Q395" s="83"/>
      <c r="R395" s="83"/>
      <c r="S395" s="104"/>
      <c r="T395" s="112"/>
    </row>
    <row r="396" spans="1:20" ht="31.5" customHeight="1" x14ac:dyDescent="0.6">
      <c r="A396" s="191"/>
      <c r="B396" s="113"/>
      <c r="C396" s="114"/>
      <c r="D396" s="114"/>
      <c r="E396" s="114"/>
      <c r="F396" s="114"/>
      <c r="G396" s="114"/>
      <c r="H396" s="198"/>
      <c r="Q396" s="83"/>
      <c r="R396" s="83"/>
      <c r="S396" s="104"/>
      <c r="T396" s="112"/>
    </row>
    <row r="397" spans="1:20" ht="31.5" customHeight="1" x14ac:dyDescent="0.6">
      <c r="A397" s="191"/>
      <c r="B397" s="113"/>
      <c r="C397" s="114"/>
      <c r="D397" s="114"/>
      <c r="E397" s="114"/>
      <c r="F397" s="114"/>
      <c r="G397" s="114"/>
      <c r="H397" s="198"/>
      <c r="Q397" s="83"/>
      <c r="R397" s="83"/>
      <c r="S397" s="104"/>
      <c r="T397" s="112"/>
    </row>
    <row r="398" spans="1:20" ht="31.5" customHeight="1" x14ac:dyDescent="0.6">
      <c r="A398" s="191"/>
      <c r="B398" s="113"/>
      <c r="C398" s="114"/>
      <c r="D398" s="114"/>
      <c r="E398" s="114"/>
      <c r="F398" s="114"/>
      <c r="G398" s="114"/>
      <c r="H398" s="198"/>
      <c r="Q398" s="83"/>
      <c r="R398" s="83"/>
      <c r="S398" s="104"/>
      <c r="T398" s="112"/>
    </row>
    <row r="399" spans="1:20" ht="31.5" customHeight="1" x14ac:dyDescent="0.6">
      <c r="A399" s="191"/>
      <c r="B399" s="113"/>
      <c r="C399" s="114"/>
      <c r="D399" s="114"/>
      <c r="E399" s="114"/>
      <c r="F399" s="114"/>
      <c r="G399" s="114"/>
      <c r="H399" s="198"/>
      <c r="Q399" s="83"/>
      <c r="R399" s="83"/>
      <c r="S399" s="104"/>
      <c r="T399" s="112"/>
    </row>
    <row r="400" spans="1:20" ht="31.5" customHeight="1" x14ac:dyDescent="0.6">
      <c r="A400" s="191"/>
      <c r="B400" s="113"/>
      <c r="C400" s="114"/>
      <c r="D400" s="114"/>
      <c r="E400" s="114"/>
      <c r="F400" s="114"/>
      <c r="G400" s="114"/>
      <c r="H400" s="198"/>
      <c r="Q400" s="83"/>
      <c r="R400" s="83"/>
      <c r="S400" s="104"/>
      <c r="T400" s="112"/>
    </row>
    <row r="401" spans="1:20" ht="31.5" customHeight="1" x14ac:dyDescent="0.6">
      <c r="A401" s="191"/>
      <c r="B401" s="113"/>
      <c r="C401" s="114"/>
      <c r="D401" s="114"/>
      <c r="E401" s="114"/>
      <c r="F401" s="114"/>
      <c r="G401" s="114"/>
      <c r="H401" s="198"/>
      <c r="Q401" s="83"/>
      <c r="R401" s="83"/>
      <c r="S401" s="104"/>
      <c r="T401" s="112"/>
    </row>
    <row r="402" spans="1:20" ht="31.5" customHeight="1" x14ac:dyDescent="0.6">
      <c r="A402" s="191"/>
      <c r="B402" s="113"/>
      <c r="C402" s="114"/>
      <c r="D402" s="114"/>
      <c r="E402" s="114"/>
      <c r="F402" s="114"/>
      <c r="G402" s="114"/>
      <c r="H402" s="198"/>
      <c r="Q402" s="83"/>
      <c r="R402" s="83"/>
      <c r="S402" s="104"/>
      <c r="T402" s="112"/>
    </row>
    <row r="403" spans="1:20" ht="31.5" customHeight="1" x14ac:dyDescent="0.6">
      <c r="A403" s="191"/>
      <c r="B403" s="113"/>
      <c r="C403" s="114"/>
      <c r="D403" s="114"/>
      <c r="E403" s="114"/>
      <c r="F403" s="114"/>
      <c r="G403" s="114"/>
      <c r="H403" s="198"/>
      <c r="Q403" s="83"/>
      <c r="R403" s="83"/>
      <c r="S403" s="104"/>
      <c r="T403" s="112"/>
    </row>
    <row r="404" spans="1:20" ht="31.5" customHeight="1" x14ac:dyDescent="0.6">
      <c r="A404" s="191"/>
      <c r="B404" s="113"/>
      <c r="C404" s="114"/>
      <c r="D404" s="114"/>
      <c r="E404" s="114"/>
      <c r="F404" s="114"/>
      <c r="G404" s="114"/>
      <c r="H404" s="198"/>
      <c r="Q404" s="83"/>
      <c r="R404" s="83"/>
      <c r="S404" s="104"/>
      <c r="T404" s="112"/>
    </row>
    <row r="405" spans="1:20" ht="31.5" customHeight="1" x14ac:dyDescent="0.6">
      <c r="A405" s="191"/>
      <c r="B405" s="113"/>
      <c r="C405" s="114"/>
      <c r="D405" s="114"/>
      <c r="E405" s="114"/>
      <c r="F405" s="114"/>
      <c r="G405" s="114"/>
      <c r="H405" s="198"/>
      <c r="Q405" s="83"/>
      <c r="R405" s="83"/>
      <c r="S405" s="104"/>
      <c r="T405" s="112"/>
    </row>
    <row r="406" spans="1:20" ht="31.5" customHeight="1" x14ac:dyDescent="0.6">
      <c r="A406" s="191"/>
      <c r="B406" s="113"/>
      <c r="C406" s="114"/>
      <c r="D406" s="114"/>
      <c r="E406" s="114"/>
      <c r="F406" s="114"/>
      <c r="G406" s="114"/>
      <c r="H406" s="198"/>
      <c r="Q406" s="83"/>
      <c r="R406" s="83"/>
      <c r="S406" s="104"/>
      <c r="T406" s="112"/>
    </row>
    <row r="407" spans="1:20" ht="31.5" customHeight="1" x14ac:dyDescent="0.6">
      <c r="A407" s="191"/>
      <c r="B407" s="113"/>
      <c r="C407" s="114"/>
      <c r="D407" s="114"/>
      <c r="E407" s="114"/>
      <c r="F407" s="114"/>
      <c r="G407" s="114"/>
      <c r="H407" s="198"/>
      <c r="Q407" s="83"/>
      <c r="R407" s="83"/>
      <c r="S407" s="104"/>
      <c r="T407" s="112"/>
    </row>
    <row r="408" spans="1:20" ht="31.5" customHeight="1" x14ac:dyDescent="0.6">
      <c r="A408" s="191"/>
      <c r="B408" s="113"/>
      <c r="C408" s="114"/>
      <c r="D408" s="114"/>
      <c r="E408" s="114"/>
      <c r="F408" s="114"/>
      <c r="G408" s="114"/>
      <c r="H408" s="198"/>
      <c r="Q408" s="83"/>
      <c r="R408" s="83"/>
      <c r="S408" s="104"/>
      <c r="T408" s="112"/>
    </row>
    <row r="409" spans="1:20" ht="31.5" customHeight="1" x14ac:dyDescent="0.6">
      <c r="A409" s="191"/>
      <c r="B409" s="113"/>
      <c r="C409" s="114"/>
      <c r="D409" s="114"/>
      <c r="E409" s="114"/>
      <c r="F409" s="114"/>
      <c r="G409" s="114"/>
      <c r="H409" s="198"/>
      <c r="Q409" s="83"/>
      <c r="R409" s="83"/>
      <c r="S409" s="104"/>
      <c r="T409" s="112"/>
    </row>
    <row r="410" spans="1:20" ht="31.5" customHeight="1" x14ac:dyDescent="0.6">
      <c r="A410" s="191"/>
      <c r="B410" s="113"/>
      <c r="C410" s="114"/>
      <c r="D410" s="114"/>
      <c r="E410" s="114"/>
      <c r="F410" s="114"/>
      <c r="G410" s="114"/>
      <c r="H410" s="198"/>
      <c r="Q410" s="83"/>
      <c r="R410" s="83"/>
      <c r="S410" s="104"/>
      <c r="T410" s="112"/>
    </row>
    <row r="411" spans="1:20" ht="31.5" customHeight="1" x14ac:dyDescent="0.6">
      <c r="A411" s="191"/>
      <c r="B411" s="113"/>
      <c r="C411" s="114"/>
      <c r="D411" s="114"/>
      <c r="E411" s="114"/>
      <c r="F411" s="114"/>
      <c r="G411" s="114"/>
      <c r="H411" s="198"/>
      <c r="Q411" s="83"/>
      <c r="R411" s="83"/>
      <c r="S411" s="104"/>
      <c r="T411" s="112"/>
    </row>
    <row r="412" spans="1:20" ht="31.5" customHeight="1" x14ac:dyDescent="0.6">
      <c r="A412" s="191"/>
      <c r="B412" s="113"/>
      <c r="C412" s="114"/>
      <c r="D412" s="114"/>
      <c r="E412" s="114"/>
      <c r="F412" s="114"/>
      <c r="G412" s="114"/>
      <c r="H412" s="198"/>
      <c r="Q412" s="83"/>
      <c r="R412" s="83"/>
      <c r="S412" s="104"/>
      <c r="T412" s="112"/>
    </row>
    <row r="413" spans="1:20" ht="31.5" customHeight="1" x14ac:dyDescent="0.6">
      <c r="A413" s="191"/>
      <c r="B413" s="113"/>
      <c r="C413" s="114"/>
      <c r="D413" s="114"/>
      <c r="E413" s="114"/>
      <c r="F413" s="114"/>
      <c r="G413" s="114"/>
      <c r="H413" s="198"/>
      <c r="Q413" s="83"/>
      <c r="R413" s="83"/>
      <c r="S413" s="104"/>
      <c r="T413" s="112"/>
    </row>
    <row r="414" spans="1:20" ht="31.5" customHeight="1" x14ac:dyDescent="0.6">
      <c r="A414" s="191"/>
      <c r="B414" s="113"/>
      <c r="C414" s="114"/>
      <c r="D414" s="114"/>
      <c r="E414" s="114"/>
      <c r="F414" s="114"/>
      <c r="G414" s="114"/>
      <c r="H414" s="198"/>
      <c r="Q414" s="83"/>
      <c r="R414" s="83"/>
      <c r="S414" s="104"/>
      <c r="T414" s="112"/>
    </row>
    <row r="415" spans="1:20" ht="31.5" customHeight="1" x14ac:dyDescent="0.6">
      <c r="A415" s="191"/>
      <c r="B415" s="113"/>
      <c r="C415" s="114"/>
      <c r="D415" s="114"/>
      <c r="E415" s="114"/>
      <c r="F415" s="114"/>
      <c r="G415" s="114"/>
      <c r="H415" s="198"/>
      <c r="Q415" s="83"/>
      <c r="R415" s="83"/>
      <c r="S415" s="104"/>
      <c r="T415" s="112"/>
    </row>
    <row r="416" spans="1:20" ht="31.5" customHeight="1" x14ac:dyDescent="0.6">
      <c r="A416" s="191"/>
      <c r="B416" s="113"/>
      <c r="C416" s="114"/>
      <c r="D416" s="114"/>
      <c r="E416" s="114"/>
      <c r="F416" s="114"/>
      <c r="G416" s="114"/>
      <c r="H416" s="198"/>
      <c r="Q416" s="83"/>
      <c r="R416" s="83"/>
      <c r="S416" s="104"/>
      <c r="T416" s="112"/>
    </row>
    <row r="417" spans="1:20" ht="31.5" customHeight="1" x14ac:dyDescent="0.6">
      <c r="A417" s="191"/>
      <c r="B417" s="113"/>
      <c r="C417" s="114"/>
      <c r="D417" s="114"/>
      <c r="E417" s="114"/>
      <c r="F417" s="114"/>
      <c r="G417" s="114"/>
      <c r="H417" s="198"/>
      <c r="Q417" s="83"/>
      <c r="R417" s="83"/>
      <c r="S417" s="104"/>
      <c r="T417" s="112"/>
    </row>
    <row r="418" spans="1:20" ht="31.5" customHeight="1" x14ac:dyDescent="0.6">
      <c r="A418" s="191"/>
      <c r="B418" s="113"/>
      <c r="C418" s="114"/>
      <c r="D418" s="114"/>
      <c r="E418" s="114"/>
      <c r="F418" s="114"/>
      <c r="G418" s="114"/>
      <c r="H418" s="198"/>
      <c r="Q418" s="83"/>
      <c r="R418" s="83"/>
      <c r="S418" s="104"/>
      <c r="T418" s="112"/>
    </row>
    <row r="419" spans="1:20" ht="31.5" customHeight="1" x14ac:dyDescent="0.6">
      <c r="A419" s="191"/>
      <c r="B419" s="113"/>
      <c r="C419" s="114"/>
      <c r="D419" s="114"/>
      <c r="E419" s="114"/>
      <c r="F419" s="114"/>
      <c r="G419" s="114"/>
      <c r="H419" s="198"/>
      <c r="Q419" s="83"/>
      <c r="R419" s="83"/>
      <c r="S419" s="104"/>
      <c r="T419" s="112"/>
    </row>
    <row r="420" spans="1:20" ht="31.5" customHeight="1" x14ac:dyDescent="0.6">
      <c r="A420" s="191"/>
      <c r="B420" s="113"/>
      <c r="C420" s="114"/>
      <c r="D420" s="114"/>
      <c r="E420" s="114"/>
      <c r="F420" s="114"/>
      <c r="G420" s="114"/>
      <c r="H420" s="198"/>
      <c r="Q420" s="83"/>
      <c r="R420" s="83"/>
      <c r="S420" s="104"/>
      <c r="T420" s="112"/>
    </row>
    <row r="421" spans="1:20" ht="31.5" customHeight="1" x14ac:dyDescent="0.6">
      <c r="A421" s="191"/>
      <c r="B421" s="113"/>
      <c r="C421" s="114"/>
      <c r="D421" s="114"/>
      <c r="E421" s="114"/>
      <c r="F421" s="114"/>
      <c r="G421" s="114"/>
      <c r="H421" s="198"/>
      <c r="Q421" s="83"/>
      <c r="R421" s="83"/>
      <c r="S421" s="104"/>
      <c r="T421" s="112"/>
    </row>
    <row r="422" spans="1:20" ht="31.5" customHeight="1" x14ac:dyDescent="0.6">
      <c r="A422" s="191"/>
      <c r="B422" s="113"/>
      <c r="E422" s="105"/>
      <c r="F422" s="105"/>
      <c r="G422" s="105"/>
      <c r="H422" s="199"/>
      <c r="Q422" s="83"/>
      <c r="R422" s="83"/>
      <c r="S422" s="104"/>
      <c r="T422" s="112"/>
    </row>
    <row r="423" spans="1:20" ht="31.5" customHeight="1" x14ac:dyDescent="0.6">
      <c r="A423" s="191"/>
      <c r="B423" s="113"/>
      <c r="E423" s="105"/>
      <c r="F423" s="105"/>
      <c r="G423" s="105"/>
      <c r="H423" s="199"/>
      <c r="Q423" s="83"/>
      <c r="R423" s="83"/>
      <c r="S423" s="104"/>
      <c r="T423" s="112"/>
    </row>
    <row r="424" spans="1:20" ht="31.5" customHeight="1" x14ac:dyDescent="0.6">
      <c r="A424" s="191"/>
      <c r="E424" s="105"/>
      <c r="F424" s="105"/>
      <c r="G424" s="105"/>
      <c r="H424" s="199"/>
      <c r="Q424" s="83"/>
      <c r="R424" s="83"/>
      <c r="S424" s="104"/>
      <c r="T424" s="112"/>
    </row>
    <row r="425" spans="1:20" ht="31.5" customHeight="1" x14ac:dyDescent="0.6">
      <c r="A425" s="191"/>
      <c r="E425" s="105"/>
      <c r="F425" s="105"/>
      <c r="G425" s="105"/>
      <c r="H425" s="199"/>
      <c r="Q425" s="83"/>
      <c r="R425" s="83"/>
      <c r="S425" s="104"/>
      <c r="T425" s="112"/>
    </row>
    <row r="426" spans="1:20" ht="31.5" customHeight="1" x14ac:dyDescent="0.6">
      <c r="A426" s="191"/>
      <c r="E426" s="105"/>
      <c r="F426" s="105"/>
      <c r="G426" s="105"/>
      <c r="H426" s="199"/>
      <c r="Q426" s="83"/>
      <c r="R426" s="83"/>
      <c r="S426" s="104"/>
      <c r="T426" s="112"/>
    </row>
    <row r="427" spans="1:20" ht="31.5" customHeight="1" x14ac:dyDescent="0.6">
      <c r="A427" s="191"/>
      <c r="E427" s="105"/>
      <c r="F427" s="105"/>
      <c r="G427" s="105"/>
      <c r="H427" s="199"/>
      <c r="Q427" s="83"/>
      <c r="R427" s="83"/>
      <c r="S427" s="104"/>
      <c r="T427" s="112"/>
    </row>
    <row r="428" spans="1:20" ht="31.5" customHeight="1" x14ac:dyDescent="0.6">
      <c r="A428" s="191"/>
      <c r="E428" s="105"/>
      <c r="F428" s="105"/>
      <c r="G428" s="105"/>
      <c r="H428" s="199"/>
      <c r="Q428" s="83"/>
      <c r="R428" s="83"/>
      <c r="S428" s="104"/>
      <c r="T428" s="112"/>
    </row>
    <row r="429" spans="1:20" ht="31.5" customHeight="1" x14ac:dyDescent="0.6">
      <c r="A429" s="191"/>
      <c r="E429" s="105"/>
      <c r="F429" s="105"/>
      <c r="G429" s="105"/>
      <c r="H429" s="199"/>
      <c r="Q429" s="83"/>
      <c r="R429" s="83"/>
      <c r="S429" s="104"/>
      <c r="T429" s="112"/>
    </row>
    <row r="430" spans="1:20" ht="31.5" customHeight="1" x14ac:dyDescent="0.6">
      <c r="A430" s="191"/>
      <c r="E430" s="105"/>
      <c r="F430" s="105"/>
      <c r="G430" s="105"/>
      <c r="H430" s="199"/>
      <c r="Q430" s="83"/>
      <c r="R430" s="83"/>
      <c r="S430" s="104"/>
      <c r="T430" s="112"/>
    </row>
    <row r="431" spans="1:20" ht="31.5" customHeight="1" x14ac:dyDescent="0.6">
      <c r="A431" s="191"/>
      <c r="E431" s="105"/>
      <c r="F431" s="105"/>
      <c r="G431" s="105"/>
      <c r="H431" s="199"/>
      <c r="Q431" s="83"/>
      <c r="R431" s="83"/>
      <c r="S431" s="104"/>
      <c r="T431" s="112"/>
    </row>
    <row r="432" spans="1:20" ht="31.5" customHeight="1" x14ac:dyDescent="0.6">
      <c r="A432" s="191"/>
      <c r="E432" s="105"/>
      <c r="F432" s="105"/>
      <c r="G432" s="105"/>
      <c r="H432" s="199"/>
      <c r="Q432" s="83"/>
      <c r="R432" s="83"/>
      <c r="S432" s="104"/>
      <c r="T432" s="112"/>
    </row>
    <row r="433" spans="1:20" ht="31.5" customHeight="1" x14ac:dyDescent="0.6">
      <c r="A433" s="191"/>
      <c r="E433" s="105"/>
      <c r="F433" s="105"/>
      <c r="G433" s="105"/>
      <c r="H433" s="199"/>
      <c r="Q433" s="83"/>
      <c r="R433" s="83"/>
      <c r="S433" s="104"/>
      <c r="T433" s="112"/>
    </row>
    <row r="434" spans="1:20" ht="31.5" customHeight="1" x14ac:dyDescent="0.6">
      <c r="A434" s="191"/>
      <c r="E434" s="105"/>
      <c r="F434" s="105"/>
      <c r="G434" s="105"/>
      <c r="H434" s="199"/>
      <c r="Q434" s="83"/>
      <c r="R434" s="83"/>
      <c r="S434" s="104"/>
      <c r="T434" s="112"/>
    </row>
    <row r="435" spans="1:20" ht="31.5" customHeight="1" x14ac:dyDescent="0.6">
      <c r="A435" s="191"/>
      <c r="E435" s="105"/>
      <c r="F435" s="105"/>
      <c r="G435" s="105"/>
      <c r="H435" s="199"/>
      <c r="Q435" s="83"/>
      <c r="R435" s="83"/>
      <c r="S435" s="104"/>
      <c r="T435" s="112"/>
    </row>
    <row r="436" spans="1:20" ht="31.5" customHeight="1" x14ac:dyDescent="0.6">
      <c r="A436" s="191"/>
      <c r="E436" s="105"/>
      <c r="F436" s="105"/>
      <c r="G436" s="105"/>
      <c r="H436" s="199"/>
      <c r="Q436" s="83"/>
      <c r="R436" s="83"/>
      <c r="S436" s="104"/>
      <c r="T436" s="112"/>
    </row>
    <row r="437" spans="1:20" ht="31.5" customHeight="1" x14ac:dyDescent="0.6">
      <c r="A437" s="191"/>
      <c r="E437" s="105"/>
      <c r="F437" s="105"/>
      <c r="G437" s="105"/>
      <c r="H437" s="199"/>
      <c r="Q437" s="83"/>
      <c r="R437" s="83"/>
      <c r="S437" s="104"/>
      <c r="T437" s="112"/>
    </row>
    <row r="438" spans="1:20" ht="31.5" customHeight="1" x14ac:dyDescent="0.6">
      <c r="A438" s="191"/>
      <c r="E438" s="105"/>
      <c r="F438" s="105"/>
      <c r="G438" s="105"/>
      <c r="H438" s="199"/>
      <c r="Q438" s="83"/>
      <c r="R438" s="83"/>
      <c r="S438" s="104"/>
      <c r="T438" s="112"/>
    </row>
    <row r="439" spans="1:20" ht="31.5" customHeight="1" x14ac:dyDescent="0.6">
      <c r="A439" s="191"/>
      <c r="E439" s="105"/>
      <c r="F439" s="105"/>
      <c r="G439" s="105"/>
      <c r="H439" s="199"/>
      <c r="Q439" s="83"/>
      <c r="R439" s="83"/>
      <c r="S439" s="104"/>
      <c r="T439" s="112"/>
    </row>
    <row r="440" spans="1:20" ht="31.5" customHeight="1" x14ac:dyDescent="0.6">
      <c r="A440" s="191"/>
      <c r="E440" s="105"/>
      <c r="F440" s="105"/>
      <c r="G440" s="105"/>
      <c r="H440" s="199"/>
      <c r="Q440" s="83"/>
      <c r="R440" s="83"/>
      <c r="S440" s="104"/>
      <c r="T440" s="112"/>
    </row>
    <row r="441" spans="1:20" ht="31.5" customHeight="1" x14ac:dyDescent="0.6">
      <c r="A441" s="191"/>
      <c r="E441" s="105"/>
      <c r="F441" s="105"/>
      <c r="G441" s="105"/>
      <c r="H441" s="199"/>
      <c r="Q441" s="83"/>
      <c r="R441" s="83"/>
      <c r="S441" s="104"/>
      <c r="T441" s="112"/>
    </row>
    <row r="442" spans="1:20" ht="31.5" customHeight="1" x14ac:dyDescent="0.6">
      <c r="A442" s="191"/>
      <c r="E442" s="105"/>
      <c r="F442" s="105"/>
      <c r="G442" s="105"/>
      <c r="H442" s="199"/>
      <c r="Q442" s="83"/>
      <c r="R442" s="83"/>
      <c r="S442" s="104"/>
      <c r="T442" s="112"/>
    </row>
    <row r="443" spans="1:20" ht="31.5" customHeight="1" x14ac:dyDescent="0.6">
      <c r="A443" s="191"/>
      <c r="E443" s="105"/>
      <c r="F443" s="105"/>
      <c r="G443" s="105"/>
      <c r="H443" s="199"/>
      <c r="Q443" s="83"/>
      <c r="R443" s="83"/>
      <c r="S443" s="104"/>
      <c r="T443" s="112"/>
    </row>
    <row r="444" spans="1:20" ht="31.5" customHeight="1" x14ac:dyDescent="0.6">
      <c r="A444" s="191"/>
      <c r="E444" s="105"/>
      <c r="F444" s="105"/>
      <c r="G444" s="105"/>
      <c r="H444" s="199"/>
      <c r="Q444" s="83"/>
      <c r="R444" s="83"/>
      <c r="S444" s="104"/>
      <c r="T444" s="112"/>
    </row>
    <row r="445" spans="1:20" ht="31.5" customHeight="1" x14ac:dyDescent="0.6">
      <c r="A445" s="191"/>
      <c r="E445" s="105"/>
      <c r="F445" s="105"/>
      <c r="G445" s="105"/>
      <c r="H445" s="199"/>
      <c r="Q445" s="83"/>
      <c r="R445" s="83"/>
      <c r="S445" s="104"/>
      <c r="T445" s="112"/>
    </row>
    <row r="446" spans="1:20" ht="31.5" customHeight="1" x14ac:dyDescent="0.6">
      <c r="A446" s="191"/>
      <c r="E446" s="105"/>
      <c r="F446" s="105"/>
      <c r="G446" s="105"/>
      <c r="H446" s="199"/>
      <c r="Q446" s="83"/>
      <c r="R446" s="83"/>
      <c r="S446" s="104"/>
      <c r="T446" s="112"/>
    </row>
    <row r="447" spans="1:20" ht="31.5" customHeight="1" x14ac:dyDescent="0.6">
      <c r="A447" s="191"/>
      <c r="E447" s="105"/>
      <c r="F447" s="105"/>
      <c r="G447" s="105"/>
      <c r="H447" s="199"/>
      <c r="Q447" s="83"/>
      <c r="R447" s="83"/>
      <c r="S447" s="104"/>
      <c r="T447" s="112"/>
    </row>
    <row r="448" spans="1:20" ht="31.5" customHeight="1" x14ac:dyDescent="0.6">
      <c r="A448" s="191"/>
      <c r="E448" s="105"/>
      <c r="F448" s="105"/>
      <c r="G448" s="105"/>
      <c r="H448" s="199"/>
      <c r="Q448" s="83"/>
      <c r="R448" s="83"/>
      <c r="S448" s="104"/>
      <c r="T448" s="112"/>
    </row>
    <row r="449" spans="1:20" ht="31.5" customHeight="1" x14ac:dyDescent="0.6">
      <c r="A449" s="191"/>
      <c r="E449" s="105"/>
      <c r="F449" s="105"/>
      <c r="G449" s="105"/>
      <c r="H449" s="199"/>
      <c r="Q449" s="83"/>
      <c r="R449" s="83"/>
      <c r="S449" s="104"/>
      <c r="T449" s="112"/>
    </row>
    <row r="450" spans="1:20" ht="31.5" customHeight="1" x14ac:dyDescent="0.6">
      <c r="A450" s="191"/>
      <c r="E450" s="105"/>
      <c r="F450" s="105"/>
      <c r="G450" s="105"/>
      <c r="H450" s="199"/>
      <c r="Q450" s="83"/>
      <c r="R450" s="83"/>
      <c r="S450" s="104"/>
      <c r="T450" s="112"/>
    </row>
    <row r="451" spans="1:20" ht="31.5" customHeight="1" x14ac:dyDescent="0.6">
      <c r="A451" s="191"/>
      <c r="E451" s="105"/>
      <c r="F451" s="105"/>
      <c r="G451" s="105"/>
      <c r="H451" s="199"/>
      <c r="Q451" s="83"/>
      <c r="R451" s="83"/>
      <c r="S451" s="104"/>
      <c r="T451" s="112"/>
    </row>
    <row r="452" spans="1:20" ht="31.5" customHeight="1" x14ac:dyDescent="0.6">
      <c r="A452" s="191"/>
      <c r="E452" s="105"/>
      <c r="F452" s="105"/>
      <c r="G452" s="105"/>
      <c r="H452" s="199"/>
      <c r="Q452" s="83"/>
      <c r="R452" s="83"/>
      <c r="S452" s="104"/>
      <c r="T452" s="112"/>
    </row>
    <row r="453" spans="1:20" ht="31.5" customHeight="1" x14ac:dyDescent="0.6">
      <c r="A453" s="191"/>
      <c r="E453" s="105"/>
      <c r="F453" s="105"/>
      <c r="G453" s="105"/>
      <c r="H453" s="199"/>
      <c r="Q453" s="83"/>
      <c r="R453" s="83"/>
      <c r="S453" s="104"/>
      <c r="T453" s="112"/>
    </row>
    <row r="454" spans="1:20" ht="31.5" customHeight="1" x14ac:dyDescent="0.6">
      <c r="A454" s="191"/>
      <c r="E454" s="105"/>
      <c r="F454" s="105"/>
      <c r="G454" s="105"/>
      <c r="H454" s="199"/>
      <c r="Q454" s="83"/>
      <c r="R454" s="83"/>
      <c r="S454" s="104"/>
      <c r="T454" s="112"/>
    </row>
    <row r="455" spans="1:20" ht="31.5" customHeight="1" x14ac:dyDescent="0.6">
      <c r="A455" s="191"/>
      <c r="E455" s="105"/>
      <c r="F455" s="105"/>
      <c r="G455" s="105"/>
      <c r="H455" s="199"/>
      <c r="Q455" s="83"/>
      <c r="R455" s="83"/>
      <c r="S455" s="104"/>
      <c r="T455" s="112"/>
    </row>
    <row r="456" spans="1:20" ht="31.5" customHeight="1" x14ac:dyDescent="0.6">
      <c r="A456" s="191"/>
      <c r="E456" s="105"/>
      <c r="F456" s="105"/>
      <c r="G456" s="105"/>
      <c r="H456" s="199"/>
      <c r="Q456" s="83"/>
      <c r="R456" s="83"/>
      <c r="S456" s="104"/>
      <c r="T456" s="112"/>
    </row>
    <row r="457" spans="1:20" ht="31.5" customHeight="1" x14ac:dyDescent="0.6">
      <c r="A457" s="191"/>
      <c r="E457" s="105"/>
      <c r="F457" s="105"/>
      <c r="G457" s="105"/>
      <c r="H457" s="199"/>
      <c r="Q457" s="83"/>
      <c r="R457" s="83"/>
      <c r="S457" s="104"/>
      <c r="T457" s="112"/>
    </row>
    <row r="458" spans="1:20" ht="31.5" customHeight="1" x14ac:dyDescent="0.6">
      <c r="A458" s="191"/>
      <c r="E458" s="105"/>
      <c r="F458" s="105"/>
      <c r="G458" s="105"/>
      <c r="H458" s="199"/>
      <c r="Q458" s="83"/>
      <c r="R458" s="83"/>
      <c r="S458" s="104"/>
      <c r="T458" s="112"/>
    </row>
    <row r="459" spans="1:20" ht="31.5" customHeight="1" x14ac:dyDescent="0.6">
      <c r="A459" s="191"/>
      <c r="E459" s="105"/>
      <c r="F459" s="105"/>
      <c r="G459" s="105"/>
      <c r="H459" s="199"/>
      <c r="Q459" s="83"/>
      <c r="R459" s="83"/>
      <c r="S459" s="104"/>
      <c r="T459" s="112"/>
    </row>
    <row r="460" spans="1:20" ht="31.5" customHeight="1" x14ac:dyDescent="0.6">
      <c r="A460" s="191"/>
      <c r="E460" s="105"/>
      <c r="F460" s="105"/>
      <c r="G460" s="105"/>
      <c r="H460" s="199"/>
      <c r="Q460" s="83"/>
      <c r="R460" s="83"/>
      <c r="S460" s="104"/>
      <c r="T460" s="112"/>
    </row>
    <row r="461" spans="1:20" ht="31.5" customHeight="1" x14ac:dyDescent="0.6">
      <c r="A461" s="191"/>
      <c r="E461" s="105"/>
      <c r="F461" s="105"/>
      <c r="G461" s="105"/>
      <c r="H461" s="199"/>
      <c r="Q461" s="83"/>
      <c r="R461" s="83"/>
      <c r="S461" s="104"/>
      <c r="T461" s="112"/>
    </row>
    <row r="462" spans="1:20" ht="31.5" customHeight="1" x14ac:dyDescent="0.6">
      <c r="A462" s="191"/>
      <c r="E462" s="105"/>
      <c r="F462" s="105"/>
      <c r="G462" s="105"/>
      <c r="H462" s="199"/>
      <c r="Q462" s="83"/>
      <c r="R462" s="83"/>
      <c r="S462" s="104"/>
      <c r="T462" s="112"/>
    </row>
    <row r="463" spans="1:20" ht="31.5" customHeight="1" x14ac:dyDescent="0.6">
      <c r="A463" s="191"/>
      <c r="E463" s="105"/>
      <c r="F463" s="105"/>
      <c r="G463" s="105"/>
      <c r="H463" s="199"/>
      <c r="Q463" s="83"/>
      <c r="R463" s="83"/>
      <c r="S463" s="104"/>
      <c r="T463" s="112"/>
    </row>
    <row r="464" spans="1:20" ht="31.5" customHeight="1" x14ac:dyDescent="0.6">
      <c r="A464" s="191"/>
      <c r="E464" s="105"/>
      <c r="F464" s="105"/>
      <c r="G464" s="105"/>
      <c r="H464" s="199"/>
      <c r="Q464" s="83"/>
      <c r="R464" s="83"/>
      <c r="S464" s="104"/>
      <c r="T464" s="112"/>
    </row>
    <row r="465" spans="1:20" ht="31.5" customHeight="1" x14ac:dyDescent="0.6">
      <c r="A465" s="191"/>
      <c r="E465" s="105"/>
      <c r="F465" s="105"/>
      <c r="G465" s="105"/>
      <c r="H465" s="199"/>
      <c r="Q465" s="83"/>
      <c r="R465" s="83"/>
      <c r="S465" s="104"/>
      <c r="T465" s="112"/>
    </row>
    <row r="466" spans="1:20" ht="31.5" customHeight="1" x14ac:dyDescent="0.6">
      <c r="A466" s="191"/>
      <c r="E466" s="105"/>
      <c r="F466" s="105"/>
      <c r="G466" s="105"/>
      <c r="H466" s="199"/>
      <c r="Q466" s="83"/>
      <c r="R466" s="83"/>
      <c r="S466" s="104"/>
      <c r="T466" s="112"/>
    </row>
    <row r="467" spans="1:20" ht="31.5" customHeight="1" x14ac:dyDescent="0.6">
      <c r="A467" s="191"/>
      <c r="E467" s="105"/>
      <c r="F467" s="105"/>
      <c r="G467" s="105"/>
      <c r="H467" s="199"/>
      <c r="Q467" s="83"/>
      <c r="R467" s="83"/>
      <c r="S467" s="104"/>
      <c r="T467" s="112"/>
    </row>
    <row r="468" spans="1:20" ht="31.5" customHeight="1" x14ac:dyDescent="0.6">
      <c r="A468" s="191"/>
      <c r="E468" s="105"/>
      <c r="F468" s="105"/>
      <c r="G468" s="105"/>
      <c r="H468" s="199"/>
      <c r="Q468" s="83"/>
      <c r="R468" s="83"/>
      <c r="S468" s="104"/>
      <c r="T468" s="112"/>
    </row>
    <row r="469" spans="1:20" ht="31.5" customHeight="1" x14ac:dyDescent="0.6">
      <c r="A469" s="191"/>
      <c r="E469" s="105"/>
      <c r="F469" s="105"/>
      <c r="G469" s="105"/>
      <c r="H469" s="199"/>
      <c r="Q469" s="83"/>
      <c r="R469" s="83"/>
      <c r="S469" s="104"/>
      <c r="T469" s="112"/>
    </row>
    <row r="470" spans="1:20" ht="31.5" customHeight="1" x14ac:dyDescent="0.6">
      <c r="A470" s="191"/>
      <c r="E470" s="105"/>
      <c r="F470" s="105"/>
      <c r="G470" s="105"/>
      <c r="H470" s="199"/>
      <c r="Q470" s="83"/>
      <c r="R470" s="83"/>
      <c r="S470" s="104"/>
      <c r="T470" s="112"/>
    </row>
    <row r="471" spans="1:20" ht="31.5" customHeight="1" x14ac:dyDescent="0.6">
      <c r="A471" s="191"/>
      <c r="E471" s="105"/>
      <c r="F471" s="105"/>
      <c r="G471" s="105"/>
      <c r="H471" s="199"/>
      <c r="Q471" s="83"/>
      <c r="R471" s="83"/>
      <c r="S471" s="104"/>
      <c r="T471" s="112"/>
    </row>
    <row r="472" spans="1:20" ht="31.5" customHeight="1" x14ac:dyDescent="0.6">
      <c r="A472" s="191"/>
      <c r="E472" s="105"/>
      <c r="F472" s="105"/>
      <c r="G472" s="105"/>
      <c r="H472" s="199"/>
      <c r="Q472" s="83"/>
      <c r="R472" s="83"/>
      <c r="S472" s="104"/>
      <c r="T472" s="112"/>
    </row>
    <row r="473" spans="1:20" ht="31.5" customHeight="1" x14ac:dyDescent="0.6">
      <c r="A473" s="191"/>
      <c r="E473" s="105"/>
      <c r="F473" s="105"/>
      <c r="G473" s="105"/>
      <c r="H473" s="199"/>
      <c r="Q473" s="83"/>
      <c r="R473" s="83"/>
      <c r="S473" s="104"/>
      <c r="T473" s="112"/>
    </row>
    <row r="474" spans="1:20" ht="31.5" customHeight="1" x14ac:dyDescent="0.6">
      <c r="A474" s="191"/>
      <c r="E474" s="105"/>
      <c r="F474" s="105"/>
      <c r="G474" s="105"/>
      <c r="H474" s="199"/>
      <c r="Q474" s="83"/>
      <c r="R474" s="83"/>
      <c r="S474" s="104"/>
      <c r="T474" s="112"/>
    </row>
    <row r="475" spans="1:20" ht="31.5" customHeight="1" x14ac:dyDescent="0.6">
      <c r="A475" s="191"/>
      <c r="E475" s="105"/>
      <c r="F475" s="105"/>
      <c r="G475" s="105"/>
      <c r="H475" s="199"/>
      <c r="Q475" s="83"/>
      <c r="R475" s="83"/>
      <c r="S475" s="104"/>
      <c r="T475" s="112"/>
    </row>
    <row r="476" spans="1:20" ht="31.5" customHeight="1" x14ac:dyDescent="0.6">
      <c r="A476" s="191"/>
      <c r="E476" s="105"/>
      <c r="F476" s="105"/>
      <c r="G476" s="105"/>
      <c r="H476" s="199"/>
      <c r="Q476" s="83"/>
      <c r="R476" s="83"/>
      <c r="S476" s="104"/>
      <c r="T476" s="112"/>
    </row>
    <row r="477" spans="1:20" ht="31.5" customHeight="1" x14ac:dyDescent="0.6">
      <c r="A477" s="191"/>
      <c r="E477" s="105"/>
      <c r="F477" s="105"/>
      <c r="G477" s="105"/>
      <c r="H477" s="199"/>
      <c r="Q477" s="83"/>
      <c r="R477" s="83"/>
      <c r="S477" s="104"/>
      <c r="T477" s="112"/>
    </row>
    <row r="478" spans="1:20" ht="31.5" customHeight="1" x14ac:dyDescent="0.6">
      <c r="A478" s="191"/>
      <c r="E478" s="105"/>
      <c r="F478" s="105"/>
      <c r="G478" s="105"/>
      <c r="H478" s="199"/>
      <c r="Q478" s="83"/>
      <c r="R478" s="83"/>
      <c r="S478" s="104"/>
      <c r="T478" s="112"/>
    </row>
    <row r="479" spans="1:20" ht="31.5" customHeight="1" x14ac:dyDescent="0.6">
      <c r="A479" s="191"/>
      <c r="E479" s="105"/>
      <c r="F479" s="105"/>
      <c r="G479" s="105"/>
      <c r="H479" s="199"/>
      <c r="Q479" s="83"/>
      <c r="R479" s="83"/>
      <c r="S479" s="104"/>
      <c r="T479" s="112"/>
    </row>
    <row r="480" spans="1:20" ht="31.5" customHeight="1" x14ac:dyDescent="0.6">
      <c r="A480" s="191"/>
      <c r="E480" s="105"/>
      <c r="F480" s="105"/>
      <c r="G480" s="105"/>
      <c r="H480" s="199"/>
      <c r="Q480" s="83"/>
      <c r="R480" s="83"/>
      <c r="S480" s="104"/>
      <c r="T480" s="112"/>
    </row>
    <row r="481" spans="1:20" ht="31.5" customHeight="1" x14ac:dyDescent="0.6">
      <c r="A481" s="191"/>
      <c r="E481" s="105"/>
      <c r="F481" s="105"/>
      <c r="G481" s="105"/>
      <c r="H481" s="199"/>
      <c r="Q481" s="83"/>
      <c r="R481" s="83"/>
      <c r="S481" s="104"/>
      <c r="T481" s="112"/>
    </row>
    <row r="482" spans="1:20" ht="31.5" customHeight="1" x14ac:dyDescent="0.6">
      <c r="A482" s="191"/>
      <c r="E482" s="105"/>
      <c r="F482" s="105"/>
      <c r="G482" s="105"/>
      <c r="H482" s="199"/>
      <c r="Q482" s="83"/>
      <c r="R482" s="83"/>
      <c r="S482" s="104"/>
      <c r="T482" s="112"/>
    </row>
    <row r="483" spans="1:20" ht="31.5" customHeight="1" x14ac:dyDescent="0.6">
      <c r="A483" s="191"/>
      <c r="E483" s="105"/>
      <c r="F483" s="105"/>
      <c r="G483" s="105"/>
      <c r="H483" s="199"/>
      <c r="Q483" s="83"/>
      <c r="R483" s="83"/>
      <c r="S483" s="104"/>
      <c r="T483" s="112"/>
    </row>
    <row r="484" spans="1:20" ht="31.5" customHeight="1" x14ac:dyDescent="0.6">
      <c r="A484" s="191"/>
      <c r="E484" s="105"/>
      <c r="F484" s="105"/>
      <c r="G484" s="105"/>
      <c r="H484" s="199"/>
      <c r="Q484" s="83"/>
      <c r="R484" s="83"/>
      <c r="S484" s="104"/>
      <c r="T484" s="112"/>
    </row>
    <row r="485" spans="1:20" ht="31.5" customHeight="1" x14ac:dyDescent="0.6">
      <c r="A485" s="191"/>
      <c r="E485" s="105"/>
      <c r="F485" s="105"/>
      <c r="G485" s="105"/>
      <c r="H485" s="199"/>
      <c r="Q485" s="83"/>
      <c r="R485" s="83"/>
      <c r="S485" s="104"/>
      <c r="T485" s="112"/>
    </row>
    <row r="486" spans="1:20" ht="31.5" customHeight="1" x14ac:dyDescent="0.6">
      <c r="A486" s="191"/>
      <c r="E486" s="105"/>
      <c r="F486" s="105"/>
      <c r="G486" s="105"/>
      <c r="H486" s="199"/>
      <c r="Q486" s="83"/>
      <c r="R486" s="83"/>
      <c r="S486" s="104"/>
      <c r="T486" s="112"/>
    </row>
    <row r="487" spans="1:20" ht="31.5" customHeight="1" x14ac:dyDescent="0.6">
      <c r="A487" s="191"/>
      <c r="E487" s="105"/>
      <c r="F487" s="105"/>
      <c r="G487" s="105"/>
      <c r="H487" s="199"/>
      <c r="Q487" s="83"/>
      <c r="R487" s="83"/>
      <c r="S487" s="104"/>
      <c r="T487" s="112"/>
    </row>
    <row r="488" spans="1:20" ht="31.5" customHeight="1" x14ac:dyDescent="0.6">
      <c r="A488" s="191"/>
      <c r="E488" s="105"/>
      <c r="F488" s="105"/>
      <c r="G488" s="105"/>
      <c r="H488" s="199"/>
      <c r="Q488" s="83"/>
      <c r="R488" s="83"/>
      <c r="S488" s="104"/>
      <c r="T488" s="112"/>
    </row>
    <row r="489" spans="1:20" ht="31.5" customHeight="1" x14ac:dyDescent="0.6">
      <c r="A489" s="191"/>
      <c r="E489" s="105"/>
      <c r="F489" s="105"/>
      <c r="G489" s="105"/>
      <c r="H489" s="199"/>
      <c r="Q489" s="83"/>
      <c r="R489" s="83"/>
      <c r="S489" s="104"/>
      <c r="T489" s="112"/>
    </row>
    <row r="490" spans="1:20" ht="31.5" customHeight="1" x14ac:dyDescent="0.6">
      <c r="A490" s="191"/>
      <c r="E490" s="105"/>
      <c r="F490" s="105"/>
      <c r="G490" s="105"/>
      <c r="H490" s="199"/>
      <c r="Q490" s="83"/>
      <c r="R490" s="83"/>
      <c r="S490" s="104"/>
      <c r="T490" s="112"/>
    </row>
    <row r="491" spans="1:20" ht="31.5" customHeight="1" x14ac:dyDescent="0.6">
      <c r="A491" s="191"/>
      <c r="E491" s="105"/>
      <c r="F491" s="105"/>
      <c r="G491" s="105"/>
      <c r="H491" s="199"/>
      <c r="Q491" s="83"/>
      <c r="R491" s="83"/>
      <c r="S491" s="104"/>
      <c r="T491" s="112"/>
    </row>
    <row r="492" spans="1:20" ht="31.5" customHeight="1" x14ac:dyDescent="0.6">
      <c r="A492" s="191"/>
      <c r="E492" s="105"/>
      <c r="F492" s="105"/>
      <c r="G492" s="105"/>
      <c r="H492" s="199"/>
      <c r="Q492" s="83"/>
      <c r="R492" s="83"/>
      <c r="S492" s="104"/>
      <c r="T492" s="112"/>
    </row>
    <row r="493" spans="1:20" ht="31.5" customHeight="1" x14ac:dyDescent="0.6">
      <c r="A493" s="191"/>
      <c r="E493" s="105"/>
      <c r="F493" s="105"/>
      <c r="G493" s="105"/>
      <c r="H493" s="199"/>
      <c r="Q493" s="83"/>
      <c r="R493" s="83"/>
      <c r="S493" s="104"/>
      <c r="T493" s="112"/>
    </row>
    <row r="494" spans="1:20" ht="31.5" customHeight="1" x14ac:dyDescent="0.6">
      <c r="A494" s="191"/>
      <c r="E494" s="105"/>
      <c r="F494" s="105"/>
      <c r="G494" s="105"/>
      <c r="H494" s="199"/>
      <c r="Q494" s="83"/>
      <c r="R494" s="83"/>
      <c r="S494" s="104"/>
      <c r="T494" s="112"/>
    </row>
    <row r="495" spans="1:20" ht="31.5" customHeight="1" x14ac:dyDescent="0.6">
      <c r="A495" s="191"/>
      <c r="E495" s="105"/>
      <c r="F495" s="105"/>
      <c r="G495" s="105"/>
      <c r="H495" s="199"/>
      <c r="Q495" s="83"/>
      <c r="R495" s="83"/>
      <c r="S495" s="104"/>
      <c r="T495" s="112"/>
    </row>
    <row r="496" spans="1:20" ht="31.5" customHeight="1" x14ac:dyDescent="0.6">
      <c r="A496" s="191"/>
      <c r="E496" s="105"/>
      <c r="F496" s="105"/>
      <c r="G496" s="105"/>
      <c r="H496" s="199"/>
      <c r="Q496" s="83"/>
      <c r="R496" s="83"/>
      <c r="S496" s="104"/>
      <c r="T496" s="112"/>
    </row>
    <row r="497" spans="1:20" ht="31.5" customHeight="1" x14ac:dyDescent="0.6">
      <c r="A497" s="191"/>
      <c r="E497" s="105"/>
      <c r="F497" s="105"/>
      <c r="G497" s="105"/>
      <c r="H497" s="199"/>
      <c r="Q497" s="83"/>
      <c r="R497" s="83"/>
      <c r="S497" s="104"/>
      <c r="T497" s="112"/>
    </row>
    <row r="498" spans="1:20" ht="31.5" customHeight="1" x14ac:dyDescent="0.6">
      <c r="A498" s="191"/>
      <c r="E498" s="105"/>
      <c r="F498" s="105"/>
      <c r="G498" s="105"/>
      <c r="H498" s="199"/>
      <c r="Q498" s="83"/>
      <c r="R498" s="83"/>
      <c r="S498" s="104"/>
      <c r="T498" s="112"/>
    </row>
    <row r="499" spans="1:20" ht="31.5" customHeight="1" x14ac:dyDescent="0.6">
      <c r="A499" s="191"/>
      <c r="E499" s="105"/>
      <c r="F499" s="105"/>
      <c r="G499" s="105"/>
      <c r="H499" s="199"/>
      <c r="Q499" s="83"/>
      <c r="R499" s="83"/>
      <c r="S499" s="104"/>
      <c r="T499" s="112"/>
    </row>
    <row r="500" spans="1:20" ht="31.5" customHeight="1" x14ac:dyDescent="0.6">
      <c r="A500" s="191"/>
      <c r="E500" s="105"/>
      <c r="F500" s="105"/>
      <c r="G500" s="105"/>
      <c r="H500" s="199"/>
      <c r="Q500" s="83"/>
      <c r="R500" s="83"/>
      <c r="S500" s="104"/>
      <c r="T500" s="112"/>
    </row>
    <row r="501" spans="1:20" ht="31.5" customHeight="1" x14ac:dyDescent="0.6">
      <c r="A501" s="191"/>
      <c r="E501" s="105"/>
      <c r="F501" s="105"/>
      <c r="G501" s="105"/>
      <c r="H501" s="199"/>
      <c r="Q501" s="83"/>
      <c r="R501" s="83"/>
      <c r="S501" s="104"/>
      <c r="T501" s="112"/>
    </row>
    <row r="502" spans="1:20" ht="31.5" customHeight="1" x14ac:dyDescent="0.6">
      <c r="A502" s="191"/>
      <c r="E502" s="105"/>
      <c r="F502" s="105"/>
      <c r="G502" s="105"/>
      <c r="H502" s="199"/>
      <c r="Q502" s="83"/>
      <c r="R502" s="83"/>
      <c r="S502" s="104"/>
      <c r="T502" s="112"/>
    </row>
    <row r="503" spans="1:20" ht="31.5" customHeight="1" x14ac:dyDescent="0.6">
      <c r="A503" s="191"/>
      <c r="E503" s="105"/>
      <c r="F503" s="105"/>
      <c r="G503" s="105"/>
      <c r="H503" s="199"/>
      <c r="Q503" s="83"/>
      <c r="R503" s="83"/>
      <c r="S503" s="104"/>
      <c r="T503" s="112"/>
    </row>
    <row r="504" spans="1:20" ht="31.5" customHeight="1" x14ac:dyDescent="0.6">
      <c r="A504" s="191"/>
      <c r="E504" s="105"/>
      <c r="F504" s="105"/>
      <c r="G504" s="105"/>
      <c r="H504" s="199"/>
      <c r="Q504" s="83"/>
      <c r="R504" s="83"/>
      <c r="S504" s="104"/>
      <c r="T504" s="112"/>
    </row>
    <row r="505" spans="1:20" ht="31.5" customHeight="1" x14ac:dyDescent="0.6">
      <c r="A505" s="191"/>
      <c r="E505" s="105"/>
      <c r="F505" s="105"/>
      <c r="G505" s="105"/>
      <c r="H505" s="199"/>
      <c r="Q505" s="83"/>
      <c r="R505" s="83"/>
      <c r="S505" s="104"/>
      <c r="T505" s="112"/>
    </row>
    <row r="506" spans="1:20" ht="31.5" customHeight="1" x14ac:dyDescent="0.6">
      <c r="A506" s="191"/>
      <c r="E506" s="105"/>
      <c r="F506" s="105"/>
      <c r="G506" s="105"/>
      <c r="H506" s="199"/>
      <c r="Q506" s="83"/>
      <c r="R506" s="83"/>
      <c r="S506" s="104"/>
      <c r="T506" s="112"/>
    </row>
    <row r="507" spans="1:20" ht="31.5" customHeight="1" x14ac:dyDescent="0.6">
      <c r="A507" s="191"/>
      <c r="E507" s="105"/>
      <c r="F507" s="105"/>
      <c r="G507" s="105"/>
      <c r="H507" s="199"/>
      <c r="Q507" s="83"/>
      <c r="R507" s="83"/>
      <c r="S507" s="104"/>
      <c r="T507" s="112"/>
    </row>
    <row r="508" spans="1:20" ht="31.5" customHeight="1" x14ac:dyDescent="0.6">
      <c r="A508" s="191"/>
      <c r="H508" s="199"/>
      <c r="Q508" s="83"/>
      <c r="R508" s="83"/>
      <c r="S508" s="104"/>
      <c r="T508" s="112"/>
    </row>
    <row r="509" spans="1:20" ht="31.5" customHeight="1" x14ac:dyDescent="0.6">
      <c r="A509" s="191"/>
      <c r="H509" s="199"/>
      <c r="Q509" s="83"/>
      <c r="R509" s="83"/>
      <c r="S509" s="104"/>
      <c r="T509" s="112"/>
    </row>
    <row r="510" spans="1:20" ht="31.5" customHeight="1" x14ac:dyDescent="0.6">
      <c r="A510" s="191"/>
      <c r="H510" s="199"/>
      <c r="Q510" s="83"/>
      <c r="R510" s="83"/>
      <c r="S510" s="104"/>
      <c r="T510" s="112"/>
    </row>
    <row r="511" spans="1:20" ht="31.5" customHeight="1" x14ac:dyDescent="0.6">
      <c r="A511" s="191"/>
      <c r="H511" s="199"/>
      <c r="Q511" s="83"/>
      <c r="R511" s="83"/>
      <c r="S511" s="104"/>
      <c r="T511" s="112"/>
    </row>
    <row r="512" spans="1:20" ht="31.5" customHeight="1" x14ac:dyDescent="0.6">
      <c r="A512" s="191"/>
      <c r="H512" s="192"/>
      <c r="Q512" s="83"/>
      <c r="R512" s="83"/>
      <c r="S512" s="104"/>
      <c r="T512" s="112"/>
    </row>
    <row r="513" spans="1:20" ht="31.5" customHeight="1" x14ac:dyDescent="0.6">
      <c r="A513" s="191"/>
      <c r="H513" s="192"/>
      <c r="Q513" s="83"/>
      <c r="R513" s="83"/>
      <c r="S513" s="104"/>
      <c r="T513" s="112"/>
    </row>
    <row r="514" spans="1:20" ht="31.5" customHeight="1" x14ac:dyDescent="0.6">
      <c r="A514" s="191"/>
      <c r="H514" s="192"/>
      <c r="Q514" s="83"/>
      <c r="R514" s="83"/>
      <c r="S514" s="104"/>
      <c r="T514" s="112"/>
    </row>
    <row r="515" spans="1:20" ht="31.5" customHeight="1" x14ac:dyDescent="0.6">
      <c r="A515" s="191"/>
      <c r="H515" s="192"/>
      <c r="Q515" s="83"/>
      <c r="R515" s="83"/>
      <c r="S515" s="104"/>
      <c r="T515" s="112"/>
    </row>
    <row r="516" spans="1:20" ht="31.5" customHeight="1" x14ac:dyDescent="0.6">
      <c r="A516" s="191"/>
      <c r="H516" s="192"/>
      <c r="Q516" s="83"/>
      <c r="R516" s="83"/>
      <c r="S516" s="104"/>
      <c r="T516" s="112"/>
    </row>
    <row r="517" spans="1:20" ht="31.5" customHeight="1" x14ac:dyDescent="0.6">
      <c r="A517" s="191"/>
      <c r="H517" s="192"/>
      <c r="Q517" s="83"/>
      <c r="R517" s="83"/>
      <c r="S517" s="104"/>
      <c r="T517" s="112"/>
    </row>
    <row r="518" spans="1:20" ht="31.5" customHeight="1" x14ac:dyDescent="0.6">
      <c r="A518" s="191"/>
      <c r="H518" s="192"/>
      <c r="Q518" s="83"/>
      <c r="R518" s="83"/>
      <c r="S518" s="104"/>
      <c r="T518" s="112"/>
    </row>
    <row r="519" spans="1:20" ht="31.5" customHeight="1" x14ac:dyDescent="0.6">
      <c r="A519" s="191"/>
      <c r="H519" s="192"/>
      <c r="Q519" s="83"/>
      <c r="R519" s="83"/>
      <c r="S519" s="104"/>
      <c r="T519" s="112"/>
    </row>
    <row r="520" spans="1:20" ht="31.5" customHeight="1" x14ac:dyDescent="0.6">
      <c r="A520" s="191"/>
      <c r="H520" s="192"/>
      <c r="Q520" s="83"/>
      <c r="R520" s="83"/>
      <c r="S520" s="104"/>
      <c r="T520" s="112"/>
    </row>
    <row r="521" spans="1:20" ht="31.5" customHeight="1" x14ac:dyDescent="0.6">
      <c r="A521" s="191"/>
      <c r="H521" s="192"/>
      <c r="Q521" s="83"/>
      <c r="R521" s="83"/>
      <c r="S521" s="104"/>
      <c r="T521" s="112"/>
    </row>
    <row r="522" spans="1:20" ht="31.5" customHeight="1" x14ac:dyDescent="0.6">
      <c r="A522" s="191"/>
      <c r="H522" s="192"/>
      <c r="Q522" s="83"/>
      <c r="R522" s="83"/>
      <c r="S522" s="104"/>
      <c r="T522" s="112"/>
    </row>
    <row r="523" spans="1:20" ht="31.5" customHeight="1" x14ac:dyDescent="0.6">
      <c r="A523" s="191"/>
      <c r="H523" s="192"/>
      <c r="Q523" s="83"/>
      <c r="R523" s="83"/>
      <c r="S523" s="104"/>
      <c r="T523" s="112"/>
    </row>
    <row r="524" spans="1:20" ht="31.5" customHeight="1" x14ac:dyDescent="0.6">
      <c r="A524" s="191"/>
      <c r="H524" s="192"/>
      <c r="Q524" s="83"/>
      <c r="R524" s="83"/>
      <c r="S524" s="104"/>
      <c r="T524" s="112"/>
    </row>
    <row r="525" spans="1:20" ht="31.5" customHeight="1" x14ac:dyDescent="0.6">
      <c r="A525" s="191"/>
      <c r="H525" s="192"/>
      <c r="Q525" s="83"/>
      <c r="R525" s="83"/>
      <c r="S525" s="104"/>
      <c r="T525" s="112"/>
    </row>
    <row r="526" spans="1:20" ht="31.5" customHeight="1" x14ac:dyDescent="0.6">
      <c r="A526" s="191"/>
      <c r="H526" s="192"/>
      <c r="Q526" s="83"/>
      <c r="R526" s="83"/>
      <c r="S526" s="104"/>
      <c r="T526" s="112"/>
    </row>
    <row r="527" spans="1:20" ht="31.5" customHeight="1" x14ac:dyDescent="0.6">
      <c r="A527" s="191"/>
      <c r="H527" s="192"/>
      <c r="Q527" s="83"/>
      <c r="R527" s="83"/>
      <c r="S527" s="104"/>
      <c r="T527" s="112"/>
    </row>
    <row r="528" spans="1:20" ht="31.5" customHeight="1" x14ac:dyDescent="0.6">
      <c r="A528" s="191"/>
      <c r="H528" s="192"/>
      <c r="Q528" s="83"/>
      <c r="R528" s="83"/>
      <c r="S528" s="104"/>
      <c r="T528" s="112"/>
    </row>
    <row r="529" spans="1:20" ht="31.5" customHeight="1" x14ac:dyDescent="0.6">
      <c r="A529" s="191"/>
      <c r="H529" s="192"/>
      <c r="Q529" s="83"/>
      <c r="R529" s="83"/>
      <c r="S529" s="104"/>
      <c r="T529" s="112"/>
    </row>
    <row r="530" spans="1:20" ht="31.5" customHeight="1" x14ac:dyDescent="0.6">
      <c r="A530" s="191"/>
      <c r="H530" s="192"/>
      <c r="Q530" s="83"/>
      <c r="R530" s="83"/>
      <c r="S530" s="104"/>
      <c r="T530" s="112"/>
    </row>
    <row r="531" spans="1:20" ht="31.5" customHeight="1" x14ac:dyDescent="0.6">
      <c r="A531" s="191"/>
      <c r="H531" s="192"/>
      <c r="Q531" s="83"/>
      <c r="R531" s="83"/>
      <c r="S531" s="104"/>
      <c r="T531" s="112"/>
    </row>
    <row r="532" spans="1:20" ht="31.5" customHeight="1" x14ac:dyDescent="0.6">
      <c r="A532" s="191"/>
      <c r="H532" s="192"/>
      <c r="Q532" s="83"/>
      <c r="R532" s="83"/>
      <c r="S532" s="104"/>
      <c r="T532" s="112"/>
    </row>
    <row r="533" spans="1:20" ht="31.5" customHeight="1" x14ac:dyDescent="0.6">
      <c r="A533" s="191"/>
      <c r="H533" s="192"/>
      <c r="Q533" s="83"/>
      <c r="R533" s="83"/>
      <c r="S533" s="104"/>
      <c r="T533" s="112"/>
    </row>
    <row r="534" spans="1:20" ht="31.5" customHeight="1" x14ac:dyDescent="0.6">
      <c r="A534" s="191"/>
      <c r="H534" s="192"/>
      <c r="Q534" s="83"/>
      <c r="R534" s="83"/>
      <c r="S534" s="104"/>
      <c r="T534" s="112"/>
    </row>
    <row r="535" spans="1:20" ht="31.5" customHeight="1" x14ac:dyDescent="0.6">
      <c r="A535" s="191"/>
      <c r="H535" s="192"/>
      <c r="Q535" s="83"/>
      <c r="R535" s="83"/>
      <c r="S535" s="104"/>
      <c r="T535" s="112"/>
    </row>
    <row r="536" spans="1:20" ht="31.5" customHeight="1" x14ac:dyDescent="0.6">
      <c r="A536" s="191"/>
      <c r="H536" s="192"/>
      <c r="Q536" s="83"/>
      <c r="R536" s="83"/>
      <c r="S536" s="104"/>
      <c r="T536" s="112"/>
    </row>
    <row r="537" spans="1:20" ht="31.5" customHeight="1" x14ac:dyDescent="0.6">
      <c r="A537" s="191"/>
      <c r="H537" s="192"/>
      <c r="Q537" s="83"/>
      <c r="R537" s="83"/>
      <c r="S537" s="104"/>
      <c r="T537" s="112"/>
    </row>
    <row r="538" spans="1:20" ht="31.5" customHeight="1" x14ac:dyDescent="0.6">
      <c r="A538" s="191"/>
      <c r="H538" s="192"/>
      <c r="Q538" s="83"/>
      <c r="R538" s="83"/>
      <c r="S538" s="104"/>
      <c r="T538" s="112"/>
    </row>
    <row r="539" spans="1:20" ht="31.5" customHeight="1" x14ac:dyDescent="0.6">
      <c r="A539" s="191"/>
      <c r="H539" s="192"/>
      <c r="Q539" s="83"/>
      <c r="R539" s="83"/>
      <c r="S539" s="104"/>
      <c r="T539" s="112"/>
    </row>
    <row r="540" spans="1:20" ht="31.5" customHeight="1" x14ac:dyDescent="0.6">
      <c r="A540" s="191"/>
      <c r="H540" s="192"/>
      <c r="Q540" s="83"/>
      <c r="R540" s="83"/>
      <c r="S540" s="104"/>
      <c r="T540" s="112"/>
    </row>
    <row r="541" spans="1:20" ht="31.5" customHeight="1" x14ac:dyDescent="0.6">
      <c r="A541" s="191"/>
      <c r="H541" s="192"/>
      <c r="Q541" s="83"/>
      <c r="R541" s="83"/>
      <c r="S541" s="104"/>
      <c r="T541" s="112"/>
    </row>
    <row r="542" spans="1:20" ht="31.5" customHeight="1" x14ac:dyDescent="0.6">
      <c r="A542" s="191"/>
      <c r="H542" s="192"/>
      <c r="Q542" s="83"/>
      <c r="R542" s="83"/>
      <c r="S542" s="104"/>
      <c r="T542" s="112"/>
    </row>
    <row r="543" spans="1:20" ht="31.5" customHeight="1" x14ac:dyDescent="0.6">
      <c r="A543" s="191"/>
      <c r="H543" s="192"/>
      <c r="Q543" s="83"/>
      <c r="R543" s="83"/>
      <c r="S543" s="104"/>
      <c r="T543" s="112"/>
    </row>
    <row r="544" spans="1:20" ht="31.5" customHeight="1" x14ac:dyDescent="0.6">
      <c r="A544" s="191"/>
      <c r="H544" s="192"/>
      <c r="Q544" s="83"/>
      <c r="R544" s="83"/>
      <c r="S544" s="104"/>
      <c r="T544" s="112"/>
    </row>
    <row r="545" spans="1:20" ht="31.5" customHeight="1" x14ac:dyDescent="0.6">
      <c r="A545" s="191"/>
      <c r="H545" s="192"/>
      <c r="Q545" s="83"/>
      <c r="R545" s="83"/>
      <c r="S545" s="104"/>
      <c r="T545" s="112"/>
    </row>
    <row r="546" spans="1:20" ht="31.5" customHeight="1" x14ac:dyDescent="0.6">
      <c r="A546" s="191"/>
      <c r="H546" s="192"/>
      <c r="Q546" s="83"/>
      <c r="R546" s="83"/>
      <c r="S546" s="104"/>
      <c r="T546" s="112"/>
    </row>
    <row r="547" spans="1:20" ht="31.5" customHeight="1" x14ac:dyDescent="0.6">
      <c r="A547" s="191"/>
      <c r="H547" s="192"/>
      <c r="Q547" s="83"/>
      <c r="R547" s="83"/>
      <c r="S547" s="104"/>
      <c r="T547" s="112"/>
    </row>
    <row r="548" spans="1:20" ht="31.5" customHeight="1" x14ac:dyDescent="0.6">
      <c r="A548" s="191"/>
      <c r="H548" s="192"/>
      <c r="Q548" s="83"/>
      <c r="R548" s="83"/>
      <c r="S548" s="104"/>
      <c r="T548" s="112"/>
    </row>
    <row r="549" spans="1:20" ht="31.5" customHeight="1" x14ac:dyDescent="0.6">
      <c r="A549" s="191"/>
      <c r="H549" s="192"/>
      <c r="Q549" s="83"/>
      <c r="R549" s="83"/>
      <c r="S549" s="104"/>
      <c r="T549" s="112"/>
    </row>
    <row r="550" spans="1:20" ht="31.5" customHeight="1" x14ac:dyDescent="0.6">
      <c r="A550" s="191"/>
      <c r="H550" s="192"/>
      <c r="Q550" s="83"/>
      <c r="R550" s="83"/>
      <c r="S550" s="104"/>
      <c r="T550" s="112"/>
    </row>
    <row r="551" spans="1:20" ht="31.5" customHeight="1" x14ac:dyDescent="0.6">
      <c r="A551" s="191"/>
      <c r="H551" s="192"/>
      <c r="Q551" s="83"/>
      <c r="R551" s="83"/>
      <c r="S551" s="104"/>
      <c r="T551" s="112"/>
    </row>
    <row r="552" spans="1:20" ht="31.5" customHeight="1" x14ac:dyDescent="0.6">
      <c r="A552" s="191"/>
      <c r="H552" s="192"/>
      <c r="Q552" s="83"/>
      <c r="R552" s="83"/>
      <c r="S552" s="104"/>
      <c r="T552" s="112"/>
    </row>
    <row r="553" spans="1:20" ht="31.5" customHeight="1" x14ac:dyDescent="0.6">
      <c r="A553" s="191"/>
      <c r="H553" s="192"/>
      <c r="Q553" s="83"/>
      <c r="R553" s="83"/>
      <c r="S553" s="104"/>
      <c r="T553" s="112"/>
    </row>
    <row r="554" spans="1:20" ht="31.5" customHeight="1" x14ac:dyDescent="0.6">
      <c r="A554" s="191"/>
      <c r="H554" s="192"/>
      <c r="Q554" s="83"/>
      <c r="R554" s="83"/>
      <c r="S554" s="104"/>
      <c r="T554" s="112"/>
    </row>
    <row r="555" spans="1:20" ht="31.5" customHeight="1" x14ac:dyDescent="0.6">
      <c r="A555" s="191"/>
      <c r="H555" s="192"/>
      <c r="Q555" s="83"/>
      <c r="R555" s="83"/>
      <c r="S555" s="104"/>
      <c r="T555" s="112"/>
    </row>
    <row r="556" spans="1:20" ht="31.5" customHeight="1" x14ac:dyDescent="0.6">
      <c r="A556" s="191"/>
      <c r="H556" s="192"/>
      <c r="Q556" s="83"/>
      <c r="R556" s="83"/>
      <c r="S556" s="104"/>
      <c r="T556" s="112"/>
    </row>
    <row r="557" spans="1:20" ht="31.5" customHeight="1" x14ac:dyDescent="0.6">
      <c r="A557" s="191"/>
      <c r="H557" s="192"/>
      <c r="Q557" s="83"/>
      <c r="R557" s="83"/>
      <c r="S557" s="104"/>
      <c r="T557" s="112"/>
    </row>
    <row r="558" spans="1:20" ht="31.5" customHeight="1" x14ac:dyDescent="0.6">
      <c r="A558" s="191"/>
      <c r="H558" s="192"/>
      <c r="Q558" s="83"/>
      <c r="R558" s="83"/>
      <c r="S558" s="104"/>
      <c r="T558" s="112"/>
    </row>
    <row r="559" spans="1:20" ht="31.5" customHeight="1" x14ac:dyDescent="0.6">
      <c r="A559" s="191"/>
      <c r="H559" s="192"/>
      <c r="Q559" s="83"/>
      <c r="R559" s="83"/>
      <c r="S559" s="104"/>
      <c r="T559" s="112"/>
    </row>
    <row r="560" spans="1:20" ht="31.5" customHeight="1" x14ac:dyDescent="0.6">
      <c r="A560" s="191"/>
      <c r="H560" s="192"/>
      <c r="Q560" s="83"/>
      <c r="R560" s="83"/>
      <c r="S560" s="104"/>
      <c r="T560" s="112"/>
    </row>
    <row r="561" spans="1:20" ht="31.5" customHeight="1" x14ac:dyDescent="0.6">
      <c r="A561" s="191"/>
      <c r="H561" s="192"/>
      <c r="Q561" s="83"/>
      <c r="R561" s="83"/>
      <c r="S561" s="104"/>
      <c r="T561" s="112"/>
    </row>
    <row r="562" spans="1:20" ht="31.5" customHeight="1" x14ac:dyDescent="0.6">
      <c r="A562" s="191"/>
      <c r="H562" s="192"/>
      <c r="Q562" s="83"/>
      <c r="R562" s="83"/>
      <c r="S562" s="104"/>
      <c r="T562" s="112"/>
    </row>
    <row r="563" spans="1:20" ht="31.5" customHeight="1" x14ac:dyDescent="0.6">
      <c r="A563" s="191"/>
      <c r="H563" s="192"/>
      <c r="Q563" s="83"/>
      <c r="R563" s="83"/>
      <c r="S563" s="104"/>
      <c r="T563" s="112"/>
    </row>
    <row r="564" spans="1:20" ht="31.5" customHeight="1" x14ac:dyDescent="0.6">
      <c r="A564" s="191"/>
      <c r="H564" s="192"/>
      <c r="Q564" s="83"/>
      <c r="R564" s="83"/>
      <c r="S564" s="104"/>
      <c r="T564" s="112"/>
    </row>
    <row r="565" spans="1:20" ht="31.5" customHeight="1" x14ac:dyDescent="0.6">
      <c r="A565" s="191"/>
      <c r="H565" s="192"/>
      <c r="Q565" s="83"/>
      <c r="R565" s="83"/>
      <c r="S565" s="104"/>
      <c r="T565" s="112"/>
    </row>
    <row r="566" spans="1:20" ht="31.5" customHeight="1" x14ac:dyDescent="0.6">
      <c r="A566" s="191"/>
      <c r="H566" s="192"/>
      <c r="Q566" s="83"/>
      <c r="R566" s="83"/>
      <c r="S566" s="104"/>
      <c r="T566" s="112"/>
    </row>
    <row r="567" spans="1:20" ht="31.5" customHeight="1" x14ac:dyDescent="0.6">
      <c r="A567" s="191"/>
      <c r="H567" s="192"/>
      <c r="Q567" s="83"/>
      <c r="R567" s="83"/>
      <c r="S567" s="104"/>
      <c r="T567" s="112"/>
    </row>
    <row r="568" spans="1:20" ht="31.5" customHeight="1" x14ac:dyDescent="0.6">
      <c r="A568" s="191"/>
      <c r="H568" s="192"/>
      <c r="Q568" s="83"/>
      <c r="R568" s="83"/>
      <c r="S568" s="104"/>
      <c r="T568" s="112"/>
    </row>
    <row r="569" spans="1:20" ht="31.5" customHeight="1" x14ac:dyDescent="0.6">
      <c r="A569" s="191"/>
      <c r="H569" s="192"/>
      <c r="Q569" s="83"/>
      <c r="R569" s="83"/>
      <c r="S569" s="104"/>
      <c r="T569" s="112"/>
    </row>
    <row r="570" spans="1:20" ht="31.5" customHeight="1" x14ac:dyDescent="0.6">
      <c r="A570" s="191"/>
      <c r="H570" s="192"/>
      <c r="Q570" s="83"/>
      <c r="R570" s="83"/>
      <c r="S570" s="104"/>
      <c r="T570" s="112"/>
    </row>
    <row r="571" spans="1:20" ht="31.5" customHeight="1" x14ac:dyDescent="0.6">
      <c r="A571" s="191"/>
      <c r="H571" s="192"/>
      <c r="Q571" s="83"/>
      <c r="R571" s="83"/>
      <c r="S571" s="104"/>
      <c r="T571" s="112"/>
    </row>
    <row r="572" spans="1:20" ht="31.5" customHeight="1" x14ac:dyDescent="0.6">
      <c r="A572" s="191"/>
      <c r="H572" s="192"/>
      <c r="Q572" s="83"/>
      <c r="R572" s="83"/>
      <c r="S572" s="104"/>
      <c r="T572" s="112"/>
    </row>
    <row r="573" spans="1:20" ht="31.5" customHeight="1" x14ac:dyDescent="0.6">
      <c r="A573" s="191"/>
      <c r="H573" s="192"/>
      <c r="Q573" s="83"/>
      <c r="R573" s="83"/>
      <c r="S573" s="104"/>
      <c r="T573" s="112"/>
    </row>
    <row r="574" spans="1:20" ht="31.5" customHeight="1" x14ac:dyDescent="0.6">
      <c r="A574" s="191"/>
      <c r="H574" s="192"/>
      <c r="Q574" s="83"/>
      <c r="R574" s="83"/>
      <c r="S574" s="104"/>
      <c r="T574" s="112"/>
    </row>
    <row r="575" spans="1:20" ht="31.5" customHeight="1" x14ac:dyDescent="0.6">
      <c r="A575" s="191"/>
      <c r="H575" s="192"/>
      <c r="Q575" s="83"/>
      <c r="R575" s="83"/>
      <c r="S575" s="104"/>
      <c r="T575" s="112"/>
    </row>
    <row r="576" spans="1:20" ht="31.5" customHeight="1" x14ac:dyDescent="0.6">
      <c r="A576" s="191"/>
      <c r="H576" s="192"/>
      <c r="Q576" s="83"/>
      <c r="R576" s="83"/>
      <c r="S576" s="104"/>
      <c r="T576" s="112"/>
    </row>
    <row r="577" spans="1:20" ht="31.5" customHeight="1" x14ac:dyDescent="0.6">
      <c r="A577" s="191"/>
      <c r="H577" s="192"/>
      <c r="Q577" s="83"/>
      <c r="R577" s="83"/>
      <c r="S577" s="104"/>
      <c r="T577" s="112"/>
    </row>
    <row r="578" spans="1:20" ht="31.5" customHeight="1" x14ac:dyDescent="0.6">
      <c r="A578" s="191"/>
      <c r="H578" s="192"/>
      <c r="Q578" s="83"/>
      <c r="R578" s="83"/>
      <c r="S578" s="104"/>
      <c r="T578" s="112"/>
    </row>
    <row r="579" spans="1:20" ht="31.5" customHeight="1" x14ac:dyDescent="0.6">
      <c r="A579" s="191"/>
      <c r="H579" s="192"/>
      <c r="Q579" s="83"/>
      <c r="R579" s="83"/>
      <c r="S579" s="104"/>
      <c r="T579" s="112"/>
    </row>
    <row r="580" spans="1:20" ht="31.5" customHeight="1" x14ac:dyDescent="0.6">
      <c r="A580" s="191"/>
      <c r="H580" s="192"/>
      <c r="Q580" s="83"/>
      <c r="R580" s="83"/>
      <c r="S580" s="104"/>
      <c r="T580" s="112"/>
    </row>
    <row r="581" spans="1:20" ht="31.5" customHeight="1" x14ac:dyDescent="0.6">
      <c r="A581" s="191"/>
      <c r="H581" s="192"/>
      <c r="Q581" s="83"/>
      <c r="R581" s="83"/>
      <c r="S581" s="104"/>
      <c r="T581" s="112"/>
    </row>
    <row r="582" spans="1:20" ht="31.5" customHeight="1" x14ac:dyDescent="0.6">
      <c r="A582" s="191"/>
      <c r="H582" s="192"/>
      <c r="Q582" s="83"/>
      <c r="R582" s="83"/>
      <c r="S582" s="104"/>
      <c r="T582" s="112"/>
    </row>
    <row r="583" spans="1:20" ht="31.5" customHeight="1" x14ac:dyDescent="0.6">
      <c r="A583" s="191"/>
      <c r="H583" s="192"/>
      <c r="Q583" s="83"/>
      <c r="R583" s="83"/>
      <c r="S583" s="104"/>
      <c r="T583" s="112"/>
    </row>
    <row r="584" spans="1:20" ht="31.5" customHeight="1" x14ac:dyDescent="0.6">
      <c r="A584" s="191"/>
      <c r="H584" s="192"/>
      <c r="Q584" s="83"/>
      <c r="R584" s="83"/>
      <c r="S584" s="104"/>
      <c r="T584" s="112"/>
    </row>
    <row r="585" spans="1:20" ht="31.5" customHeight="1" x14ac:dyDescent="0.6">
      <c r="A585" s="191"/>
      <c r="H585" s="192"/>
      <c r="Q585" s="83"/>
      <c r="R585" s="83"/>
      <c r="S585" s="104"/>
      <c r="T585" s="112"/>
    </row>
    <row r="586" spans="1:20" ht="31.5" customHeight="1" x14ac:dyDescent="0.6">
      <c r="A586" s="191"/>
      <c r="H586" s="192"/>
      <c r="Q586" s="83"/>
      <c r="R586" s="83"/>
      <c r="S586" s="104"/>
      <c r="T586" s="112"/>
    </row>
    <row r="587" spans="1:20" ht="31.5" customHeight="1" x14ac:dyDescent="0.6">
      <c r="A587" s="191"/>
      <c r="H587" s="192"/>
      <c r="Q587" s="83"/>
      <c r="R587" s="83"/>
      <c r="S587" s="104"/>
      <c r="T587" s="112"/>
    </row>
    <row r="588" spans="1:20" ht="31.5" customHeight="1" x14ac:dyDescent="0.6">
      <c r="A588" s="191"/>
      <c r="H588" s="192"/>
      <c r="Q588" s="83"/>
      <c r="R588" s="83"/>
      <c r="S588" s="104"/>
      <c r="T588" s="112"/>
    </row>
    <row r="589" spans="1:20" ht="31.5" customHeight="1" x14ac:dyDescent="0.6">
      <c r="A589" s="191"/>
      <c r="H589" s="192"/>
      <c r="Q589" s="83"/>
      <c r="R589" s="83"/>
      <c r="S589" s="104"/>
      <c r="T589" s="112"/>
    </row>
    <row r="590" spans="1:20" ht="31.5" customHeight="1" x14ac:dyDescent="0.6">
      <c r="A590" s="191"/>
      <c r="H590" s="192"/>
      <c r="Q590" s="83"/>
      <c r="R590" s="83"/>
      <c r="S590" s="104"/>
      <c r="T590" s="112"/>
    </row>
    <row r="591" spans="1:20" ht="31.5" customHeight="1" x14ac:dyDescent="0.6">
      <c r="A591" s="191"/>
      <c r="H591" s="192"/>
      <c r="Q591" s="83"/>
      <c r="R591" s="83"/>
      <c r="S591" s="104"/>
      <c r="T591" s="112"/>
    </row>
    <row r="592" spans="1:20" ht="31.5" customHeight="1" x14ac:dyDescent="0.6">
      <c r="A592" s="191"/>
      <c r="H592" s="192"/>
      <c r="Q592" s="83"/>
      <c r="R592" s="83"/>
      <c r="S592" s="104"/>
      <c r="T592" s="112"/>
    </row>
    <row r="593" spans="1:20" ht="31.5" customHeight="1" x14ac:dyDescent="0.6">
      <c r="A593" s="191"/>
      <c r="H593" s="192"/>
      <c r="Q593" s="83"/>
      <c r="R593" s="83"/>
      <c r="S593" s="104"/>
      <c r="T593" s="112"/>
    </row>
    <row r="594" spans="1:20" ht="31.5" customHeight="1" x14ac:dyDescent="0.6">
      <c r="A594" s="191"/>
      <c r="H594" s="192"/>
      <c r="Q594" s="83"/>
      <c r="R594" s="83"/>
      <c r="S594" s="104"/>
      <c r="T594" s="112"/>
    </row>
    <row r="595" spans="1:20" ht="31.5" customHeight="1" x14ac:dyDescent="0.6">
      <c r="A595" s="191"/>
      <c r="H595" s="192"/>
      <c r="Q595" s="83"/>
      <c r="R595" s="83"/>
      <c r="S595" s="104"/>
      <c r="T595" s="112"/>
    </row>
    <row r="596" spans="1:20" ht="31.5" customHeight="1" x14ac:dyDescent="0.6">
      <c r="A596" s="191"/>
      <c r="H596" s="192"/>
      <c r="Q596" s="83"/>
      <c r="R596" s="83"/>
      <c r="S596" s="104"/>
      <c r="T596" s="112"/>
    </row>
    <row r="597" spans="1:20" ht="31.5" customHeight="1" x14ac:dyDescent="0.6">
      <c r="A597" s="191"/>
      <c r="H597" s="192"/>
      <c r="Q597" s="83"/>
      <c r="R597" s="83"/>
      <c r="S597" s="104"/>
      <c r="T597" s="112"/>
    </row>
    <row r="598" spans="1:20" ht="31.5" customHeight="1" x14ac:dyDescent="0.6">
      <c r="A598" s="191"/>
      <c r="H598" s="192"/>
      <c r="Q598" s="83"/>
      <c r="R598" s="83"/>
      <c r="S598" s="104"/>
      <c r="T598" s="112"/>
    </row>
    <row r="599" spans="1:20" ht="31.5" customHeight="1" x14ac:dyDescent="0.6">
      <c r="A599" s="191"/>
      <c r="H599" s="192"/>
      <c r="Q599" s="83"/>
      <c r="R599" s="83"/>
      <c r="S599" s="104"/>
      <c r="T599" s="112"/>
    </row>
    <row r="600" spans="1:20" ht="31.5" customHeight="1" x14ac:dyDescent="0.6">
      <c r="A600" s="191"/>
      <c r="H600" s="192"/>
      <c r="Q600" s="83"/>
      <c r="R600" s="83"/>
      <c r="S600" s="104"/>
      <c r="T600" s="112"/>
    </row>
    <row r="601" spans="1:20" ht="31.5" customHeight="1" x14ac:dyDescent="0.6">
      <c r="A601" s="191"/>
      <c r="H601" s="192"/>
      <c r="Q601" s="83"/>
      <c r="R601" s="83"/>
      <c r="S601" s="104"/>
      <c r="T601" s="112"/>
    </row>
    <row r="602" spans="1:20" ht="31.5" customHeight="1" x14ac:dyDescent="0.6">
      <c r="A602" s="191"/>
      <c r="H602" s="192"/>
      <c r="Q602" s="83"/>
      <c r="R602" s="83"/>
      <c r="S602" s="104"/>
      <c r="T602" s="112"/>
    </row>
    <row r="603" spans="1:20" ht="31.5" customHeight="1" x14ac:dyDescent="0.6">
      <c r="A603" s="191"/>
      <c r="H603" s="192"/>
      <c r="Q603" s="83"/>
      <c r="R603" s="83"/>
      <c r="S603" s="104"/>
      <c r="T603" s="112"/>
    </row>
    <row r="604" spans="1:20" ht="31.5" customHeight="1" x14ac:dyDescent="0.6">
      <c r="A604" s="191"/>
      <c r="H604" s="192"/>
      <c r="Q604" s="83"/>
      <c r="R604" s="83"/>
      <c r="S604" s="104"/>
      <c r="T604" s="112"/>
    </row>
    <row r="605" spans="1:20" ht="31.5" customHeight="1" x14ac:dyDescent="0.6">
      <c r="A605" s="191"/>
      <c r="H605" s="192"/>
      <c r="Q605" s="83"/>
      <c r="R605" s="83"/>
      <c r="S605" s="104"/>
      <c r="T605" s="112"/>
    </row>
    <row r="606" spans="1:20" ht="31.5" customHeight="1" x14ac:dyDescent="0.6">
      <c r="A606" s="191"/>
      <c r="H606" s="192"/>
      <c r="Q606" s="83"/>
      <c r="R606" s="83"/>
      <c r="S606" s="104"/>
      <c r="T606" s="112"/>
    </row>
    <row r="607" spans="1:20" ht="31.5" customHeight="1" x14ac:dyDescent="0.6">
      <c r="A607" s="191"/>
      <c r="H607" s="192"/>
      <c r="Q607" s="83"/>
      <c r="R607" s="83"/>
      <c r="S607" s="104"/>
      <c r="T607" s="112"/>
    </row>
    <row r="608" spans="1:20" ht="31.5" customHeight="1" x14ac:dyDescent="0.6">
      <c r="A608" s="191"/>
      <c r="H608" s="192"/>
      <c r="Q608" s="83"/>
      <c r="R608" s="83"/>
      <c r="S608" s="104"/>
      <c r="T608" s="112"/>
    </row>
    <row r="609" spans="1:20" ht="31.5" customHeight="1" x14ac:dyDescent="0.6">
      <c r="A609" s="191"/>
      <c r="H609" s="192"/>
      <c r="Q609" s="83"/>
      <c r="R609" s="83"/>
      <c r="S609" s="104"/>
      <c r="T609" s="112"/>
    </row>
    <row r="610" spans="1:20" ht="31.5" customHeight="1" x14ac:dyDescent="0.6">
      <c r="A610" s="191"/>
      <c r="H610" s="192"/>
      <c r="Q610" s="83"/>
      <c r="R610" s="83"/>
      <c r="S610" s="104"/>
      <c r="T610" s="112"/>
    </row>
    <row r="611" spans="1:20" ht="31.5" customHeight="1" x14ac:dyDescent="0.6">
      <c r="A611" s="191"/>
      <c r="H611" s="192"/>
      <c r="Q611" s="83"/>
      <c r="R611" s="83"/>
      <c r="S611" s="104"/>
      <c r="T611" s="112"/>
    </row>
    <row r="612" spans="1:20" ht="31.5" customHeight="1" x14ac:dyDescent="0.6">
      <c r="A612" s="191"/>
      <c r="H612" s="192"/>
      <c r="Q612" s="83"/>
      <c r="R612" s="83"/>
      <c r="S612" s="104"/>
      <c r="T612" s="112"/>
    </row>
    <row r="613" spans="1:20" ht="31.5" customHeight="1" x14ac:dyDescent="0.6">
      <c r="A613" s="191"/>
      <c r="H613" s="192"/>
      <c r="Q613" s="83"/>
      <c r="R613" s="83"/>
      <c r="S613" s="104"/>
      <c r="T613" s="112"/>
    </row>
    <row r="614" spans="1:20" ht="31.5" customHeight="1" x14ac:dyDescent="0.6">
      <c r="A614" s="191"/>
      <c r="H614" s="192"/>
      <c r="Q614" s="83"/>
      <c r="R614" s="83"/>
      <c r="S614" s="104"/>
      <c r="T614" s="112"/>
    </row>
    <row r="615" spans="1:20" ht="31.5" customHeight="1" x14ac:dyDescent="0.6">
      <c r="A615" s="191"/>
      <c r="H615" s="192"/>
      <c r="Q615" s="83"/>
      <c r="R615" s="83"/>
      <c r="S615" s="104"/>
      <c r="T615" s="112"/>
    </row>
    <row r="616" spans="1:20" ht="31.5" customHeight="1" x14ac:dyDescent="0.6">
      <c r="A616" s="191"/>
      <c r="H616" s="192"/>
      <c r="Q616" s="83"/>
      <c r="R616" s="83"/>
      <c r="S616" s="104"/>
      <c r="T616" s="112"/>
    </row>
    <row r="617" spans="1:20" ht="31.5" customHeight="1" x14ac:dyDescent="0.6">
      <c r="A617" s="191"/>
      <c r="H617" s="192"/>
      <c r="Q617" s="83"/>
      <c r="R617" s="83"/>
      <c r="S617" s="104"/>
      <c r="T617" s="112"/>
    </row>
    <row r="618" spans="1:20" ht="31.5" customHeight="1" x14ac:dyDescent="0.6">
      <c r="A618" s="191"/>
      <c r="H618" s="192"/>
      <c r="Q618" s="83"/>
      <c r="R618" s="83"/>
      <c r="S618" s="104"/>
      <c r="T618" s="112"/>
    </row>
    <row r="619" spans="1:20" ht="31.5" customHeight="1" x14ac:dyDescent="0.6">
      <c r="A619" s="191"/>
      <c r="H619" s="192"/>
      <c r="Q619" s="83"/>
      <c r="R619" s="83"/>
      <c r="S619" s="104"/>
      <c r="T619" s="112"/>
    </row>
    <row r="620" spans="1:20" ht="31.5" customHeight="1" x14ac:dyDescent="0.6">
      <c r="A620" s="191"/>
      <c r="H620" s="192"/>
      <c r="Q620" s="83"/>
      <c r="R620" s="83"/>
      <c r="S620" s="104"/>
      <c r="T620" s="112"/>
    </row>
    <row r="621" spans="1:20" ht="31.5" customHeight="1" x14ac:dyDescent="0.6">
      <c r="A621" s="191"/>
      <c r="H621" s="192"/>
      <c r="Q621" s="83"/>
      <c r="R621" s="83"/>
      <c r="S621" s="104"/>
      <c r="T621" s="112"/>
    </row>
    <row r="622" spans="1:20" ht="31.5" customHeight="1" x14ac:dyDescent="0.6">
      <c r="A622" s="191"/>
      <c r="H622" s="192"/>
      <c r="Q622" s="83"/>
      <c r="R622" s="83"/>
      <c r="S622" s="104"/>
      <c r="T622" s="112"/>
    </row>
    <row r="623" spans="1:20" ht="31.5" customHeight="1" x14ac:dyDescent="0.6">
      <c r="A623" s="191"/>
      <c r="H623" s="192"/>
      <c r="Q623" s="83"/>
      <c r="R623" s="83"/>
      <c r="S623" s="104"/>
      <c r="T623" s="112"/>
    </row>
    <row r="624" spans="1:20" ht="31.5" customHeight="1" x14ac:dyDescent="0.6">
      <c r="A624" s="191"/>
      <c r="H624" s="192"/>
      <c r="Q624" s="83"/>
      <c r="R624" s="83"/>
      <c r="S624" s="104"/>
      <c r="T624" s="112"/>
    </row>
    <row r="625" spans="1:20" ht="31.5" customHeight="1" x14ac:dyDescent="0.6">
      <c r="A625" s="191"/>
      <c r="H625" s="192"/>
      <c r="Q625" s="83"/>
      <c r="R625" s="83"/>
      <c r="S625" s="104"/>
      <c r="T625" s="112"/>
    </row>
    <row r="626" spans="1:20" ht="31.5" customHeight="1" x14ac:dyDescent="0.6">
      <c r="A626" s="191"/>
      <c r="H626" s="192"/>
      <c r="Q626" s="83"/>
      <c r="R626" s="83"/>
      <c r="S626" s="104"/>
      <c r="T626" s="112"/>
    </row>
    <row r="627" spans="1:20" ht="31.5" customHeight="1" x14ac:dyDescent="0.6">
      <c r="A627" s="191"/>
      <c r="H627" s="192"/>
      <c r="Q627" s="83"/>
      <c r="R627" s="83"/>
      <c r="S627" s="104"/>
      <c r="T627" s="112"/>
    </row>
    <row r="628" spans="1:20" ht="31.5" customHeight="1" x14ac:dyDescent="0.6">
      <c r="A628" s="191"/>
      <c r="H628" s="192"/>
      <c r="Q628" s="83"/>
      <c r="R628" s="83"/>
      <c r="S628" s="104"/>
      <c r="T628" s="112"/>
    </row>
    <row r="629" spans="1:20" ht="31.5" customHeight="1" x14ac:dyDescent="0.6">
      <c r="A629" s="191"/>
      <c r="H629" s="192"/>
      <c r="Q629" s="83"/>
      <c r="R629" s="83"/>
      <c r="S629" s="104"/>
      <c r="T629" s="112"/>
    </row>
    <row r="630" spans="1:20" ht="31.5" customHeight="1" x14ac:dyDescent="0.6">
      <c r="A630" s="191"/>
      <c r="H630" s="192"/>
      <c r="Q630" s="83"/>
      <c r="R630" s="83"/>
      <c r="S630" s="104"/>
      <c r="T630" s="112"/>
    </row>
    <row r="631" spans="1:20" ht="31.5" customHeight="1" x14ac:dyDescent="0.6">
      <c r="A631" s="191"/>
      <c r="H631" s="192"/>
      <c r="Q631" s="83"/>
      <c r="R631" s="83"/>
      <c r="S631" s="104"/>
      <c r="T631" s="112"/>
    </row>
    <row r="632" spans="1:20" ht="31.5" customHeight="1" x14ac:dyDescent="0.6">
      <c r="A632" s="191"/>
      <c r="H632" s="192"/>
      <c r="Q632" s="83"/>
      <c r="R632" s="83"/>
      <c r="S632" s="104"/>
      <c r="T632" s="112"/>
    </row>
    <row r="633" spans="1:20" ht="31.5" customHeight="1" x14ac:dyDescent="0.6">
      <c r="A633" s="191"/>
      <c r="H633" s="192"/>
      <c r="Q633" s="83"/>
      <c r="R633" s="83"/>
      <c r="S633" s="104"/>
      <c r="T633" s="112"/>
    </row>
    <row r="634" spans="1:20" ht="31.5" customHeight="1" x14ac:dyDescent="0.6">
      <c r="A634" s="191"/>
      <c r="H634" s="192"/>
      <c r="Q634" s="83"/>
      <c r="R634" s="83"/>
      <c r="S634" s="104"/>
      <c r="T634" s="112"/>
    </row>
    <row r="635" spans="1:20" ht="31.5" customHeight="1" x14ac:dyDescent="0.6">
      <c r="A635" s="191"/>
      <c r="H635" s="192"/>
      <c r="Q635" s="83"/>
      <c r="R635" s="83"/>
      <c r="S635" s="104"/>
      <c r="T635" s="112"/>
    </row>
    <row r="636" spans="1:20" ht="31.5" customHeight="1" x14ac:dyDescent="0.6">
      <c r="A636" s="191"/>
      <c r="H636" s="192"/>
      <c r="Q636" s="83"/>
      <c r="R636" s="83"/>
      <c r="S636" s="104"/>
      <c r="T636" s="112"/>
    </row>
    <row r="637" spans="1:20" ht="31.5" customHeight="1" x14ac:dyDescent="0.6">
      <c r="A637" s="191"/>
      <c r="H637" s="192"/>
      <c r="Q637" s="83"/>
      <c r="R637" s="83"/>
      <c r="S637" s="104"/>
      <c r="T637" s="112"/>
    </row>
    <row r="638" spans="1:20" ht="31.5" customHeight="1" x14ac:dyDescent="0.6">
      <c r="A638" s="191"/>
      <c r="H638" s="192"/>
      <c r="Q638" s="83"/>
      <c r="R638" s="83"/>
      <c r="S638" s="104"/>
      <c r="T638" s="112"/>
    </row>
    <row r="639" spans="1:20" ht="31.5" customHeight="1" x14ac:dyDescent="0.6">
      <c r="A639" s="191"/>
      <c r="H639" s="192"/>
      <c r="Q639" s="83"/>
      <c r="R639" s="83"/>
      <c r="S639" s="104"/>
      <c r="T639" s="112"/>
    </row>
    <row r="640" spans="1:20" ht="31.5" customHeight="1" x14ac:dyDescent="0.6">
      <c r="A640" s="191"/>
      <c r="H640" s="192"/>
      <c r="Q640" s="83"/>
      <c r="R640" s="83"/>
      <c r="S640" s="104"/>
      <c r="T640" s="112"/>
    </row>
    <row r="641" spans="1:20" ht="31.5" customHeight="1" x14ac:dyDescent="0.6">
      <c r="A641" s="191"/>
      <c r="H641" s="192"/>
      <c r="Q641" s="83"/>
      <c r="R641" s="83"/>
      <c r="S641" s="104"/>
      <c r="T641" s="112"/>
    </row>
    <row r="642" spans="1:20" ht="31.5" customHeight="1" x14ac:dyDescent="0.6">
      <c r="A642" s="191"/>
      <c r="H642" s="192"/>
      <c r="Q642" s="83"/>
      <c r="R642" s="83"/>
      <c r="S642" s="104"/>
      <c r="T642" s="112"/>
    </row>
    <row r="643" spans="1:20" ht="31.5" customHeight="1" x14ac:dyDescent="0.6">
      <c r="A643" s="191"/>
      <c r="H643" s="192"/>
      <c r="Q643" s="83"/>
      <c r="R643" s="83"/>
      <c r="S643" s="104"/>
      <c r="T643" s="112"/>
    </row>
    <row r="644" spans="1:20" ht="31.5" customHeight="1" x14ac:dyDescent="0.6">
      <c r="A644" s="191"/>
      <c r="H644" s="192"/>
      <c r="Q644" s="83"/>
      <c r="R644" s="83"/>
      <c r="S644" s="104"/>
      <c r="T644" s="112"/>
    </row>
    <row r="645" spans="1:20" ht="31.5" customHeight="1" x14ac:dyDescent="0.6">
      <c r="A645" s="191"/>
      <c r="H645" s="192"/>
      <c r="Q645" s="83"/>
      <c r="R645" s="83"/>
      <c r="S645" s="104"/>
      <c r="T645" s="112"/>
    </row>
    <row r="646" spans="1:20" ht="31.5" customHeight="1" x14ac:dyDescent="0.6">
      <c r="A646" s="191"/>
      <c r="H646" s="192"/>
      <c r="Q646" s="83"/>
      <c r="R646" s="83"/>
      <c r="S646" s="104"/>
      <c r="T646" s="112"/>
    </row>
    <row r="647" spans="1:20" ht="31.5" customHeight="1" x14ac:dyDescent="0.6">
      <c r="A647" s="191"/>
      <c r="H647" s="192"/>
      <c r="Q647" s="83"/>
      <c r="R647" s="83"/>
      <c r="S647" s="104"/>
      <c r="T647" s="112"/>
    </row>
    <row r="648" spans="1:20" ht="31.5" customHeight="1" x14ac:dyDescent="0.6">
      <c r="A648" s="191"/>
      <c r="H648" s="192"/>
      <c r="Q648" s="83"/>
      <c r="R648" s="83"/>
      <c r="S648" s="104"/>
      <c r="T648" s="112"/>
    </row>
    <row r="649" spans="1:20" ht="31.5" customHeight="1" x14ac:dyDescent="0.6">
      <c r="A649" s="191"/>
      <c r="H649" s="192"/>
      <c r="Q649" s="83"/>
      <c r="R649" s="83"/>
      <c r="S649" s="104"/>
      <c r="T649" s="112"/>
    </row>
    <row r="650" spans="1:20" ht="31.5" customHeight="1" x14ac:dyDescent="0.6">
      <c r="A650" s="191"/>
      <c r="H650" s="192"/>
      <c r="Q650" s="83"/>
      <c r="R650" s="83"/>
      <c r="S650" s="104"/>
      <c r="T650" s="112"/>
    </row>
    <row r="651" spans="1:20" ht="31.5" customHeight="1" x14ac:dyDescent="0.6">
      <c r="A651" s="191"/>
      <c r="H651" s="192"/>
      <c r="Q651" s="83"/>
      <c r="R651" s="83"/>
      <c r="S651" s="104"/>
      <c r="T651" s="112"/>
    </row>
    <row r="652" spans="1:20" ht="31.5" customHeight="1" x14ac:dyDescent="0.6">
      <c r="A652" s="191"/>
      <c r="H652" s="192"/>
      <c r="Q652" s="83"/>
      <c r="R652" s="83"/>
      <c r="S652" s="104"/>
      <c r="T652" s="112"/>
    </row>
    <row r="653" spans="1:20" ht="31.5" customHeight="1" x14ac:dyDescent="0.6">
      <c r="A653" s="191"/>
      <c r="H653" s="192"/>
      <c r="Q653" s="83"/>
      <c r="R653" s="83"/>
      <c r="S653" s="104"/>
      <c r="T653" s="112"/>
    </row>
    <row r="654" spans="1:20" ht="31.5" customHeight="1" x14ac:dyDescent="0.6">
      <c r="A654" s="191"/>
      <c r="H654" s="192"/>
      <c r="Q654" s="83"/>
      <c r="R654" s="83"/>
      <c r="S654" s="104"/>
      <c r="T654" s="112"/>
    </row>
    <row r="655" spans="1:20" ht="31.5" customHeight="1" x14ac:dyDescent="0.6">
      <c r="A655" s="191"/>
      <c r="H655" s="192"/>
      <c r="Q655" s="83"/>
      <c r="R655" s="83"/>
      <c r="S655" s="104"/>
      <c r="T655" s="112"/>
    </row>
    <row r="656" spans="1:20" ht="31.5" customHeight="1" x14ac:dyDescent="0.6">
      <c r="A656" s="191"/>
      <c r="H656" s="192"/>
      <c r="Q656" s="83"/>
      <c r="R656" s="83"/>
      <c r="S656" s="104"/>
      <c r="T656" s="112"/>
    </row>
    <row r="657" spans="1:20" ht="31.5" customHeight="1" x14ac:dyDescent="0.6">
      <c r="A657" s="191"/>
      <c r="H657" s="192"/>
      <c r="Q657" s="83"/>
      <c r="R657" s="83"/>
      <c r="S657" s="104"/>
      <c r="T657" s="112"/>
    </row>
    <row r="658" spans="1:20" ht="31.5" customHeight="1" x14ac:dyDescent="0.6">
      <c r="A658" s="191"/>
      <c r="H658" s="192"/>
      <c r="Q658" s="83"/>
      <c r="R658" s="83"/>
      <c r="S658" s="104"/>
      <c r="T658" s="112"/>
    </row>
    <row r="659" spans="1:20" ht="31.5" customHeight="1" x14ac:dyDescent="0.6">
      <c r="A659" s="191"/>
      <c r="H659" s="192"/>
      <c r="Q659" s="83"/>
      <c r="R659" s="83"/>
      <c r="S659" s="104"/>
      <c r="T659" s="112"/>
    </row>
    <row r="660" spans="1:20" ht="31.5" customHeight="1" x14ac:dyDescent="0.6">
      <c r="A660" s="191"/>
      <c r="H660" s="192"/>
      <c r="Q660" s="83"/>
      <c r="R660" s="83"/>
      <c r="S660" s="104"/>
      <c r="T660" s="112"/>
    </row>
    <row r="661" spans="1:20" ht="31.5" customHeight="1" x14ac:dyDescent="0.6">
      <c r="A661" s="191"/>
      <c r="H661" s="192"/>
      <c r="Q661" s="83"/>
      <c r="R661" s="83"/>
      <c r="S661" s="104"/>
      <c r="T661" s="112"/>
    </row>
    <row r="662" spans="1:20" ht="31.5" customHeight="1" x14ac:dyDescent="0.6">
      <c r="A662" s="191"/>
      <c r="H662" s="192"/>
      <c r="Q662" s="83"/>
      <c r="R662" s="83"/>
      <c r="S662" s="104"/>
      <c r="T662" s="112"/>
    </row>
    <row r="663" spans="1:20" ht="31.5" customHeight="1" x14ac:dyDescent="0.6">
      <c r="A663" s="191"/>
      <c r="H663" s="192"/>
      <c r="Q663" s="83"/>
      <c r="R663" s="83"/>
      <c r="S663" s="104"/>
      <c r="T663" s="112"/>
    </row>
    <row r="664" spans="1:20" ht="31.5" customHeight="1" x14ac:dyDescent="0.6">
      <c r="A664" s="191"/>
      <c r="H664" s="192"/>
      <c r="Q664" s="83"/>
      <c r="R664" s="83"/>
      <c r="S664" s="104"/>
      <c r="T664" s="112"/>
    </row>
    <row r="665" spans="1:20" ht="31.5" customHeight="1" x14ac:dyDescent="0.6">
      <c r="A665" s="191"/>
      <c r="H665" s="192"/>
      <c r="Q665" s="83"/>
      <c r="R665" s="83"/>
      <c r="S665" s="104"/>
      <c r="T665" s="112"/>
    </row>
    <row r="666" spans="1:20" ht="31.5" customHeight="1" x14ac:dyDescent="0.6">
      <c r="A666" s="191"/>
      <c r="H666" s="192"/>
      <c r="Q666" s="83"/>
      <c r="R666" s="83"/>
      <c r="S666" s="104"/>
      <c r="T666" s="112"/>
    </row>
    <row r="667" spans="1:20" ht="31.5" customHeight="1" x14ac:dyDescent="0.6">
      <c r="A667" s="191"/>
      <c r="H667" s="192"/>
      <c r="Q667" s="83"/>
      <c r="R667" s="83"/>
      <c r="S667" s="104"/>
      <c r="T667" s="112"/>
    </row>
    <row r="668" spans="1:20" ht="31.5" customHeight="1" x14ac:dyDescent="0.6">
      <c r="A668" s="191"/>
      <c r="H668" s="192"/>
      <c r="Q668" s="83"/>
      <c r="R668" s="83"/>
      <c r="S668" s="104"/>
      <c r="T668" s="112"/>
    </row>
    <row r="669" spans="1:20" ht="31.5" customHeight="1" x14ac:dyDescent="0.6">
      <c r="A669" s="191"/>
      <c r="H669" s="192"/>
      <c r="Q669" s="83"/>
      <c r="R669" s="83"/>
      <c r="S669" s="104"/>
      <c r="T669" s="112"/>
    </row>
    <row r="670" spans="1:20" ht="31.5" customHeight="1" x14ac:dyDescent="0.6">
      <c r="A670" s="191"/>
      <c r="H670" s="192"/>
      <c r="Q670" s="83"/>
      <c r="R670" s="83"/>
      <c r="S670" s="104"/>
      <c r="T670" s="112"/>
    </row>
    <row r="671" spans="1:20" ht="31.5" customHeight="1" x14ac:dyDescent="0.6">
      <c r="A671" s="191"/>
      <c r="H671" s="192"/>
      <c r="Q671" s="83"/>
      <c r="R671" s="83"/>
      <c r="S671" s="104"/>
      <c r="T671" s="112"/>
    </row>
    <row r="672" spans="1:20" ht="31.5" customHeight="1" x14ac:dyDescent="0.6">
      <c r="A672" s="191"/>
      <c r="H672" s="192"/>
      <c r="Q672" s="83"/>
      <c r="R672" s="83"/>
      <c r="S672" s="104"/>
      <c r="T672" s="112"/>
    </row>
    <row r="673" spans="1:20" ht="31.5" customHeight="1" x14ac:dyDescent="0.6">
      <c r="A673" s="191"/>
      <c r="H673" s="192"/>
      <c r="Q673" s="83"/>
      <c r="R673" s="83"/>
      <c r="S673" s="104"/>
      <c r="T673" s="112"/>
    </row>
    <row r="674" spans="1:20" ht="31.5" customHeight="1" x14ac:dyDescent="0.6">
      <c r="A674" s="191"/>
      <c r="H674" s="192"/>
      <c r="Q674" s="83"/>
      <c r="R674" s="83"/>
      <c r="S674" s="104"/>
      <c r="T674" s="112"/>
    </row>
    <row r="675" spans="1:20" ht="31.5" customHeight="1" x14ac:dyDescent="0.6">
      <c r="A675" s="191"/>
      <c r="H675" s="192"/>
      <c r="Q675" s="83"/>
      <c r="R675" s="83"/>
      <c r="S675" s="104"/>
      <c r="T675" s="112"/>
    </row>
    <row r="676" spans="1:20" ht="31.5" customHeight="1" x14ac:dyDescent="0.6">
      <c r="A676" s="191"/>
      <c r="H676" s="192"/>
      <c r="Q676" s="83"/>
      <c r="R676" s="83"/>
      <c r="S676" s="104"/>
      <c r="T676" s="112"/>
    </row>
    <row r="677" spans="1:20" ht="31.5" customHeight="1" x14ac:dyDescent="0.6">
      <c r="A677" s="191"/>
      <c r="H677" s="192"/>
      <c r="Q677" s="83"/>
      <c r="R677" s="83"/>
      <c r="S677" s="104"/>
      <c r="T677" s="112"/>
    </row>
    <row r="678" spans="1:20" ht="31.5" customHeight="1" x14ac:dyDescent="0.6">
      <c r="A678" s="191"/>
      <c r="H678" s="192"/>
      <c r="Q678" s="83"/>
      <c r="R678" s="83"/>
      <c r="S678" s="104"/>
      <c r="T678" s="112"/>
    </row>
    <row r="679" spans="1:20" ht="31.5" customHeight="1" x14ac:dyDescent="0.6">
      <c r="A679" s="191"/>
      <c r="H679" s="192"/>
      <c r="Q679" s="83"/>
      <c r="R679" s="83"/>
      <c r="S679" s="104"/>
      <c r="T679" s="112"/>
    </row>
    <row r="680" spans="1:20" ht="31.5" customHeight="1" x14ac:dyDescent="0.6">
      <c r="A680" s="191"/>
      <c r="H680" s="192"/>
      <c r="Q680" s="83"/>
      <c r="R680" s="83"/>
      <c r="S680" s="104"/>
      <c r="T680" s="112"/>
    </row>
    <row r="681" spans="1:20" ht="31.5" customHeight="1" x14ac:dyDescent="0.6">
      <c r="A681" s="191"/>
      <c r="H681" s="192"/>
      <c r="Q681" s="83"/>
      <c r="R681" s="83"/>
      <c r="S681" s="104"/>
      <c r="T681" s="112"/>
    </row>
    <row r="682" spans="1:20" ht="31.5" customHeight="1" x14ac:dyDescent="0.6">
      <c r="A682" s="191"/>
      <c r="H682" s="192"/>
      <c r="Q682" s="83"/>
      <c r="R682" s="83"/>
      <c r="S682" s="104"/>
      <c r="T682" s="112"/>
    </row>
    <row r="683" spans="1:20" ht="31.5" customHeight="1" x14ac:dyDescent="0.6">
      <c r="A683" s="191"/>
      <c r="H683" s="192"/>
      <c r="Q683" s="83"/>
      <c r="R683" s="83"/>
      <c r="S683" s="104"/>
      <c r="T683" s="112"/>
    </row>
    <row r="684" spans="1:20" ht="31.5" customHeight="1" x14ac:dyDescent="0.6">
      <c r="A684" s="191"/>
      <c r="H684" s="192"/>
      <c r="Q684" s="83"/>
      <c r="R684" s="83"/>
      <c r="S684" s="104"/>
      <c r="T684" s="112"/>
    </row>
    <row r="685" spans="1:20" ht="31.5" customHeight="1" x14ac:dyDescent="0.6">
      <c r="A685" s="191"/>
      <c r="H685" s="192"/>
      <c r="Q685" s="83"/>
      <c r="R685" s="83"/>
      <c r="S685" s="104"/>
      <c r="T685" s="112"/>
    </row>
    <row r="686" spans="1:20" ht="31.5" customHeight="1" x14ac:dyDescent="0.6">
      <c r="A686" s="191"/>
      <c r="H686" s="192"/>
      <c r="Q686" s="83"/>
      <c r="R686" s="83"/>
      <c r="S686" s="104"/>
      <c r="T686" s="112"/>
    </row>
    <row r="687" spans="1:20" ht="31.5" customHeight="1" x14ac:dyDescent="0.6">
      <c r="A687" s="191"/>
      <c r="H687" s="192"/>
      <c r="Q687" s="83"/>
      <c r="R687" s="83"/>
      <c r="S687" s="104"/>
      <c r="T687" s="112"/>
    </row>
    <row r="688" spans="1:20" ht="31.5" customHeight="1" x14ac:dyDescent="0.6">
      <c r="A688" s="191"/>
      <c r="H688" s="192"/>
      <c r="Q688" s="83"/>
      <c r="R688" s="83"/>
      <c r="S688" s="104"/>
      <c r="T688" s="112"/>
    </row>
    <row r="689" spans="1:20" ht="31.5" customHeight="1" x14ac:dyDescent="0.6">
      <c r="A689" s="191"/>
      <c r="H689" s="192"/>
      <c r="Q689" s="83"/>
      <c r="R689" s="83"/>
      <c r="S689" s="104"/>
      <c r="T689" s="112"/>
    </row>
    <row r="690" spans="1:20" ht="31.5" customHeight="1" x14ac:dyDescent="0.6">
      <c r="A690" s="191"/>
      <c r="H690" s="192"/>
      <c r="Q690" s="83"/>
      <c r="R690" s="83"/>
      <c r="S690" s="104"/>
      <c r="T690" s="112"/>
    </row>
    <row r="691" spans="1:20" ht="31.5" customHeight="1" x14ac:dyDescent="0.6">
      <c r="A691" s="191"/>
      <c r="H691" s="192"/>
      <c r="Q691" s="83"/>
      <c r="R691" s="83"/>
      <c r="S691" s="104"/>
      <c r="T691" s="112"/>
    </row>
    <row r="692" spans="1:20" ht="31.5" customHeight="1" x14ac:dyDescent="0.6">
      <c r="A692" s="191"/>
      <c r="H692" s="192"/>
      <c r="Q692" s="83"/>
      <c r="R692" s="83"/>
      <c r="S692" s="104"/>
      <c r="T692" s="112"/>
    </row>
    <row r="693" spans="1:20" ht="31.5" customHeight="1" x14ac:dyDescent="0.6">
      <c r="A693" s="191"/>
      <c r="H693" s="192"/>
      <c r="Q693" s="83"/>
      <c r="R693" s="83"/>
      <c r="S693" s="104"/>
      <c r="T693" s="112"/>
    </row>
    <row r="694" spans="1:20" ht="31.5" customHeight="1" x14ac:dyDescent="0.6">
      <c r="A694" s="191"/>
      <c r="H694" s="192"/>
      <c r="Q694" s="83"/>
      <c r="R694" s="83"/>
      <c r="S694" s="104"/>
      <c r="T694" s="112"/>
    </row>
    <row r="695" spans="1:20" ht="31.5" customHeight="1" x14ac:dyDescent="0.6">
      <c r="A695" s="191"/>
      <c r="H695" s="192"/>
      <c r="Q695" s="83"/>
      <c r="R695" s="83"/>
      <c r="S695" s="104"/>
      <c r="T695" s="112"/>
    </row>
    <row r="696" spans="1:20" ht="31.5" customHeight="1" x14ac:dyDescent="0.6">
      <c r="A696" s="191"/>
      <c r="H696" s="192"/>
      <c r="Q696" s="83"/>
      <c r="R696" s="83"/>
      <c r="S696" s="104"/>
      <c r="T696" s="112"/>
    </row>
    <row r="697" spans="1:20" ht="31.5" customHeight="1" x14ac:dyDescent="0.6">
      <c r="A697" s="191"/>
      <c r="H697" s="192"/>
      <c r="Q697" s="83"/>
      <c r="R697" s="83"/>
      <c r="S697" s="104"/>
      <c r="T697" s="112"/>
    </row>
    <row r="698" spans="1:20" ht="31.5" customHeight="1" x14ac:dyDescent="0.6">
      <c r="A698" s="191"/>
      <c r="H698" s="192"/>
      <c r="Q698" s="83"/>
      <c r="R698" s="83"/>
      <c r="S698" s="104"/>
      <c r="T698" s="112"/>
    </row>
    <row r="699" spans="1:20" ht="31.5" customHeight="1" x14ac:dyDescent="0.6">
      <c r="A699" s="191"/>
      <c r="H699" s="192"/>
      <c r="Q699" s="83"/>
      <c r="R699" s="83"/>
      <c r="S699" s="104"/>
      <c r="T699" s="112"/>
    </row>
    <row r="700" spans="1:20" ht="31.5" customHeight="1" x14ac:dyDescent="0.6">
      <c r="A700" s="191"/>
      <c r="H700" s="192"/>
      <c r="Q700" s="83"/>
      <c r="R700" s="83"/>
      <c r="S700" s="104"/>
      <c r="T700" s="112"/>
    </row>
    <row r="701" spans="1:20" ht="31.5" customHeight="1" x14ac:dyDescent="0.6">
      <c r="A701" s="191"/>
      <c r="H701" s="192"/>
      <c r="Q701" s="83"/>
      <c r="R701" s="83"/>
      <c r="S701" s="104"/>
      <c r="T701" s="112"/>
    </row>
    <row r="702" spans="1:20" ht="31.5" customHeight="1" x14ac:dyDescent="0.6">
      <c r="A702" s="191"/>
      <c r="H702" s="192"/>
      <c r="Q702" s="83"/>
      <c r="R702" s="83"/>
      <c r="S702" s="104"/>
      <c r="T702" s="112"/>
    </row>
    <row r="703" spans="1:20" ht="31.5" customHeight="1" x14ac:dyDescent="0.6">
      <c r="A703" s="191"/>
      <c r="H703" s="192"/>
      <c r="Q703" s="83"/>
      <c r="R703" s="83"/>
      <c r="S703" s="104"/>
      <c r="T703" s="112"/>
    </row>
    <row r="704" spans="1:20" ht="31.5" customHeight="1" x14ac:dyDescent="0.6">
      <c r="A704" s="191"/>
      <c r="H704" s="192"/>
      <c r="Q704" s="83"/>
      <c r="R704" s="83"/>
      <c r="S704" s="104"/>
      <c r="T704" s="112"/>
    </row>
    <row r="705" spans="1:20" ht="31.5" customHeight="1" x14ac:dyDescent="0.6">
      <c r="A705" s="191"/>
      <c r="H705" s="192"/>
      <c r="Q705" s="83"/>
      <c r="R705" s="83"/>
      <c r="S705" s="104"/>
      <c r="T705" s="112"/>
    </row>
    <row r="706" spans="1:20" ht="31.5" customHeight="1" x14ac:dyDescent="0.6">
      <c r="A706" s="191"/>
      <c r="H706" s="192"/>
      <c r="Q706" s="83"/>
      <c r="R706" s="83"/>
      <c r="S706" s="104"/>
      <c r="T706" s="112"/>
    </row>
    <row r="707" spans="1:20" ht="31.5" customHeight="1" x14ac:dyDescent="0.6">
      <c r="A707" s="191"/>
      <c r="H707" s="192"/>
      <c r="Q707" s="83"/>
      <c r="R707" s="83"/>
      <c r="S707" s="104"/>
      <c r="T707" s="112"/>
    </row>
    <row r="708" spans="1:20" ht="31.5" customHeight="1" x14ac:dyDescent="0.6">
      <c r="A708" s="191"/>
      <c r="H708" s="192"/>
      <c r="Q708" s="83"/>
      <c r="R708" s="83"/>
      <c r="S708" s="104"/>
      <c r="T708" s="112"/>
    </row>
    <row r="709" spans="1:20" ht="31.5" customHeight="1" x14ac:dyDescent="0.6">
      <c r="A709" s="191"/>
      <c r="H709" s="192"/>
      <c r="Q709" s="83"/>
      <c r="R709" s="83"/>
      <c r="S709" s="104"/>
      <c r="T709" s="112"/>
    </row>
    <row r="710" spans="1:20" ht="31.5" customHeight="1" x14ac:dyDescent="0.6">
      <c r="A710" s="191"/>
      <c r="H710" s="192"/>
      <c r="Q710" s="83"/>
      <c r="R710" s="83"/>
      <c r="S710" s="104"/>
      <c r="T710" s="112"/>
    </row>
    <row r="711" spans="1:20" ht="31.5" customHeight="1" x14ac:dyDescent="0.6">
      <c r="A711" s="191"/>
      <c r="H711" s="192"/>
      <c r="Q711" s="83"/>
      <c r="R711" s="83"/>
      <c r="S711" s="104"/>
      <c r="T711" s="112"/>
    </row>
    <row r="712" spans="1:20" ht="31.5" customHeight="1" x14ac:dyDescent="0.6">
      <c r="A712" s="191"/>
      <c r="H712" s="192"/>
      <c r="Q712" s="83"/>
      <c r="R712" s="83"/>
      <c r="S712" s="104"/>
      <c r="T712" s="112"/>
    </row>
    <row r="713" spans="1:20" ht="31.5" customHeight="1" x14ac:dyDescent="0.6">
      <c r="A713" s="191"/>
      <c r="H713" s="192"/>
      <c r="Q713" s="83"/>
      <c r="R713" s="83"/>
      <c r="S713" s="104"/>
      <c r="T713" s="112"/>
    </row>
    <row r="714" spans="1:20" ht="31.5" customHeight="1" x14ac:dyDescent="0.6">
      <c r="A714" s="191"/>
      <c r="H714" s="192"/>
      <c r="Q714" s="83"/>
      <c r="R714" s="83"/>
      <c r="S714" s="104"/>
      <c r="T714" s="112"/>
    </row>
    <row r="715" spans="1:20" ht="31.5" customHeight="1" x14ac:dyDescent="0.6">
      <c r="A715" s="191"/>
      <c r="H715" s="192"/>
      <c r="Q715" s="83"/>
      <c r="R715" s="83"/>
      <c r="S715" s="104"/>
      <c r="T715" s="112"/>
    </row>
    <row r="716" spans="1:20" ht="31.5" customHeight="1" x14ac:dyDescent="0.6">
      <c r="A716" s="191"/>
      <c r="H716" s="192"/>
      <c r="Q716" s="83"/>
      <c r="R716" s="83"/>
      <c r="S716" s="104"/>
      <c r="T716" s="112"/>
    </row>
    <row r="717" spans="1:20" ht="31.5" customHeight="1" x14ac:dyDescent="0.6">
      <c r="A717" s="191"/>
      <c r="H717" s="192"/>
      <c r="Q717" s="83"/>
      <c r="R717" s="83"/>
      <c r="S717" s="104"/>
      <c r="T717" s="112"/>
    </row>
    <row r="718" spans="1:20" ht="31.5" customHeight="1" x14ac:dyDescent="0.6">
      <c r="A718" s="191"/>
      <c r="H718" s="192"/>
      <c r="Q718" s="83"/>
      <c r="R718" s="83"/>
      <c r="S718" s="104"/>
      <c r="T718" s="112"/>
    </row>
    <row r="719" spans="1:20" ht="31.5" customHeight="1" x14ac:dyDescent="0.6">
      <c r="A719" s="191"/>
      <c r="H719" s="192"/>
      <c r="Q719" s="83"/>
      <c r="R719" s="83"/>
      <c r="S719" s="104"/>
      <c r="T719" s="112"/>
    </row>
    <row r="720" spans="1:20" ht="31.5" customHeight="1" x14ac:dyDescent="0.6">
      <c r="A720" s="191"/>
      <c r="H720" s="192"/>
      <c r="Q720" s="83"/>
      <c r="R720" s="83"/>
      <c r="S720" s="104"/>
      <c r="T720" s="112"/>
    </row>
    <row r="721" spans="1:20" ht="31.5" customHeight="1" x14ac:dyDescent="0.6">
      <c r="A721" s="191"/>
      <c r="H721" s="192"/>
      <c r="Q721" s="83"/>
      <c r="R721" s="83"/>
      <c r="S721" s="104"/>
      <c r="T721" s="112"/>
    </row>
    <row r="722" spans="1:20" ht="31.5" customHeight="1" x14ac:dyDescent="0.6">
      <c r="A722" s="191"/>
      <c r="H722" s="192"/>
      <c r="Q722" s="83"/>
      <c r="R722" s="83"/>
      <c r="S722" s="104"/>
      <c r="T722" s="112"/>
    </row>
    <row r="723" spans="1:20" ht="31.5" customHeight="1" x14ac:dyDescent="0.6">
      <c r="A723" s="191"/>
      <c r="H723" s="192"/>
      <c r="Q723" s="83"/>
      <c r="R723" s="83"/>
      <c r="S723" s="104"/>
      <c r="T723" s="112"/>
    </row>
    <row r="724" spans="1:20" ht="31.5" customHeight="1" x14ac:dyDescent="0.6">
      <c r="A724" s="191"/>
      <c r="H724" s="192"/>
      <c r="Q724" s="83"/>
      <c r="R724" s="83"/>
      <c r="S724" s="104"/>
      <c r="T724" s="112"/>
    </row>
    <row r="725" spans="1:20" ht="31.5" customHeight="1" x14ac:dyDescent="0.6">
      <c r="A725" s="191"/>
      <c r="H725" s="192"/>
      <c r="Q725" s="83"/>
      <c r="R725" s="83"/>
      <c r="S725" s="104"/>
      <c r="T725" s="112"/>
    </row>
    <row r="726" spans="1:20" ht="31.5" customHeight="1" x14ac:dyDescent="0.6">
      <c r="A726" s="191"/>
      <c r="H726" s="192"/>
      <c r="Q726" s="83"/>
      <c r="R726" s="83"/>
      <c r="S726" s="104"/>
      <c r="T726" s="112"/>
    </row>
    <row r="727" spans="1:20" ht="31.5" customHeight="1" x14ac:dyDescent="0.6">
      <c r="A727" s="191"/>
      <c r="H727" s="192"/>
      <c r="Q727" s="83"/>
      <c r="R727" s="83"/>
      <c r="S727" s="104"/>
      <c r="T727" s="112"/>
    </row>
    <row r="728" spans="1:20" ht="31.5" customHeight="1" x14ac:dyDescent="0.6">
      <c r="A728" s="191"/>
      <c r="H728" s="192"/>
      <c r="Q728" s="83"/>
      <c r="R728" s="83"/>
      <c r="S728" s="104"/>
      <c r="T728" s="112"/>
    </row>
    <row r="729" spans="1:20" ht="31.5" customHeight="1" x14ac:dyDescent="0.6">
      <c r="A729" s="191"/>
      <c r="H729" s="192"/>
      <c r="Q729" s="83"/>
      <c r="R729" s="83"/>
      <c r="S729" s="104"/>
      <c r="T729" s="112"/>
    </row>
    <row r="730" spans="1:20" ht="31.5" customHeight="1" x14ac:dyDescent="0.6">
      <c r="A730" s="191"/>
      <c r="H730" s="192"/>
      <c r="Q730" s="83"/>
      <c r="R730" s="83"/>
      <c r="S730" s="104"/>
      <c r="T730" s="112"/>
    </row>
    <row r="731" spans="1:20" ht="31.5" customHeight="1" x14ac:dyDescent="0.6">
      <c r="A731" s="191"/>
      <c r="H731" s="192"/>
      <c r="Q731" s="83"/>
      <c r="R731" s="83"/>
      <c r="S731" s="104"/>
      <c r="T731" s="112"/>
    </row>
    <row r="732" spans="1:20" ht="31.5" customHeight="1" x14ac:dyDescent="0.6">
      <c r="A732" s="191"/>
      <c r="H732" s="192"/>
      <c r="Q732" s="83"/>
      <c r="R732" s="83"/>
      <c r="S732" s="104"/>
      <c r="T732" s="112"/>
    </row>
    <row r="733" spans="1:20" ht="31.5" customHeight="1" x14ac:dyDescent="0.6">
      <c r="A733" s="191"/>
      <c r="H733" s="192"/>
      <c r="Q733" s="83"/>
      <c r="R733" s="83"/>
      <c r="S733" s="104"/>
      <c r="T733" s="112"/>
    </row>
    <row r="734" spans="1:20" ht="31.5" customHeight="1" x14ac:dyDescent="0.6">
      <c r="A734" s="191"/>
      <c r="H734" s="192"/>
      <c r="Q734" s="83"/>
      <c r="R734" s="83"/>
      <c r="S734" s="104"/>
      <c r="T734" s="112"/>
    </row>
    <row r="735" spans="1:20" ht="31.5" customHeight="1" x14ac:dyDescent="0.6">
      <c r="A735" s="191"/>
      <c r="H735" s="192"/>
      <c r="Q735" s="83"/>
      <c r="R735" s="83"/>
      <c r="S735" s="104"/>
      <c r="T735" s="112"/>
    </row>
    <row r="736" spans="1:20" ht="31.5" customHeight="1" x14ac:dyDescent="0.6">
      <c r="A736" s="191"/>
      <c r="H736" s="192"/>
      <c r="Q736" s="83"/>
      <c r="R736" s="83"/>
      <c r="S736" s="104"/>
      <c r="T736" s="112"/>
    </row>
    <row r="737" spans="1:20" ht="31.5" customHeight="1" x14ac:dyDescent="0.6">
      <c r="A737" s="191"/>
      <c r="H737" s="192"/>
      <c r="Q737" s="83"/>
      <c r="R737" s="83"/>
      <c r="S737" s="104"/>
      <c r="T737" s="112"/>
    </row>
    <row r="738" spans="1:20" ht="31.5" customHeight="1" x14ac:dyDescent="0.6">
      <c r="A738" s="191"/>
      <c r="H738" s="192"/>
      <c r="Q738" s="83"/>
      <c r="R738" s="83"/>
      <c r="S738" s="104"/>
      <c r="T738" s="112"/>
    </row>
    <row r="739" spans="1:20" ht="31.5" customHeight="1" x14ac:dyDescent="0.6">
      <c r="A739" s="191"/>
      <c r="H739" s="192"/>
      <c r="Q739" s="83"/>
      <c r="R739" s="83"/>
      <c r="S739" s="104"/>
      <c r="T739" s="112"/>
    </row>
    <row r="740" spans="1:20" ht="31.5" customHeight="1" x14ac:dyDescent="0.6">
      <c r="A740" s="191"/>
      <c r="H740" s="192"/>
      <c r="Q740" s="83"/>
      <c r="R740" s="83"/>
      <c r="S740" s="104"/>
      <c r="T740" s="112"/>
    </row>
    <row r="741" spans="1:20" ht="31.5" customHeight="1" x14ac:dyDescent="0.6">
      <c r="A741" s="191"/>
      <c r="H741" s="192"/>
      <c r="Q741" s="83"/>
      <c r="R741" s="83"/>
      <c r="S741" s="104"/>
      <c r="T741" s="112"/>
    </row>
    <row r="742" spans="1:20" ht="31.5" customHeight="1" x14ac:dyDescent="0.6">
      <c r="A742" s="191"/>
      <c r="H742" s="192"/>
      <c r="Q742" s="83"/>
      <c r="R742" s="83"/>
      <c r="S742" s="104"/>
      <c r="T742" s="112"/>
    </row>
    <row r="743" spans="1:20" ht="31.5" customHeight="1" x14ac:dyDescent="0.6">
      <c r="A743" s="191"/>
      <c r="H743" s="192"/>
      <c r="Q743" s="83"/>
      <c r="R743" s="83"/>
      <c r="S743" s="104"/>
      <c r="T743" s="112"/>
    </row>
    <row r="744" spans="1:20" ht="31.5" customHeight="1" x14ac:dyDescent="0.6">
      <c r="A744" s="191"/>
      <c r="H744" s="192"/>
      <c r="Q744" s="83"/>
      <c r="R744" s="83"/>
      <c r="S744" s="104"/>
      <c r="T744" s="112"/>
    </row>
    <row r="745" spans="1:20" ht="31.5" customHeight="1" x14ac:dyDescent="0.6">
      <c r="A745" s="191"/>
      <c r="H745" s="192"/>
      <c r="Q745" s="83"/>
      <c r="R745" s="83"/>
      <c r="S745" s="104"/>
      <c r="T745" s="112"/>
    </row>
    <row r="746" spans="1:20" ht="31.5" customHeight="1" x14ac:dyDescent="0.6">
      <c r="A746" s="191"/>
      <c r="H746" s="192"/>
      <c r="Q746" s="83"/>
      <c r="R746" s="83"/>
      <c r="S746" s="104"/>
      <c r="T746" s="112"/>
    </row>
    <row r="747" spans="1:20" ht="31.5" customHeight="1" x14ac:dyDescent="0.6">
      <c r="A747" s="191"/>
      <c r="H747" s="192"/>
      <c r="Q747" s="83"/>
      <c r="R747" s="83"/>
      <c r="S747" s="104"/>
      <c r="T747" s="112"/>
    </row>
    <row r="748" spans="1:20" ht="31.5" customHeight="1" x14ac:dyDescent="0.6">
      <c r="A748" s="191"/>
      <c r="H748" s="192"/>
      <c r="Q748" s="83"/>
      <c r="R748" s="83"/>
      <c r="S748" s="104"/>
      <c r="T748" s="112"/>
    </row>
    <row r="749" spans="1:20" ht="31.5" customHeight="1" x14ac:dyDescent="0.6">
      <c r="A749" s="191"/>
      <c r="H749" s="192"/>
      <c r="Q749" s="83"/>
      <c r="R749" s="83"/>
      <c r="S749" s="104"/>
      <c r="T749" s="112"/>
    </row>
    <row r="750" spans="1:20" ht="31.5" customHeight="1" x14ac:dyDescent="0.6">
      <c r="A750" s="191"/>
      <c r="H750" s="192"/>
      <c r="Q750" s="83"/>
      <c r="R750" s="83"/>
      <c r="S750" s="104"/>
      <c r="T750" s="112"/>
    </row>
    <row r="751" spans="1:20" ht="31.5" customHeight="1" x14ac:dyDescent="0.6">
      <c r="A751" s="191"/>
      <c r="H751" s="192"/>
      <c r="Q751" s="83"/>
      <c r="R751" s="83"/>
      <c r="S751" s="104"/>
      <c r="T751" s="112"/>
    </row>
    <row r="752" spans="1:20" ht="31.5" customHeight="1" x14ac:dyDescent="0.6">
      <c r="A752" s="191"/>
      <c r="H752" s="192"/>
      <c r="Q752" s="83"/>
      <c r="R752" s="83"/>
      <c r="S752" s="104"/>
      <c r="T752" s="112"/>
    </row>
    <row r="753" spans="1:20" ht="31.5" customHeight="1" x14ac:dyDescent="0.6">
      <c r="A753" s="191"/>
      <c r="H753" s="192"/>
      <c r="Q753" s="83"/>
      <c r="R753" s="83"/>
      <c r="S753" s="104"/>
      <c r="T753" s="112"/>
    </row>
    <row r="754" spans="1:20" ht="31.5" customHeight="1" x14ac:dyDescent="0.6">
      <c r="A754" s="191"/>
      <c r="H754" s="192"/>
      <c r="Q754" s="83"/>
      <c r="R754" s="83"/>
      <c r="S754" s="104"/>
      <c r="T754" s="112"/>
    </row>
    <row r="755" spans="1:20" ht="31.5" customHeight="1" x14ac:dyDescent="0.6">
      <c r="A755" s="191"/>
      <c r="H755" s="192"/>
      <c r="Q755" s="83"/>
      <c r="R755" s="83"/>
      <c r="S755" s="104"/>
      <c r="T755" s="112"/>
    </row>
    <row r="756" spans="1:20" ht="31.5" customHeight="1" x14ac:dyDescent="0.6">
      <c r="A756" s="191"/>
      <c r="H756" s="192"/>
      <c r="Q756" s="83"/>
      <c r="R756" s="83"/>
      <c r="S756" s="104"/>
      <c r="T756" s="112"/>
    </row>
    <row r="757" spans="1:20" ht="31.5" customHeight="1" x14ac:dyDescent="0.6">
      <c r="A757" s="191"/>
      <c r="H757" s="192"/>
      <c r="Q757" s="83"/>
      <c r="R757" s="83"/>
      <c r="S757" s="104"/>
      <c r="T757" s="112"/>
    </row>
    <row r="758" spans="1:20" ht="31.5" customHeight="1" x14ac:dyDescent="0.6">
      <c r="A758" s="191"/>
      <c r="H758" s="192"/>
      <c r="Q758" s="83"/>
      <c r="R758" s="83"/>
      <c r="S758" s="104"/>
      <c r="T758" s="112"/>
    </row>
    <row r="759" spans="1:20" ht="31.5" customHeight="1" x14ac:dyDescent="0.6">
      <c r="A759" s="191"/>
      <c r="H759" s="192"/>
      <c r="Q759" s="83"/>
      <c r="R759" s="83"/>
      <c r="S759" s="104"/>
      <c r="T759" s="112"/>
    </row>
    <row r="760" spans="1:20" ht="31.5" customHeight="1" x14ac:dyDescent="0.6">
      <c r="A760" s="191"/>
      <c r="H760" s="192"/>
      <c r="Q760" s="83"/>
      <c r="R760" s="83"/>
      <c r="S760" s="104"/>
      <c r="T760" s="112"/>
    </row>
    <row r="761" spans="1:20" ht="31.5" customHeight="1" x14ac:dyDescent="0.6">
      <c r="A761" s="191"/>
      <c r="H761" s="192"/>
      <c r="Q761" s="83"/>
      <c r="R761" s="83"/>
      <c r="S761" s="104"/>
      <c r="T761" s="112"/>
    </row>
    <row r="762" spans="1:20" ht="31.5" customHeight="1" x14ac:dyDescent="0.6">
      <c r="A762" s="191"/>
      <c r="H762" s="192"/>
      <c r="Q762" s="83"/>
      <c r="R762" s="83"/>
      <c r="S762" s="104"/>
      <c r="T762" s="112"/>
    </row>
    <row r="763" spans="1:20" ht="31.5" customHeight="1" x14ac:dyDescent="0.6">
      <c r="A763" s="191"/>
      <c r="H763" s="192"/>
      <c r="Q763" s="83"/>
      <c r="R763" s="83"/>
      <c r="S763" s="104"/>
      <c r="T763" s="112"/>
    </row>
    <row r="764" spans="1:20" ht="31.5" customHeight="1" x14ac:dyDescent="0.6">
      <c r="A764" s="191"/>
      <c r="H764" s="192"/>
      <c r="Q764" s="83"/>
      <c r="R764" s="83"/>
      <c r="S764" s="104"/>
      <c r="T764" s="112"/>
    </row>
    <row r="765" spans="1:20" ht="31.5" customHeight="1" x14ac:dyDescent="0.6">
      <c r="A765" s="191"/>
      <c r="H765" s="192"/>
      <c r="Q765" s="83"/>
      <c r="R765" s="83"/>
      <c r="S765" s="104"/>
      <c r="T765" s="112"/>
    </row>
    <row r="766" spans="1:20" ht="31.5" customHeight="1" x14ac:dyDescent="0.6">
      <c r="A766" s="191"/>
      <c r="H766" s="192"/>
      <c r="Q766" s="83"/>
      <c r="R766" s="83"/>
      <c r="S766" s="104"/>
      <c r="T766" s="112"/>
    </row>
    <row r="767" spans="1:20" ht="31.5" customHeight="1" x14ac:dyDescent="0.6">
      <c r="A767" s="191"/>
      <c r="H767" s="192"/>
      <c r="O767" s="115"/>
      <c r="P767" s="115"/>
      <c r="Q767" s="116"/>
      <c r="R767" s="116"/>
      <c r="S767" s="106"/>
      <c r="T767" s="117"/>
    </row>
  </sheetData>
  <mergeCells count="1">
    <mergeCell ref="D1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7"/>
  <sheetViews>
    <sheetView rightToLeft="1" zoomScale="66" zoomScaleNormal="66" workbookViewId="0">
      <selection activeCell="H10" sqref="H10"/>
    </sheetView>
  </sheetViews>
  <sheetFormatPr defaultRowHeight="14.5" x14ac:dyDescent="0.35"/>
  <cols>
    <col min="3" max="3" width="12.7265625" customWidth="1"/>
    <col min="4" max="4" width="12.90625" customWidth="1"/>
    <col min="6" max="6" width="12.6328125" customWidth="1"/>
    <col min="7" max="7" width="13.36328125" customWidth="1"/>
    <col min="8" max="8" width="25.6328125" customWidth="1"/>
    <col min="9" max="9" width="20.36328125" customWidth="1"/>
    <col min="10" max="10" width="8.90625" customWidth="1"/>
    <col min="11" max="11" width="26.7265625" bestFit="1" customWidth="1"/>
  </cols>
  <sheetData>
    <row r="1" spans="2:11" ht="92" x14ac:dyDescent="0.8">
      <c r="C1" s="201"/>
      <c r="D1" s="259" t="s">
        <v>128</v>
      </c>
      <c r="E1" s="259"/>
      <c r="F1" s="259"/>
      <c r="G1" s="259"/>
      <c r="H1" s="259"/>
    </row>
    <row r="2" spans="2:11" ht="31" x14ac:dyDescent="0.35">
      <c r="B2" s="2" t="s">
        <v>0</v>
      </c>
      <c r="C2" s="200" t="s">
        <v>6</v>
      </c>
      <c r="D2" s="62" t="s">
        <v>17</v>
      </c>
      <c r="E2" s="2" t="s">
        <v>1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</row>
    <row r="3" spans="2:11" ht="31" x14ac:dyDescent="0.65">
      <c r="B3" s="14">
        <v>1</v>
      </c>
      <c r="C3" s="185"/>
      <c r="D3" s="14"/>
      <c r="E3" s="14"/>
      <c r="F3" s="14"/>
      <c r="G3" s="15"/>
      <c r="H3" s="14"/>
      <c r="I3" s="14"/>
      <c r="J3" s="16"/>
    </row>
    <row r="4" spans="2:11" ht="31" x14ac:dyDescent="0.65">
      <c r="B4" s="14">
        <v>2</v>
      </c>
      <c r="C4" s="185"/>
      <c r="D4" s="14"/>
      <c r="E4" s="14"/>
      <c r="F4" s="14"/>
      <c r="G4" s="15"/>
      <c r="H4" s="14"/>
      <c r="I4" s="14"/>
      <c r="J4" s="16"/>
    </row>
    <row r="5" spans="2:11" ht="31" x14ac:dyDescent="0.65">
      <c r="B5" s="14">
        <v>3</v>
      </c>
      <c r="C5" s="185"/>
      <c r="D5" s="14"/>
      <c r="E5" s="14"/>
      <c r="F5" s="14"/>
      <c r="G5" s="15"/>
      <c r="H5" s="14"/>
      <c r="I5" s="14"/>
      <c r="J5" s="16"/>
    </row>
    <row r="6" spans="2:11" ht="31" x14ac:dyDescent="0.65">
      <c r="B6" s="14">
        <v>4</v>
      </c>
      <c r="C6" s="185"/>
      <c r="D6" s="14"/>
      <c r="E6" s="14"/>
      <c r="F6" s="14"/>
      <c r="G6" s="15"/>
      <c r="H6" s="14"/>
      <c r="I6" s="51"/>
      <c r="J6" s="16"/>
    </row>
    <row r="7" spans="2:11" ht="31" x14ac:dyDescent="0.65">
      <c r="B7" s="14">
        <v>5</v>
      </c>
      <c r="C7" s="185"/>
      <c r="D7" s="14"/>
      <c r="E7" s="14"/>
      <c r="F7" s="14"/>
      <c r="G7" s="15"/>
      <c r="H7" s="14"/>
      <c r="I7" s="51"/>
      <c r="J7" s="16"/>
    </row>
    <row r="8" spans="2:11" ht="31" x14ac:dyDescent="0.65">
      <c r="B8" s="14">
        <v>6</v>
      </c>
      <c r="C8" s="185"/>
      <c r="D8" s="14"/>
      <c r="E8" s="14"/>
      <c r="F8" s="14"/>
      <c r="G8" s="15"/>
      <c r="H8" s="14"/>
      <c r="I8" s="51"/>
      <c r="J8" s="16"/>
    </row>
    <row r="9" spans="2:11" ht="31" x14ac:dyDescent="0.7">
      <c r="B9" s="14">
        <v>7</v>
      </c>
      <c r="C9" s="185"/>
      <c r="D9" s="14"/>
      <c r="E9" s="14"/>
      <c r="F9" s="14"/>
      <c r="G9" s="8"/>
      <c r="H9" s="14"/>
      <c r="I9" s="14"/>
      <c r="J9" s="16"/>
    </row>
    <row r="10" spans="2:11" ht="31" x14ac:dyDescent="0.7">
      <c r="B10" s="14">
        <v>8</v>
      </c>
      <c r="C10" s="185"/>
      <c r="D10" s="14"/>
      <c r="E10" s="14"/>
      <c r="F10" s="14"/>
      <c r="G10" s="8"/>
      <c r="H10" s="14"/>
      <c r="I10" s="14"/>
      <c r="J10" s="16"/>
      <c r="K10" s="58"/>
    </row>
    <row r="11" spans="2:11" ht="31" x14ac:dyDescent="0.7">
      <c r="B11" s="14">
        <v>9</v>
      </c>
      <c r="C11" s="185"/>
      <c r="D11" s="14"/>
      <c r="E11" s="14"/>
      <c r="F11" s="14"/>
      <c r="G11" s="8"/>
      <c r="H11" s="14"/>
      <c r="I11" s="14"/>
      <c r="J11" s="16"/>
    </row>
    <row r="12" spans="2:11" ht="31" x14ac:dyDescent="0.7">
      <c r="B12" s="14">
        <v>10</v>
      </c>
      <c r="C12" s="185"/>
      <c r="D12" s="14"/>
      <c r="E12" s="14"/>
      <c r="F12" s="14"/>
      <c r="G12" s="8"/>
      <c r="H12" s="14"/>
      <c r="I12" s="14"/>
      <c r="J12" s="16"/>
    </row>
    <row r="13" spans="2:11" ht="31" x14ac:dyDescent="0.7">
      <c r="B13" s="14">
        <v>11</v>
      </c>
      <c r="C13" s="185"/>
      <c r="D13" s="14"/>
      <c r="E13" s="14"/>
      <c r="F13" s="17"/>
      <c r="G13" s="8"/>
      <c r="H13" s="14"/>
      <c r="I13" s="14"/>
      <c r="J13" s="16"/>
    </row>
    <row r="14" spans="2:11" ht="31" x14ac:dyDescent="0.7">
      <c r="B14" s="14">
        <v>12</v>
      </c>
      <c r="C14" s="185"/>
      <c r="D14" s="14"/>
      <c r="E14" s="14"/>
      <c r="F14" s="8"/>
      <c r="G14" s="8"/>
      <c r="H14" s="14"/>
      <c r="I14" s="8"/>
      <c r="J14" s="16"/>
    </row>
    <row r="15" spans="2:11" ht="31" x14ac:dyDescent="0.7">
      <c r="B15" s="14">
        <v>13</v>
      </c>
      <c r="C15" s="185"/>
      <c r="D15" s="14"/>
      <c r="E15" s="14"/>
      <c r="F15" s="8"/>
      <c r="G15" s="8"/>
      <c r="H15" s="14"/>
      <c r="I15" s="8"/>
      <c r="J15" s="16"/>
    </row>
    <row r="16" spans="2:11" ht="31" x14ac:dyDescent="0.7">
      <c r="B16" s="14">
        <v>14</v>
      </c>
      <c r="C16" s="185"/>
      <c r="D16" s="14"/>
      <c r="E16" s="14"/>
      <c r="F16" s="8"/>
      <c r="G16" s="15"/>
      <c r="H16" s="14"/>
      <c r="I16" s="8"/>
      <c r="J16" s="16"/>
    </row>
    <row r="17" spans="2:10" ht="31" x14ac:dyDescent="0.7">
      <c r="B17" s="14">
        <v>15</v>
      </c>
      <c r="C17" s="185"/>
      <c r="D17" s="14"/>
      <c r="E17" s="14"/>
      <c r="F17" s="8"/>
      <c r="G17" s="15"/>
      <c r="H17" s="14"/>
      <c r="I17" s="8"/>
      <c r="J17" s="16"/>
    </row>
    <row r="18" spans="2:10" ht="31" x14ac:dyDescent="0.7">
      <c r="B18" s="14"/>
      <c r="C18" s="185"/>
      <c r="D18" s="14"/>
      <c r="E18" s="14"/>
      <c r="F18" s="8"/>
      <c r="G18" s="15"/>
      <c r="H18" s="14"/>
      <c r="I18" s="8"/>
      <c r="J18" s="16"/>
    </row>
    <row r="19" spans="2:10" ht="31" x14ac:dyDescent="0.7">
      <c r="B19" s="8"/>
      <c r="C19" s="185"/>
      <c r="D19" s="14"/>
      <c r="E19" s="14"/>
      <c r="F19" s="8"/>
      <c r="G19" s="8"/>
      <c r="H19" s="14"/>
      <c r="I19" s="8"/>
      <c r="J19" s="16"/>
    </row>
    <row r="20" spans="2:10" ht="31" x14ac:dyDescent="0.7">
      <c r="B20" s="8"/>
      <c r="C20" s="185"/>
      <c r="D20" s="14"/>
      <c r="E20" s="14"/>
      <c r="F20" s="8"/>
      <c r="G20" s="8"/>
      <c r="H20" s="14"/>
      <c r="I20" s="8"/>
      <c r="J20" s="56"/>
    </row>
    <row r="21" spans="2:10" ht="31" x14ac:dyDescent="0.7">
      <c r="B21" s="8"/>
      <c r="C21" s="185"/>
      <c r="D21" s="14"/>
      <c r="E21" s="14"/>
      <c r="F21" s="8"/>
      <c r="G21" s="57"/>
      <c r="H21" s="14"/>
      <c r="I21" s="8"/>
      <c r="J21" s="56"/>
    </row>
    <row r="22" spans="2:10" ht="31" x14ac:dyDescent="0.7">
      <c r="B22" s="8"/>
      <c r="C22" s="185"/>
      <c r="D22" s="14"/>
      <c r="E22" s="14"/>
      <c r="F22" s="8"/>
      <c r="G22" s="57"/>
      <c r="H22" s="14"/>
      <c r="I22" s="8"/>
      <c r="J22" s="56"/>
    </row>
    <row r="23" spans="2:10" ht="31" x14ac:dyDescent="0.7">
      <c r="B23" s="8"/>
      <c r="C23" s="185"/>
      <c r="D23" s="14"/>
      <c r="E23" s="14"/>
      <c r="F23" s="8"/>
      <c r="G23" s="57"/>
      <c r="H23" s="14"/>
      <c r="I23" s="8"/>
      <c r="J23" s="56"/>
    </row>
    <row r="24" spans="2:10" ht="31" x14ac:dyDescent="0.7">
      <c r="B24" s="8"/>
      <c r="C24" s="185"/>
      <c r="D24" s="14"/>
      <c r="E24" s="14"/>
      <c r="F24" s="8"/>
      <c r="G24" s="57"/>
      <c r="H24" s="14"/>
      <c r="I24" s="8"/>
      <c r="J24" s="56"/>
    </row>
    <row r="25" spans="2:10" ht="31" x14ac:dyDescent="0.7">
      <c r="B25" s="8"/>
      <c r="C25" s="185"/>
      <c r="D25" s="14"/>
      <c r="E25" s="14"/>
      <c r="F25" s="8"/>
      <c r="G25" s="57"/>
      <c r="H25" s="14"/>
      <c r="I25" s="8"/>
      <c r="J25" s="56"/>
    </row>
    <row r="26" spans="2:10" ht="31" x14ac:dyDescent="0.7">
      <c r="B26" s="8"/>
      <c r="C26" s="185"/>
      <c r="D26" s="8"/>
      <c r="E26" s="8"/>
      <c r="F26" s="8"/>
      <c r="G26" s="8"/>
      <c r="H26" s="14"/>
      <c r="I26" s="8"/>
      <c r="J26" s="56"/>
    </row>
    <row r="27" spans="2:10" ht="31" x14ac:dyDescent="0.7">
      <c r="B27" s="8"/>
      <c r="C27" s="185"/>
      <c r="D27" s="8"/>
      <c r="E27" s="8"/>
      <c r="F27" s="8"/>
      <c r="G27" s="8"/>
      <c r="H27" s="8"/>
      <c r="I27" s="8"/>
    </row>
    <row r="28" spans="2:10" ht="31" x14ac:dyDescent="0.7">
      <c r="B28" s="8"/>
      <c r="C28" s="185"/>
      <c r="D28" s="8"/>
      <c r="E28" s="8"/>
      <c r="F28" s="8"/>
      <c r="G28" s="8"/>
      <c r="H28" s="8"/>
      <c r="I28" s="8"/>
    </row>
    <row r="29" spans="2:10" ht="31" x14ac:dyDescent="0.7">
      <c r="B29" s="8"/>
      <c r="C29" s="185"/>
      <c r="D29" s="8"/>
      <c r="E29" s="8"/>
      <c r="F29" s="8"/>
      <c r="G29" s="8"/>
      <c r="H29" s="8"/>
      <c r="I29" s="8"/>
    </row>
    <row r="30" spans="2:10" ht="31" x14ac:dyDescent="0.7">
      <c r="B30" s="8"/>
      <c r="C30" s="185"/>
      <c r="D30" s="8"/>
      <c r="E30" s="8"/>
      <c r="F30" s="8"/>
      <c r="G30" s="8"/>
      <c r="H30" s="8"/>
      <c r="I30" s="8"/>
    </row>
    <row r="31" spans="2:10" ht="31" x14ac:dyDescent="0.7">
      <c r="B31" s="8"/>
      <c r="C31" s="185"/>
      <c r="D31" s="8"/>
      <c r="E31" s="8"/>
      <c r="F31" s="8"/>
      <c r="G31" s="8"/>
      <c r="H31" s="8"/>
      <c r="I31" s="8"/>
    </row>
    <row r="32" spans="2:10" ht="31" x14ac:dyDescent="0.7">
      <c r="B32" s="8"/>
      <c r="C32" s="185"/>
      <c r="D32" s="8"/>
      <c r="E32" s="8"/>
      <c r="F32" s="8"/>
      <c r="G32" s="8"/>
      <c r="H32" s="8"/>
      <c r="I32" s="8"/>
    </row>
    <row r="33" spans="2:9" ht="31" x14ac:dyDescent="0.7">
      <c r="B33" s="8"/>
      <c r="C33" s="185"/>
      <c r="D33" s="8"/>
      <c r="E33" s="8"/>
      <c r="F33" s="8"/>
      <c r="G33" s="8"/>
      <c r="H33" s="8"/>
      <c r="I33" s="8"/>
    </row>
    <row r="34" spans="2:9" ht="31" x14ac:dyDescent="0.7">
      <c r="B34" s="8"/>
      <c r="C34" s="185"/>
      <c r="D34" s="8"/>
      <c r="E34" s="8"/>
      <c r="F34" s="8"/>
      <c r="G34" s="8"/>
      <c r="H34" s="8"/>
      <c r="I34" s="8"/>
    </row>
    <row r="35" spans="2:9" ht="31" x14ac:dyDescent="0.7">
      <c r="B35" s="8"/>
      <c r="C35" s="185"/>
      <c r="D35" s="8"/>
      <c r="E35" s="8"/>
      <c r="F35" s="8"/>
      <c r="G35" s="8"/>
      <c r="H35" s="8"/>
      <c r="I35" s="8"/>
    </row>
    <row r="36" spans="2:9" ht="31" x14ac:dyDescent="0.7">
      <c r="B36" s="8"/>
      <c r="C36" s="185"/>
      <c r="D36" s="8"/>
      <c r="E36" s="8"/>
      <c r="F36" s="8"/>
      <c r="G36" s="8"/>
      <c r="H36" s="8"/>
      <c r="I36" s="8"/>
    </row>
    <row r="37" spans="2:9" ht="31" x14ac:dyDescent="0.7">
      <c r="B37" s="8"/>
      <c r="C37" s="185"/>
      <c r="D37" s="8"/>
      <c r="E37" s="8"/>
      <c r="F37" s="8"/>
      <c r="G37" s="8"/>
      <c r="H37" s="8"/>
      <c r="I37" s="8"/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rightToLeft="1" zoomScale="90" zoomScaleNormal="90" workbookViewId="0">
      <selection activeCell="I45" sqref="I45"/>
    </sheetView>
  </sheetViews>
  <sheetFormatPr defaultColWidth="9" defaultRowHeight="31" x14ac:dyDescent="0.7"/>
  <cols>
    <col min="1" max="1" width="9" style="67"/>
    <col min="2" max="2" width="8.08984375" style="67" customWidth="1"/>
    <col min="3" max="3" width="34.26953125" style="78" customWidth="1"/>
    <col min="4" max="4" width="22.26953125" style="78" customWidth="1"/>
    <col min="5" max="5" width="17.36328125" style="78" customWidth="1"/>
    <col min="6" max="6" width="20.6328125" style="78" customWidth="1"/>
    <col min="7" max="7" width="12.7265625" style="78" customWidth="1"/>
    <col min="8" max="10" width="9" style="67"/>
    <col min="11" max="11" width="9.90625" style="67" bestFit="1" customWidth="1"/>
    <col min="12" max="16384" width="9" style="67"/>
  </cols>
  <sheetData>
    <row r="1" spans="1:11" ht="30" customHeight="1" x14ac:dyDescent="0.7">
      <c r="A1" s="59"/>
      <c r="B1" s="59"/>
      <c r="C1" s="59"/>
    </row>
    <row r="2" spans="1:11" ht="34.5" customHeight="1" x14ac:dyDescent="0.8">
      <c r="D2" s="260" t="s">
        <v>126</v>
      </c>
      <c r="E2" s="260"/>
      <c r="F2" s="81"/>
      <c r="G2" s="203"/>
    </row>
    <row r="3" spans="1:11" ht="34.5" customHeight="1" x14ac:dyDescent="0.8">
      <c r="D3" s="80" t="s">
        <v>23</v>
      </c>
      <c r="E3" s="80"/>
      <c r="G3" s="203"/>
    </row>
    <row r="4" spans="1:11" x14ac:dyDescent="0.7">
      <c r="G4" s="203"/>
    </row>
    <row r="5" spans="1:11" ht="33.5" x14ac:dyDescent="0.35">
      <c r="B5" s="90" t="s">
        <v>0</v>
      </c>
      <c r="C5" s="91" t="s">
        <v>7</v>
      </c>
      <c r="D5" s="91" t="s">
        <v>24</v>
      </c>
      <c r="E5" s="91" t="s">
        <v>4</v>
      </c>
      <c r="F5" s="91" t="s">
        <v>3</v>
      </c>
      <c r="G5" s="202" t="s">
        <v>6</v>
      </c>
    </row>
    <row r="6" spans="1:11" x14ac:dyDescent="0.7">
      <c r="B6" s="92">
        <v>1</v>
      </c>
      <c r="C6" s="93" t="s">
        <v>137</v>
      </c>
      <c r="D6" s="93" t="s">
        <v>138</v>
      </c>
      <c r="E6" s="93" t="s">
        <v>139</v>
      </c>
      <c r="F6" s="93">
        <v>1063419139</v>
      </c>
      <c r="G6" s="204">
        <v>45444</v>
      </c>
    </row>
    <row r="7" spans="1:11" x14ac:dyDescent="0.7">
      <c r="B7" s="92">
        <v>2</v>
      </c>
      <c r="C7" s="93" t="s">
        <v>198</v>
      </c>
      <c r="D7" s="93" t="s">
        <v>138</v>
      </c>
      <c r="E7" s="93" t="s">
        <v>199</v>
      </c>
      <c r="F7" s="93">
        <v>1159323000</v>
      </c>
      <c r="G7" s="204">
        <v>45445</v>
      </c>
    </row>
    <row r="8" spans="1:11" x14ac:dyDescent="0.7">
      <c r="B8" s="92">
        <v>3</v>
      </c>
      <c r="C8" s="94" t="s">
        <v>209</v>
      </c>
      <c r="D8" s="93" t="s">
        <v>138</v>
      </c>
      <c r="E8" s="93" t="s">
        <v>210</v>
      </c>
      <c r="F8" s="93">
        <v>1200374449</v>
      </c>
      <c r="G8" s="204">
        <v>45445</v>
      </c>
    </row>
    <row r="9" spans="1:11" x14ac:dyDescent="0.7">
      <c r="B9" s="92" t="s">
        <v>342</v>
      </c>
      <c r="C9" s="93" t="s">
        <v>211</v>
      </c>
      <c r="D9" s="93" t="s">
        <v>138</v>
      </c>
      <c r="E9" s="93" t="s">
        <v>212</v>
      </c>
      <c r="F9" s="93">
        <v>1122559912</v>
      </c>
      <c r="G9" s="204">
        <v>45445</v>
      </c>
    </row>
    <row r="10" spans="1:11" x14ac:dyDescent="0.7">
      <c r="B10" s="92">
        <v>5</v>
      </c>
      <c r="C10" s="93" t="s">
        <v>258</v>
      </c>
      <c r="D10" s="93" t="s">
        <v>259</v>
      </c>
      <c r="E10" s="93" t="s">
        <v>212</v>
      </c>
      <c r="F10" s="93">
        <v>1091067058</v>
      </c>
      <c r="G10" s="204">
        <v>45446</v>
      </c>
    </row>
    <row r="11" spans="1:11" x14ac:dyDescent="0.7">
      <c r="B11" s="92">
        <v>6</v>
      </c>
      <c r="C11" s="93" t="s">
        <v>268</v>
      </c>
      <c r="D11" s="93" t="s">
        <v>269</v>
      </c>
      <c r="E11" s="93" t="s">
        <v>270</v>
      </c>
      <c r="F11" s="93">
        <v>1101845923</v>
      </c>
      <c r="G11" s="204">
        <v>45447</v>
      </c>
      <c r="K11" s="118"/>
    </row>
    <row r="12" spans="1:11" x14ac:dyDescent="0.7">
      <c r="B12" s="92">
        <v>7</v>
      </c>
      <c r="C12" s="93" t="s">
        <v>271</v>
      </c>
      <c r="D12" s="93" t="s">
        <v>138</v>
      </c>
      <c r="E12" s="93" t="s">
        <v>212</v>
      </c>
      <c r="F12" s="93">
        <v>1158143619</v>
      </c>
      <c r="G12" s="204">
        <v>45447</v>
      </c>
      <c r="K12" s="118"/>
    </row>
    <row r="13" spans="1:11" x14ac:dyDescent="0.7">
      <c r="B13" s="92">
        <v>8</v>
      </c>
      <c r="C13" s="93" t="s">
        <v>277</v>
      </c>
      <c r="D13" s="93" t="s">
        <v>278</v>
      </c>
      <c r="E13" s="93" t="s">
        <v>212</v>
      </c>
      <c r="F13" s="93" t="s">
        <v>279</v>
      </c>
      <c r="G13" s="204">
        <v>45448</v>
      </c>
    </row>
    <row r="14" spans="1:11" x14ac:dyDescent="0.7">
      <c r="B14" s="92">
        <v>9</v>
      </c>
      <c r="C14" s="93" t="s">
        <v>283</v>
      </c>
      <c r="D14" s="93" t="s">
        <v>278</v>
      </c>
      <c r="E14" s="93" t="s">
        <v>212</v>
      </c>
      <c r="F14" s="93" t="s">
        <v>279</v>
      </c>
      <c r="G14" s="204">
        <v>45448</v>
      </c>
    </row>
    <row r="15" spans="1:11" x14ac:dyDescent="0.7">
      <c r="B15" s="92">
        <v>10</v>
      </c>
      <c r="C15" s="93" t="s">
        <v>296</v>
      </c>
      <c r="D15" s="93" t="s">
        <v>278</v>
      </c>
      <c r="E15" s="93" t="s">
        <v>212</v>
      </c>
      <c r="F15" s="93" t="s">
        <v>279</v>
      </c>
      <c r="G15" s="204">
        <v>45449</v>
      </c>
    </row>
    <row r="16" spans="1:11" x14ac:dyDescent="0.7">
      <c r="B16" s="92">
        <v>11</v>
      </c>
      <c r="C16" s="93" t="s">
        <v>341</v>
      </c>
      <c r="D16" s="93" t="s">
        <v>278</v>
      </c>
      <c r="E16" s="93" t="s">
        <v>343</v>
      </c>
      <c r="F16" s="93" t="s">
        <v>279</v>
      </c>
      <c r="G16" s="204">
        <v>45449</v>
      </c>
    </row>
    <row r="17" spans="2:8" x14ac:dyDescent="0.7">
      <c r="B17" s="92">
        <v>12</v>
      </c>
      <c r="C17" s="93" t="s">
        <v>299</v>
      </c>
      <c r="D17" s="93" t="s">
        <v>278</v>
      </c>
      <c r="E17" s="93" t="s">
        <v>212</v>
      </c>
      <c r="F17" s="93">
        <v>1157173636</v>
      </c>
      <c r="G17" s="204">
        <v>45449</v>
      </c>
    </row>
    <row r="18" spans="2:8" x14ac:dyDescent="0.7">
      <c r="B18" s="92">
        <v>13</v>
      </c>
      <c r="C18" s="93" t="s">
        <v>337</v>
      </c>
      <c r="D18" s="93" t="s">
        <v>278</v>
      </c>
      <c r="E18" s="93" t="s">
        <v>212</v>
      </c>
      <c r="F18" s="93">
        <v>1277011751</v>
      </c>
      <c r="G18" s="204">
        <v>45451</v>
      </c>
    </row>
    <row r="19" spans="2:8" x14ac:dyDescent="0.7">
      <c r="B19" s="92">
        <v>14</v>
      </c>
      <c r="C19" s="93" t="s">
        <v>338</v>
      </c>
      <c r="D19" s="93" t="s">
        <v>278</v>
      </c>
      <c r="E19" s="93" t="s">
        <v>212</v>
      </c>
      <c r="F19" s="93">
        <v>1030972352</v>
      </c>
      <c r="G19" s="204">
        <v>45451</v>
      </c>
      <c r="H19" s="35"/>
    </row>
    <row r="20" spans="2:8" x14ac:dyDescent="0.7">
      <c r="B20" s="92">
        <v>15</v>
      </c>
      <c r="C20" s="93" t="s">
        <v>340</v>
      </c>
      <c r="D20" s="93" t="s">
        <v>278</v>
      </c>
      <c r="E20" s="93" t="s">
        <v>212</v>
      </c>
      <c r="F20" s="93">
        <v>1098225989</v>
      </c>
      <c r="G20" s="204">
        <v>45451</v>
      </c>
      <c r="H20" s="35"/>
    </row>
    <row r="21" spans="2:8" x14ac:dyDescent="0.7">
      <c r="B21" s="92">
        <v>16</v>
      </c>
      <c r="C21" s="93" t="s">
        <v>344</v>
      </c>
      <c r="D21" s="93" t="s">
        <v>278</v>
      </c>
      <c r="E21" s="93" t="s">
        <v>212</v>
      </c>
      <c r="F21" s="93">
        <v>1005207324</v>
      </c>
      <c r="G21" s="204">
        <v>45452</v>
      </c>
    </row>
    <row r="22" spans="2:8" x14ac:dyDescent="0.7">
      <c r="B22" s="92">
        <v>17</v>
      </c>
      <c r="C22" s="93" t="s">
        <v>347</v>
      </c>
      <c r="D22" s="93" t="s">
        <v>278</v>
      </c>
      <c r="E22" s="93" t="s">
        <v>261</v>
      </c>
      <c r="F22" s="93">
        <v>1013525784</v>
      </c>
      <c r="G22" s="204">
        <v>45452</v>
      </c>
    </row>
    <row r="23" spans="2:8" x14ac:dyDescent="0.7">
      <c r="B23" s="92">
        <v>18</v>
      </c>
      <c r="C23" s="93" t="s">
        <v>350</v>
      </c>
      <c r="D23" s="93" t="s">
        <v>351</v>
      </c>
      <c r="E23" s="93" t="s">
        <v>352</v>
      </c>
      <c r="F23" s="93">
        <v>1207562460</v>
      </c>
      <c r="G23" s="204">
        <v>45453</v>
      </c>
    </row>
    <row r="24" spans="2:8" x14ac:dyDescent="0.7">
      <c r="B24" s="92">
        <v>19</v>
      </c>
      <c r="C24" s="93" t="s">
        <v>404</v>
      </c>
      <c r="D24" s="93" t="s">
        <v>138</v>
      </c>
      <c r="E24" s="93" t="s">
        <v>199</v>
      </c>
      <c r="F24" s="93" t="s">
        <v>279</v>
      </c>
      <c r="G24" s="204">
        <v>45454</v>
      </c>
    </row>
    <row r="25" spans="2:8" x14ac:dyDescent="0.7">
      <c r="B25" s="92">
        <v>20</v>
      </c>
      <c r="C25" s="93" t="s">
        <v>405</v>
      </c>
      <c r="D25" s="93" t="s">
        <v>138</v>
      </c>
      <c r="E25" s="93" t="s">
        <v>406</v>
      </c>
      <c r="F25" s="93">
        <v>114877337</v>
      </c>
      <c r="G25" s="204">
        <v>45454</v>
      </c>
    </row>
    <row r="26" spans="2:8" x14ac:dyDescent="0.7">
      <c r="B26" s="92">
        <v>21</v>
      </c>
      <c r="C26" s="93" t="s">
        <v>416</v>
      </c>
      <c r="D26" s="93" t="s">
        <v>138</v>
      </c>
      <c r="E26" s="93" t="s">
        <v>417</v>
      </c>
      <c r="F26" s="93">
        <v>1123925471</v>
      </c>
      <c r="G26" s="204">
        <v>45455</v>
      </c>
    </row>
    <row r="27" spans="2:8" x14ac:dyDescent="0.7">
      <c r="B27" s="92">
        <v>22</v>
      </c>
      <c r="C27" s="93" t="s">
        <v>418</v>
      </c>
      <c r="D27" s="93" t="s">
        <v>138</v>
      </c>
      <c r="E27" s="93" t="s">
        <v>419</v>
      </c>
      <c r="F27" s="93">
        <v>1028287123</v>
      </c>
      <c r="G27" s="204">
        <v>45455</v>
      </c>
    </row>
    <row r="28" spans="2:8" x14ac:dyDescent="0.7">
      <c r="B28" s="92">
        <v>23</v>
      </c>
      <c r="C28" s="93" t="s">
        <v>422</v>
      </c>
      <c r="D28" s="93" t="s">
        <v>138</v>
      </c>
      <c r="E28" s="93" t="s">
        <v>212</v>
      </c>
      <c r="F28" s="93" t="s">
        <v>279</v>
      </c>
      <c r="G28" s="204">
        <v>45455</v>
      </c>
    </row>
    <row r="29" spans="2:8" x14ac:dyDescent="0.7">
      <c r="B29" s="92">
        <v>24</v>
      </c>
      <c r="C29" s="93" t="s">
        <v>416</v>
      </c>
      <c r="D29" s="93" t="s">
        <v>138</v>
      </c>
      <c r="E29" s="93" t="s">
        <v>417</v>
      </c>
      <c r="F29" s="93">
        <v>1123925471</v>
      </c>
      <c r="G29" s="204">
        <v>45455</v>
      </c>
    </row>
    <row r="30" spans="2:8" x14ac:dyDescent="0.7">
      <c r="B30" s="92">
        <v>86199</v>
      </c>
      <c r="C30" s="93" t="s">
        <v>441</v>
      </c>
      <c r="D30" s="93" t="s">
        <v>138</v>
      </c>
      <c r="E30" s="93" t="s">
        <v>419</v>
      </c>
      <c r="F30" s="93">
        <v>1229480624</v>
      </c>
      <c r="G30" s="204">
        <v>45456</v>
      </c>
    </row>
    <row r="31" spans="2:8" x14ac:dyDescent="0.7">
      <c r="B31" s="92">
        <v>26</v>
      </c>
      <c r="C31" s="95" t="s">
        <v>442</v>
      </c>
      <c r="D31" s="93" t="s">
        <v>138</v>
      </c>
      <c r="E31" s="93" t="s">
        <v>212</v>
      </c>
      <c r="F31" s="93">
        <v>1018035048</v>
      </c>
      <c r="G31" s="204">
        <v>45456</v>
      </c>
    </row>
    <row r="32" spans="2:8" x14ac:dyDescent="0.7">
      <c r="B32" s="92">
        <v>27</v>
      </c>
      <c r="C32" s="93" t="s">
        <v>450</v>
      </c>
      <c r="D32" s="93" t="s">
        <v>451</v>
      </c>
      <c r="E32" s="96" t="s">
        <v>210</v>
      </c>
      <c r="F32" s="97">
        <v>1507874904</v>
      </c>
      <c r="G32" s="204">
        <v>45462</v>
      </c>
    </row>
    <row r="33" spans="2:7" x14ac:dyDescent="0.7">
      <c r="B33" s="92">
        <v>28</v>
      </c>
      <c r="C33" s="93" t="s">
        <v>452</v>
      </c>
      <c r="D33" s="93" t="s">
        <v>138</v>
      </c>
      <c r="E33" s="96" t="s">
        <v>212</v>
      </c>
      <c r="F33" s="97">
        <v>1117807987</v>
      </c>
      <c r="G33" s="204">
        <v>45462</v>
      </c>
    </row>
    <row r="34" spans="2:7" x14ac:dyDescent="0.7">
      <c r="B34" s="92">
        <v>29</v>
      </c>
      <c r="C34" s="93" t="s">
        <v>453</v>
      </c>
      <c r="D34" s="93" t="s">
        <v>138</v>
      </c>
      <c r="E34" s="96" t="s">
        <v>212</v>
      </c>
      <c r="F34" s="97">
        <v>1117807987</v>
      </c>
      <c r="G34" s="204">
        <v>45462</v>
      </c>
    </row>
    <row r="35" spans="2:7" x14ac:dyDescent="0.7">
      <c r="B35" s="92">
        <v>30</v>
      </c>
      <c r="C35" s="99" t="s">
        <v>454</v>
      </c>
      <c r="D35" s="93" t="s">
        <v>138</v>
      </c>
      <c r="E35" s="99" t="s">
        <v>455</v>
      </c>
      <c r="F35" s="97">
        <v>1102986199</v>
      </c>
      <c r="G35" s="204">
        <v>45462</v>
      </c>
    </row>
    <row r="36" spans="2:7" x14ac:dyDescent="0.7">
      <c r="B36" s="92">
        <v>31</v>
      </c>
      <c r="C36" s="93" t="s">
        <v>456</v>
      </c>
      <c r="D36" s="93" t="s">
        <v>138</v>
      </c>
      <c r="E36" s="99" t="s">
        <v>455</v>
      </c>
      <c r="F36" s="97">
        <v>1102986199</v>
      </c>
      <c r="G36" s="204">
        <v>45462</v>
      </c>
    </row>
    <row r="37" spans="2:7" x14ac:dyDescent="0.7">
      <c r="B37" s="92">
        <v>32</v>
      </c>
      <c r="C37" s="93" t="s">
        <v>457</v>
      </c>
      <c r="D37" s="93" t="s">
        <v>138</v>
      </c>
      <c r="E37" s="99" t="s">
        <v>455</v>
      </c>
      <c r="F37" s="97">
        <v>1102986199</v>
      </c>
      <c r="G37" s="204">
        <v>45462</v>
      </c>
    </row>
    <row r="38" spans="2:7" x14ac:dyDescent="0.7">
      <c r="B38" s="92">
        <v>33</v>
      </c>
      <c r="C38" s="93" t="s">
        <v>458</v>
      </c>
      <c r="D38" s="93" t="s">
        <v>138</v>
      </c>
      <c r="E38" s="93" t="s">
        <v>459</v>
      </c>
      <c r="F38" s="93">
        <v>1125562282</v>
      </c>
      <c r="G38" s="204">
        <v>45462</v>
      </c>
    </row>
    <row r="39" spans="2:7" x14ac:dyDescent="0.7">
      <c r="B39" s="92">
        <v>34</v>
      </c>
      <c r="C39" s="93" t="s">
        <v>462</v>
      </c>
      <c r="D39" s="93" t="s">
        <v>138</v>
      </c>
      <c r="E39" s="93" t="s">
        <v>212</v>
      </c>
      <c r="F39" s="93" t="s">
        <v>279</v>
      </c>
      <c r="G39" s="204">
        <v>45463</v>
      </c>
    </row>
    <row r="40" spans="2:7" x14ac:dyDescent="0.7">
      <c r="B40" s="92">
        <v>35</v>
      </c>
      <c r="C40" s="93" t="s">
        <v>463</v>
      </c>
      <c r="D40" s="93" t="s">
        <v>138</v>
      </c>
      <c r="E40" s="93" t="s">
        <v>212</v>
      </c>
      <c r="F40" s="93" t="s">
        <v>279</v>
      </c>
      <c r="G40" s="204">
        <v>45463</v>
      </c>
    </row>
    <row r="41" spans="2:7" x14ac:dyDescent="0.7">
      <c r="B41" s="92">
        <v>36</v>
      </c>
      <c r="C41" s="99" t="s">
        <v>507</v>
      </c>
      <c r="D41" s="93" t="s">
        <v>138</v>
      </c>
      <c r="E41" s="93" t="s">
        <v>212</v>
      </c>
      <c r="F41" s="99" t="s">
        <v>279</v>
      </c>
      <c r="G41" s="204">
        <v>45463</v>
      </c>
    </row>
    <row r="42" spans="2:7" x14ac:dyDescent="0.7">
      <c r="B42" s="92">
        <v>37</v>
      </c>
      <c r="C42" s="93" t="s">
        <v>512</v>
      </c>
      <c r="D42" s="93" t="s">
        <v>513</v>
      </c>
      <c r="E42" s="93" t="s">
        <v>210</v>
      </c>
      <c r="F42" s="93" t="s">
        <v>279</v>
      </c>
      <c r="G42" s="205">
        <v>45466</v>
      </c>
    </row>
    <row r="43" spans="2:7" x14ac:dyDescent="0.7">
      <c r="B43" s="92">
        <v>38</v>
      </c>
      <c r="C43" s="99" t="s">
        <v>514</v>
      </c>
      <c r="D43" s="93" t="s">
        <v>138</v>
      </c>
      <c r="E43" s="99" t="s">
        <v>212</v>
      </c>
      <c r="F43" s="99" t="s">
        <v>279</v>
      </c>
      <c r="G43" s="205">
        <v>45466</v>
      </c>
    </row>
    <row r="44" spans="2:7" x14ac:dyDescent="0.7">
      <c r="B44" s="92">
        <v>39</v>
      </c>
      <c r="C44" s="93" t="s">
        <v>523</v>
      </c>
      <c r="D44" s="93" t="s">
        <v>138</v>
      </c>
      <c r="E44" s="93" t="s">
        <v>212</v>
      </c>
      <c r="F44" s="93">
        <v>1140251048</v>
      </c>
      <c r="G44" s="205">
        <v>45466</v>
      </c>
    </row>
    <row r="45" spans="2:7" x14ac:dyDescent="0.7">
      <c r="B45" s="92">
        <v>40</v>
      </c>
      <c r="C45" s="93" t="s">
        <v>542</v>
      </c>
      <c r="D45" s="93" t="s">
        <v>259</v>
      </c>
      <c r="E45" s="93" t="s">
        <v>261</v>
      </c>
      <c r="F45" s="93">
        <v>1123904326</v>
      </c>
      <c r="G45" s="205">
        <v>45467</v>
      </c>
    </row>
    <row r="46" spans="2:7" x14ac:dyDescent="0.7">
      <c r="B46" s="92">
        <v>41</v>
      </c>
      <c r="C46" s="93" t="s">
        <v>577</v>
      </c>
      <c r="D46" s="93" t="s">
        <v>138</v>
      </c>
      <c r="E46" s="93" t="s">
        <v>212</v>
      </c>
      <c r="F46" s="93">
        <v>1100293824</v>
      </c>
      <c r="G46" s="205">
        <v>45467</v>
      </c>
    </row>
    <row r="47" spans="2:7" x14ac:dyDescent="0.7">
      <c r="B47" s="92">
        <v>42</v>
      </c>
      <c r="C47" s="95" t="s">
        <v>585</v>
      </c>
      <c r="D47" s="93" t="s">
        <v>138</v>
      </c>
      <c r="E47" s="93" t="s">
        <v>212</v>
      </c>
      <c r="F47" s="95">
        <v>1127206419</v>
      </c>
      <c r="G47" s="205">
        <v>45469</v>
      </c>
    </row>
    <row r="48" spans="2:7" x14ac:dyDescent="0.7">
      <c r="B48" s="92">
        <v>43</v>
      </c>
      <c r="C48" s="95" t="s">
        <v>586</v>
      </c>
      <c r="D48" s="93" t="s">
        <v>138</v>
      </c>
      <c r="E48" s="95" t="s">
        <v>459</v>
      </c>
      <c r="F48" s="95">
        <v>1143985667</v>
      </c>
      <c r="G48" s="205">
        <v>45469</v>
      </c>
    </row>
    <row r="49" spans="2:7" x14ac:dyDescent="0.7">
      <c r="B49" s="92">
        <v>44</v>
      </c>
      <c r="C49" s="92" t="s">
        <v>587</v>
      </c>
      <c r="D49" s="93" t="s">
        <v>138</v>
      </c>
      <c r="E49" s="92" t="s">
        <v>212</v>
      </c>
      <c r="F49" s="95">
        <v>1027206758</v>
      </c>
      <c r="G49" s="205">
        <v>45469</v>
      </c>
    </row>
    <row r="50" spans="2:7" x14ac:dyDescent="0.7">
      <c r="B50" s="92">
        <v>45</v>
      </c>
      <c r="C50" s="92" t="s">
        <v>588</v>
      </c>
      <c r="D50" s="93" t="s">
        <v>138</v>
      </c>
      <c r="E50" s="92" t="s">
        <v>212</v>
      </c>
      <c r="F50" s="92">
        <v>1111290805</v>
      </c>
      <c r="G50" s="205">
        <v>45469</v>
      </c>
    </row>
    <row r="51" spans="2:7" x14ac:dyDescent="0.7">
      <c r="B51" s="92">
        <v>46</v>
      </c>
      <c r="C51" s="92" t="s">
        <v>589</v>
      </c>
      <c r="D51" s="93" t="s">
        <v>138</v>
      </c>
      <c r="E51" s="92" t="s">
        <v>212</v>
      </c>
      <c r="F51" s="95" t="s">
        <v>279</v>
      </c>
      <c r="G51" s="205">
        <v>45469</v>
      </c>
    </row>
    <row r="52" spans="2:7" x14ac:dyDescent="0.7">
      <c r="B52" s="92">
        <v>47</v>
      </c>
      <c r="C52" s="92" t="s">
        <v>590</v>
      </c>
      <c r="D52" s="93" t="s">
        <v>138</v>
      </c>
      <c r="E52" s="92" t="s">
        <v>455</v>
      </c>
      <c r="F52" s="95">
        <v>115652802</v>
      </c>
      <c r="G52" s="205">
        <v>45470</v>
      </c>
    </row>
    <row r="53" spans="2:7" x14ac:dyDescent="0.7">
      <c r="B53" s="92">
        <v>48</v>
      </c>
      <c r="C53" s="92" t="s">
        <v>647</v>
      </c>
      <c r="D53" s="93" t="s">
        <v>138</v>
      </c>
      <c r="E53" s="92" t="s">
        <v>212</v>
      </c>
      <c r="F53" s="97">
        <v>1122255128</v>
      </c>
      <c r="G53" s="205">
        <v>45473</v>
      </c>
    </row>
    <row r="54" spans="2:7" x14ac:dyDescent="0.7">
      <c r="B54" s="92">
        <v>49</v>
      </c>
      <c r="C54" s="92" t="s">
        <v>648</v>
      </c>
      <c r="D54" s="93" t="s">
        <v>138</v>
      </c>
      <c r="E54" s="93" t="s">
        <v>419</v>
      </c>
      <c r="F54" s="92">
        <v>1121600271</v>
      </c>
      <c r="G54" s="205">
        <v>45473</v>
      </c>
    </row>
    <row r="55" spans="2:7" x14ac:dyDescent="0.7">
      <c r="B55" s="92">
        <v>50</v>
      </c>
      <c r="C55" s="93" t="s">
        <v>649</v>
      </c>
      <c r="D55" s="93" t="s">
        <v>138</v>
      </c>
      <c r="E55" s="93" t="s">
        <v>650</v>
      </c>
      <c r="F55" s="93">
        <v>1113707717</v>
      </c>
      <c r="G55" s="205">
        <v>45473</v>
      </c>
    </row>
    <row r="56" spans="2:7" x14ac:dyDescent="0.7">
      <c r="B56" s="92">
        <v>51</v>
      </c>
      <c r="C56" s="93" t="s">
        <v>651</v>
      </c>
      <c r="D56" s="93" t="s">
        <v>138</v>
      </c>
      <c r="E56" s="93" t="s">
        <v>212</v>
      </c>
      <c r="F56" s="93" t="s">
        <v>279</v>
      </c>
      <c r="G56" s="205">
        <v>45473</v>
      </c>
    </row>
    <row r="57" spans="2:7" x14ac:dyDescent="0.7">
      <c r="B57" s="92">
        <v>52</v>
      </c>
      <c r="C57" s="93"/>
      <c r="D57" s="93"/>
      <c r="E57" s="93"/>
      <c r="F57" s="93"/>
      <c r="G57" s="204"/>
    </row>
    <row r="58" spans="2:7" x14ac:dyDescent="0.7">
      <c r="B58" s="92">
        <v>53</v>
      </c>
      <c r="C58" s="93"/>
      <c r="D58" s="93"/>
      <c r="E58" s="93"/>
      <c r="F58" s="93"/>
      <c r="G58" s="204"/>
    </row>
    <row r="59" spans="2:7" x14ac:dyDescent="0.7">
      <c r="B59" s="92">
        <v>54</v>
      </c>
      <c r="C59" s="93"/>
      <c r="D59" s="93"/>
      <c r="E59" s="93"/>
      <c r="F59" s="93"/>
      <c r="G59" s="204"/>
    </row>
    <row r="60" spans="2:7" x14ac:dyDescent="0.7">
      <c r="B60" s="92">
        <v>55</v>
      </c>
      <c r="C60" s="93"/>
      <c r="D60" s="93"/>
      <c r="E60" s="93"/>
      <c r="F60" s="93"/>
      <c r="G60" s="204"/>
    </row>
    <row r="61" spans="2:7" x14ac:dyDescent="0.7">
      <c r="B61" s="92">
        <v>56</v>
      </c>
      <c r="C61" s="93"/>
      <c r="D61" s="93"/>
      <c r="E61" s="93"/>
      <c r="F61" s="93"/>
      <c r="G61" s="204"/>
    </row>
    <row r="62" spans="2:7" x14ac:dyDescent="0.7">
      <c r="B62" s="92">
        <v>57</v>
      </c>
      <c r="C62" s="92"/>
      <c r="D62" s="92"/>
      <c r="E62" s="92"/>
      <c r="F62" s="92"/>
      <c r="G62" s="202"/>
    </row>
    <row r="63" spans="2:7" x14ac:dyDescent="0.7">
      <c r="B63" s="92">
        <v>58</v>
      </c>
      <c r="C63" s="92"/>
      <c r="D63" s="92"/>
      <c r="E63" s="92"/>
      <c r="F63" s="92"/>
      <c r="G63" s="202"/>
    </row>
    <row r="64" spans="2:7" x14ac:dyDescent="0.7">
      <c r="B64" s="92">
        <v>59</v>
      </c>
      <c r="C64" s="92"/>
      <c r="D64" s="92"/>
      <c r="E64" s="92"/>
      <c r="F64" s="92"/>
      <c r="G64" s="202"/>
    </row>
    <row r="65" spans="2:7" x14ac:dyDescent="0.7">
      <c r="B65" s="92">
        <v>60</v>
      </c>
      <c r="C65" s="92"/>
      <c r="D65" s="92"/>
      <c r="E65" s="92"/>
      <c r="F65" s="92"/>
      <c r="G65" s="202"/>
    </row>
    <row r="66" spans="2:7" x14ac:dyDescent="0.7">
      <c r="B66" s="92">
        <v>61</v>
      </c>
      <c r="C66" s="92"/>
      <c r="D66" s="92"/>
      <c r="E66" s="92"/>
      <c r="F66" s="92"/>
      <c r="G66" s="202"/>
    </row>
    <row r="67" spans="2:7" x14ac:dyDescent="0.7">
      <c r="B67" s="92">
        <v>62</v>
      </c>
      <c r="C67" s="92"/>
      <c r="D67" s="92"/>
      <c r="E67" s="92"/>
      <c r="F67" s="92"/>
      <c r="G67" s="202"/>
    </row>
    <row r="68" spans="2:7" x14ac:dyDescent="0.7">
      <c r="B68" s="92">
        <v>63</v>
      </c>
      <c r="C68" s="92"/>
      <c r="D68" s="92"/>
      <c r="E68" s="92"/>
      <c r="F68" s="92"/>
      <c r="G68" s="202"/>
    </row>
    <row r="69" spans="2:7" x14ac:dyDescent="0.7">
      <c r="B69" s="92">
        <v>64</v>
      </c>
      <c r="C69" s="92"/>
      <c r="D69" s="92"/>
      <c r="E69" s="92"/>
      <c r="F69" s="92"/>
      <c r="G69" s="202"/>
    </row>
    <row r="70" spans="2:7" x14ac:dyDescent="0.7">
      <c r="B70" s="92">
        <v>65</v>
      </c>
      <c r="C70" s="92"/>
      <c r="D70" s="92"/>
      <c r="E70" s="92"/>
      <c r="F70" s="92"/>
      <c r="G70" s="202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72"/>
  <sheetViews>
    <sheetView rightToLeft="1" topLeftCell="A57" zoomScale="90" zoomScaleNormal="90" workbookViewId="0">
      <selection activeCell="G70" sqref="G70"/>
    </sheetView>
  </sheetViews>
  <sheetFormatPr defaultColWidth="9" defaultRowHeight="26" x14ac:dyDescent="0.6"/>
  <cols>
    <col min="1" max="1" width="5.453125" style="83" customWidth="1"/>
    <col min="2" max="2" width="29.26953125" style="82" customWidth="1"/>
    <col min="3" max="3" width="6.36328125" style="82" customWidth="1"/>
    <col min="4" max="4" width="22.453125" style="82" customWidth="1"/>
    <col min="5" max="5" width="23.7265625" style="82" customWidth="1"/>
    <col min="6" max="6" width="21" style="82" customWidth="1"/>
    <col min="7" max="7" width="12.7265625" style="35" customWidth="1"/>
    <col min="8" max="8" width="22.26953125" style="67" bestFit="1" customWidth="1"/>
    <col min="9" max="16384" width="9" style="67"/>
  </cols>
  <sheetData>
    <row r="1" spans="1:7" x14ac:dyDescent="0.55000000000000004">
      <c r="C1" s="261" t="s">
        <v>129</v>
      </c>
      <c r="D1" s="261"/>
      <c r="G1" s="175"/>
    </row>
    <row r="2" spans="1:7" x14ac:dyDescent="0.55000000000000004">
      <c r="G2" s="175"/>
    </row>
    <row r="3" spans="1:7" ht="23.5" x14ac:dyDescent="0.55000000000000004">
      <c r="A3" s="43" t="s">
        <v>0</v>
      </c>
      <c r="B3" s="87" t="s">
        <v>58</v>
      </c>
      <c r="C3" s="87" t="s">
        <v>1</v>
      </c>
      <c r="D3" s="87" t="s">
        <v>3</v>
      </c>
      <c r="E3" s="87" t="s">
        <v>15</v>
      </c>
      <c r="F3" s="87" t="s">
        <v>25</v>
      </c>
      <c r="G3" s="194" t="s">
        <v>6</v>
      </c>
    </row>
    <row r="4" spans="1:7" ht="23.5" x14ac:dyDescent="0.55000000000000004">
      <c r="A4" s="74">
        <v>1</v>
      </c>
      <c r="B4" s="74" t="s">
        <v>204</v>
      </c>
      <c r="C4" s="74" t="s">
        <v>131</v>
      </c>
      <c r="D4" s="74">
        <v>1123773660</v>
      </c>
      <c r="E4" s="74" t="s">
        <v>159</v>
      </c>
      <c r="F4" s="74" t="s">
        <v>159</v>
      </c>
      <c r="G4" s="172">
        <v>45445</v>
      </c>
    </row>
    <row r="5" spans="1:7" ht="23.5" x14ac:dyDescent="0.55000000000000004">
      <c r="A5" s="74">
        <v>2</v>
      </c>
      <c r="B5" s="74" t="s">
        <v>205</v>
      </c>
      <c r="C5" s="74" t="s">
        <v>148</v>
      </c>
      <c r="D5" s="74">
        <v>1143717501</v>
      </c>
      <c r="E5" s="74" t="s">
        <v>159</v>
      </c>
      <c r="F5" s="74" t="s">
        <v>159</v>
      </c>
      <c r="G5" s="172">
        <v>45445</v>
      </c>
    </row>
    <row r="6" spans="1:7" ht="23.5" x14ac:dyDescent="0.55000000000000004">
      <c r="A6" s="74">
        <v>3</v>
      </c>
      <c r="B6" s="74" t="s">
        <v>206</v>
      </c>
      <c r="C6" s="74" t="s">
        <v>148</v>
      </c>
      <c r="D6" s="74">
        <v>1147751888</v>
      </c>
      <c r="E6" s="74" t="s">
        <v>183</v>
      </c>
      <c r="F6" s="74" t="s">
        <v>183</v>
      </c>
      <c r="G6" s="172">
        <v>45445</v>
      </c>
    </row>
    <row r="7" spans="1:7" ht="23.5" x14ac:dyDescent="0.55000000000000004">
      <c r="A7" s="74">
        <v>4</v>
      </c>
      <c r="B7" s="74" t="s">
        <v>207</v>
      </c>
      <c r="C7" s="74" t="s">
        <v>131</v>
      </c>
      <c r="D7" s="74">
        <v>1096186898</v>
      </c>
      <c r="E7" s="74" t="s">
        <v>208</v>
      </c>
      <c r="F7" s="74" t="s">
        <v>208</v>
      </c>
      <c r="G7" s="172">
        <v>45445</v>
      </c>
    </row>
    <row r="8" spans="1:7" ht="23.5" x14ac:dyDescent="0.55000000000000004">
      <c r="A8" s="74">
        <v>5</v>
      </c>
      <c r="B8" s="74" t="s">
        <v>265</v>
      </c>
      <c r="C8" s="74" t="s">
        <v>131</v>
      </c>
      <c r="D8" s="74">
        <v>1003651210</v>
      </c>
      <c r="E8" s="74" t="s">
        <v>135</v>
      </c>
      <c r="F8" s="74" t="s">
        <v>267</v>
      </c>
      <c r="G8" s="172">
        <v>45447</v>
      </c>
    </row>
    <row r="9" spans="1:7" ht="23.5" x14ac:dyDescent="0.55000000000000004">
      <c r="A9" s="74">
        <v>6</v>
      </c>
      <c r="B9" s="74" t="s">
        <v>266</v>
      </c>
      <c r="C9" s="74" t="s">
        <v>131</v>
      </c>
      <c r="D9" s="74">
        <v>1003651210</v>
      </c>
      <c r="E9" s="74" t="s">
        <v>135</v>
      </c>
      <c r="F9" s="74" t="s">
        <v>267</v>
      </c>
      <c r="G9" s="172">
        <v>45447</v>
      </c>
    </row>
    <row r="10" spans="1:7" ht="23.5" x14ac:dyDescent="0.55000000000000004">
      <c r="A10" s="74">
        <v>7</v>
      </c>
      <c r="B10" s="74" t="s">
        <v>273</v>
      </c>
      <c r="C10" s="74" t="s">
        <v>148</v>
      </c>
      <c r="D10" s="74">
        <v>1143577143</v>
      </c>
      <c r="E10" s="74" t="s">
        <v>161</v>
      </c>
      <c r="F10" s="74" t="s">
        <v>161</v>
      </c>
      <c r="G10" s="172">
        <v>45448</v>
      </c>
    </row>
    <row r="11" spans="1:7" ht="23.5" x14ac:dyDescent="0.55000000000000004">
      <c r="A11" s="74">
        <v>8</v>
      </c>
      <c r="B11" s="74" t="s">
        <v>274</v>
      </c>
      <c r="C11" s="74" t="s">
        <v>148</v>
      </c>
      <c r="D11" s="74">
        <v>1145045759</v>
      </c>
      <c r="E11" s="74" t="s">
        <v>248</v>
      </c>
      <c r="F11" s="74" t="s">
        <v>275</v>
      </c>
      <c r="G11" s="172">
        <v>45448</v>
      </c>
    </row>
    <row r="12" spans="1:7" ht="23.5" x14ac:dyDescent="0.55000000000000004">
      <c r="A12" s="74">
        <v>9</v>
      </c>
      <c r="B12" s="74" t="s">
        <v>276</v>
      </c>
      <c r="C12" s="74" t="s">
        <v>148</v>
      </c>
      <c r="D12" s="74">
        <v>1150912569</v>
      </c>
      <c r="E12" s="74" t="s">
        <v>280</v>
      </c>
      <c r="F12" s="74" t="s">
        <v>263</v>
      </c>
      <c r="G12" s="172">
        <v>45448</v>
      </c>
    </row>
    <row r="13" spans="1:7" ht="23.5" x14ac:dyDescent="0.55000000000000004">
      <c r="A13" s="74">
        <v>10</v>
      </c>
      <c r="B13" s="74" t="s">
        <v>281</v>
      </c>
      <c r="C13" s="74" t="s">
        <v>148</v>
      </c>
      <c r="D13" s="74">
        <v>1129144260</v>
      </c>
      <c r="E13" s="74" t="s">
        <v>133</v>
      </c>
      <c r="F13" s="74" t="s">
        <v>133</v>
      </c>
      <c r="G13" s="172">
        <v>45448</v>
      </c>
    </row>
    <row r="14" spans="1:7" ht="23.5" x14ac:dyDescent="0.55000000000000004">
      <c r="A14" s="74">
        <v>11</v>
      </c>
      <c r="B14" s="74" t="s">
        <v>282</v>
      </c>
      <c r="C14" s="74" t="s">
        <v>141</v>
      </c>
      <c r="D14" s="74" t="s">
        <v>134</v>
      </c>
      <c r="E14" s="74" t="s">
        <v>133</v>
      </c>
      <c r="F14" s="74" t="s">
        <v>133</v>
      </c>
      <c r="G14" s="172">
        <v>45448</v>
      </c>
    </row>
    <row r="15" spans="1:7" ht="23.5" x14ac:dyDescent="0.55000000000000004">
      <c r="A15" s="74">
        <v>12</v>
      </c>
      <c r="B15" s="74" t="s">
        <v>284</v>
      </c>
      <c r="C15" s="74" t="s">
        <v>148</v>
      </c>
      <c r="D15" s="74" t="s">
        <v>134</v>
      </c>
      <c r="E15" s="74" t="s">
        <v>135</v>
      </c>
      <c r="F15" s="74" t="s">
        <v>267</v>
      </c>
      <c r="G15" s="172">
        <v>45448</v>
      </c>
    </row>
    <row r="16" spans="1:7" ht="23.5" x14ac:dyDescent="0.55000000000000004">
      <c r="A16" s="74">
        <v>13</v>
      </c>
      <c r="B16" s="74" t="s">
        <v>339</v>
      </c>
      <c r="C16" s="74" t="s">
        <v>148</v>
      </c>
      <c r="D16" s="74" t="s">
        <v>134</v>
      </c>
      <c r="E16" s="74" t="s">
        <v>213</v>
      </c>
      <c r="F16" s="74" t="s">
        <v>213</v>
      </c>
      <c r="G16" s="172">
        <v>45451</v>
      </c>
    </row>
    <row r="17" spans="1:7" ht="23.5" x14ac:dyDescent="0.55000000000000004">
      <c r="A17" s="74">
        <v>14</v>
      </c>
      <c r="B17" s="74" t="s">
        <v>345</v>
      </c>
      <c r="C17" s="74" t="s">
        <v>141</v>
      </c>
      <c r="D17" s="74" t="s">
        <v>134</v>
      </c>
      <c r="E17" s="74" t="s">
        <v>135</v>
      </c>
      <c r="F17" s="74" t="s">
        <v>275</v>
      </c>
      <c r="G17" s="172">
        <v>45452</v>
      </c>
    </row>
    <row r="18" spans="1:7" ht="23.5" x14ac:dyDescent="0.55000000000000004">
      <c r="A18" s="74">
        <v>15</v>
      </c>
      <c r="B18" s="74" t="s">
        <v>346</v>
      </c>
      <c r="C18" s="74" t="s">
        <v>148</v>
      </c>
      <c r="D18" s="74" t="s">
        <v>134</v>
      </c>
      <c r="E18" s="74" t="s">
        <v>135</v>
      </c>
      <c r="F18" s="74" t="s">
        <v>135</v>
      </c>
      <c r="G18" s="172">
        <v>45452</v>
      </c>
    </row>
    <row r="19" spans="1:7" ht="23.5" x14ac:dyDescent="0.55000000000000004">
      <c r="A19" s="74">
        <v>16</v>
      </c>
      <c r="B19" s="74" t="s">
        <v>325</v>
      </c>
      <c r="C19" s="74" t="s">
        <v>148</v>
      </c>
      <c r="D19" s="74" t="s">
        <v>134</v>
      </c>
      <c r="E19" s="74" t="s">
        <v>146</v>
      </c>
      <c r="F19" s="74" t="s">
        <v>232</v>
      </c>
      <c r="G19" s="172">
        <v>45453</v>
      </c>
    </row>
    <row r="20" spans="1:7" ht="23.5" x14ac:dyDescent="0.55000000000000004">
      <c r="A20" s="74">
        <v>17</v>
      </c>
      <c r="B20" s="74" t="s">
        <v>349</v>
      </c>
      <c r="C20" s="74" t="s">
        <v>148</v>
      </c>
      <c r="D20" s="74">
        <v>1552086393</v>
      </c>
      <c r="E20" s="74" t="s">
        <v>146</v>
      </c>
      <c r="F20" s="74" t="s">
        <v>232</v>
      </c>
      <c r="G20" s="172">
        <v>45453</v>
      </c>
    </row>
    <row r="21" spans="1:7" ht="23.5" x14ac:dyDescent="0.55000000000000004">
      <c r="A21" s="74">
        <v>18</v>
      </c>
      <c r="B21" s="74" t="s">
        <v>407</v>
      </c>
      <c r="C21" s="74" t="s">
        <v>141</v>
      </c>
      <c r="D21" s="74">
        <v>1005806390</v>
      </c>
      <c r="E21" s="74" t="s">
        <v>408</v>
      </c>
      <c r="F21" s="74" t="s">
        <v>409</v>
      </c>
      <c r="G21" s="172">
        <v>45454</v>
      </c>
    </row>
    <row r="22" spans="1:7" ht="23.5" x14ac:dyDescent="0.55000000000000004">
      <c r="A22" s="74">
        <v>19</v>
      </c>
      <c r="B22" s="74" t="s">
        <v>410</v>
      </c>
      <c r="C22" s="74" t="s">
        <v>411</v>
      </c>
      <c r="D22" s="74" t="s">
        <v>134</v>
      </c>
      <c r="E22" s="74" t="s">
        <v>175</v>
      </c>
      <c r="F22" s="74" t="s">
        <v>409</v>
      </c>
      <c r="G22" s="172">
        <v>45454</v>
      </c>
    </row>
    <row r="23" spans="1:7" ht="23.5" x14ac:dyDescent="0.55000000000000004">
      <c r="A23" s="74">
        <v>20</v>
      </c>
      <c r="B23" s="74" t="s">
        <v>412</v>
      </c>
      <c r="C23" s="74" t="s">
        <v>359</v>
      </c>
      <c r="D23" s="74">
        <v>1127132190</v>
      </c>
      <c r="E23" s="74" t="s">
        <v>135</v>
      </c>
      <c r="F23" s="74" t="s">
        <v>413</v>
      </c>
      <c r="G23" s="172">
        <v>45455</v>
      </c>
    </row>
    <row r="24" spans="1:7" ht="23.5" x14ac:dyDescent="0.55000000000000004">
      <c r="A24" s="74">
        <v>21</v>
      </c>
      <c r="B24" s="74" t="s">
        <v>414</v>
      </c>
      <c r="C24" s="74" t="s">
        <v>354</v>
      </c>
      <c r="D24" s="74">
        <v>1155082692</v>
      </c>
      <c r="E24" s="74" t="s">
        <v>135</v>
      </c>
      <c r="F24" s="74" t="s">
        <v>413</v>
      </c>
      <c r="G24" s="172">
        <v>45455</v>
      </c>
    </row>
    <row r="25" spans="1:7" ht="23.5" x14ac:dyDescent="0.55000000000000004">
      <c r="A25" s="74">
        <v>22</v>
      </c>
      <c r="B25" s="74" t="s">
        <v>420</v>
      </c>
      <c r="C25" s="74" t="s">
        <v>356</v>
      </c>
      <c r="D25" s="74">
        <v>1151710570</v>
      </c>
      <c r="E25" s="74" t="s">
        <v>135</v>
      </c>
      <c r="F25" s="74" t="s">
        <v>413</v>
      </c>
      <c r="G25" s="172">
        <v>45455</v>
      </c>
    </row>
    <row r="26" spans="1:7" ht="23.5" x14ac:dyDescent="0.55000000000000004">
      <c r="A26" s="74">
        <v>23</v>
      </c>
      <c r="B26" s="74" t="s">
        <v>421</v>
      </c>
      <c r="C26" s="74" t="s">
        <v>354</v>
      </c>
      <c r="D26" s="74" t="s">
        <v>134</v>
      </c>
      <c r="E26" s="74" t="s">
        <v>133</v>
      </c>
      <c r="F26" s="74" t="s">
        <v>133</v>
      </c>
      <c r="G26" s="172">
        <v>45455</v>
      </c>
    </row>
    <row r="27" spans="1:7" ht="23.5" x14ac:dyDescent="0.55000000000000004">
      <c r="A27" s="74">
        <v>24</v>
      </c>
      <c r="B27" s="74" t="s">
        <v>423</v>
      </c>
      <c r="C27" s="74" t="s">
        <v>131</v>
      </c>
      <c r="D27" s="74">
        <v>1121192189</v>
      </c>
      <c r="E27" s="74" t="s">
        <v>135</v>
      </c>
      <c r="F27" s="74" t="s">
        <v>267</v>
      </c>
      <c r="G27" s="172">
        <v>45455</v>
      </c>
    </row>
    <row r="28" spans="1:7" ht="23.5" x14ac:dyDescent="0.55000000000000004">
      <c r="A28" s="74">
        <v>25</v>
      </c>
      <c r="B28" s="74" t="s">
        <v>421</v>
      </c>
      <c r="C28" s="74" t="s">
        <v>148</v>
      </c>
      <c r="D28" s="74" t="s">
        <v>279</v>
      </c>
      <c r="E28" s="74" t="s">
        <v>133</v>
      </c>
      <c r="F28" s="74" t="s">
        <v>133</v>
      </c>
      <c r="G28" s="172">
        <v>45455</v>
      </c>
    </row>
    <row r="29" spans="1:7" ht="23.5" x14ac:dyDescent="0.55000000000000004">
      <c r="A29" s="74">
        <v>26</v>
      </c>
      <c r="B29" s="74" t="s">
        <v>447</v>
      </c>
      <c r="C29" s="74" t="s">
        <v>148</v>
      </c>
      <c r="D29" s="74" t="s">
        <v>279</v>
      </c>
      <c r="E29" s="74" t="s">
        <v>135</v>
      </c>
      <c r="F29" s="74" t="s">
        <v>413</v>
      </c>
      <c r="G29" s="172">
        <v>45462</v>
      </c>
    </row>
    <row r="30" spans="1:7" ht="23.5" x14ac:dyDescent="0.55000000000000004">
      <c r="A30" s="74">
        <v>27</v>
      </c>
      <c r="B30" s="74" t="s">
        <v>448</v>
      </c>
      <c r="C30" s="74" t="s">
        <v>131</v>
      </c>
      <c r="D30" s="74">
        <v>1112013102</v>
      </c>
      <c r="E30" s="74" t="s">
        <v>449</v>
      </c>
      <c r="F30" s="74" t="s">
        <v>449</v>
      </c>
      <c r="G30" s="172">
        <v>45462</v>
      </c>
    </row>
    <row r="31" spans="1:7" ht="23.5" x14ac:dyDescent="0.55000000000000004">
      <c r="A31" s="74">
        <v>28</v>
      </c>
      <c r="B31" s="74" t="s">
        <v>460</v>
      </c>
      <c r="C31" s="74" t="s">
        <v>148</v>
      </c>
      <c r="D31" s="74" t="s">
        <v>134</v>
      </c>
      <c r="E31" s="74" t="s">
        <v>135</v>
      </c>
      <c r="F31" s="74" t="s">
        <v>135</v>
      </c>
      <c r="G31" s="172">
        <v>45463</v>
      </c>
    </row>
    <row r="32" spans="1:7" ht="23.5" x14ac:dyDescent="0.55000000000000004">
      <c r="A32" s="74">
        <v>29</v>
      </c>
      <c r="B32" s="74" t="s">
        <v>461</v>
      </c>
      <c r="C32" s="74" t="s">
        <v>141</v>
      </c>
      <c r="D32" s="74">
        <v>1116471329</v>
      </c>
      <c r="E32" s="74" t="s">
        <v>135</v>
      </c>
      <c r="F32" s="74" t="s">
        <v>135</v>
      </c>
      <c r="G32" s="172">
        <v>45463</v>
      </c>
    </row>
    <row r="33" spans="1:8" ht="23.5" x14ac:dyDescent="0.55000000000000004">
      <c r="A33" s="74">
        <v>30</v>
      </c>
      <c r="B33" s="74" t="s">
        <v>511</v>
      </c>
      <c r="C33" s="74" t="s">
        <v>131</v>
      </c>
      <c r="D33" s="74">
        <v>1503757833</v>
      </c>
      <c r="E33" s="74" t="s">
        <v>213</v>
      </c>
      <c r="F33" s="74" t="s">
        <v>213</v>
      </c>
      <c r="G33" s="172">
        <v>45465</v>
      </c>
    </row>
    <row r="34" spans="1:8" ht="23.5" x14ac:dyDescent="0.55000000000000004">
      <c r="A34" s="74">
        <v>31</v>
      </c>
      <c r="B34" s="74" t="s">
        <v>515</v>
      </c>
      <c r="C34" s="74" t="s">
        <v>141</v>
      </c>
      <c r="D34" s="74" t="s">
        <v>516</v>
      </c>
      <c r="E34" s="74" t="s">
        <v>183</v>
      </c>
      <c r="F34" s="74" t="s">
        <v>183</v>
      </c>
      <c r="G34" s="172">
        <v>45466</v>
      </c>
    </row>
    <row r="35" spans="1:8" ht="23.5" x14ac:dyDescent="0.55000000000000004">
      <c r="A35" s="74">
        <v>32</v>
      </c>
      <c r="B35" s="74" t="s">
        <v>517</v>
      </c>
      <c r="C35" s="74" t="s">
        <v>148</v>
      </c>
      <c r="D35" s="74">
        <v>1126524718</v>
      </c>
      <c r="E35" s="74" t="s">
        <v>135</v>
      </c>
      <c r="F35" s="74" t="s">
        <v>135</v>
      </c>
      <c r="G35" s="172">
        <v>45466</v>
      </c>
    </row>
    <row r="36" spans="1:8" ht="23.5" x14ac:dyDescent="0.55000000000000004">
      <c r="A36" s="74">
        <v>33</v>
      </c>
      <c r="B36" s="74" t="s">
        <v>518</v>
      </c>
      <c r="C36" s="74" t="s">
        <v>131</v>
      </c>
      <c r="D36" s="74" t="s">
        <v>134</v>
      </c>
      <c r="E36" s="74" t="s">
        <v>133</v>
      </c>
      <c r="F36" s="74" t="s">
        <v>133</v>
      </c>
      <c r="G36" s="172">
        <v>45466</v>
      </c>
    </row>
    <row r="37" spans="1:8" ht="23.5" x14ac:dyDescent="0.55000000000000004">
      <c r="A37" s="74">
        <v>34</v>
      </c>
      <c r="B37" s="74" t="s">
        <v>519</v>
      </c>
      <c r="C37" s="74" t="s">
        <v>148</v>
      </c>
      <c r="D37" s="74">
        <v>120161666321</v>
      </c>
      <c r="E37" s="74" t="s">
        <v>135</v>
      </c>
      <c r="F37" s="74" t="s">
        <v>135</v>
      </c>
      <c r="G37" s="172">
        <v>45466</v>
      </c>
    </row>
    <row r="38" spans="1:8" ht="23.5" x14ac:dyDescent="0.55000000000000004">
      <c r="A38" s="74">
        <v>35</v>
      </c>
      <c r="B38" s="74" t="s">
        <v>520</v>
      </c>
      <c r="C38" s="74" t="s">
        <v>131</v>
      </c>
      <c r="D38" s="74" t="s">
        <v>134</v>
      </c>
      <c r="E38" s="74" t="s">
        <v>135</v>
      </c>
      <c r="F38" s="74" t="s">
        <v>135</v>
      </c>
      <c r="G38" s="172">
        <v>45466</v>
      </c>
    </row>
    <row r="39" spans="1:8" ht="23.5" x14ac:dyDescent="0.55000000000000004">
      <c r="A39" s="74">
        <v>36</v>
      </c>
      <c r="B39" s="74" t="s">
        <v>521</v>
      </c>
      <c r="C39" s="74" t="s">
        <v>148</v>
      </c>
      <c r="D39" s="74">
        <v>11122376365</v>
      </c>
      <c r="E39" s="74" t="s">
        <v>135</v>
      </c>
      <c r="F39" s="74" t="s">
        <v>135</v>
      </c>
      <c r="G39" s="172">
        <v>45466</v>
      </c>
    </row>
    <row r="40" spans="1:8" ht="23.5" x14ac:dyDescent="0.55000000000000004">
      <c r="A40" s="74">
        <v>35</v>
      </c>
      <c r="B40" s="74" t="s">
        <v>522</v>
      </c>
      <c r="C40" s="74" t="s">
        <v>131</v>
      </c>
      <c r="D40" s="74">
        <v>1147292907</v>
      </c>
      <c r="E40" s="74" t="s">
        <v>226</v>
      </c>
      <c r="F40" s="74" t="s">
        <v>135</v>
      </c>
      <c r="G40" s="172">
        <v>45466</v>
      </c>
    </row>
    <row r="41" spans="1:8" ht="23.5" x14ac:dyDescent="0.55000000000000004">
      <c r="A41" s="74">
        <v>36</v>
      </c>
      <c r="B41" s="74" t="s">
        <v>524</v>
      </c>
      <c r="C41" s="74" t="s">
        <v>131</v>
      </c>
      <c r="D41" s="74" t="s">
        <v>134</v>
      </c>
      <c r="E41" s="74" t="s">
        <v>135</v>
      </c>
      <c r="F41" s="74" t="s">
        <v>135</v>
      </c>
      <c r="G41" s="172">
        <v>45466</v>
      </c>
    </row>
    <row r="42" spans="1:8" ht="31" x14ac:dyDescent="0.7">
      <c r="A42" s="74">
        <v>37</v>
      </c>
      <c r="B42" s="74" t="s">
        <v>525</v>
      </c>
      <c r="C42" s="74" t="s">
        <v>131</v>
      </c>
      <c r="D42" s="71">
        <v>1025800964</v>
      </c>
      <c r="E42" s="74" t="s">
        <v>135</v>
      </c>
      <c r="F42" s="74" t="s">
        <v>135</v>
      </c>
      <c r="G42" s="172">
        <v>45466</v>
      </c>
      <c r="H42" s="100"/>
    </row>
    <row r="43" spans="1:8" ht="31" x14ac:dyDescent="0.7">
      <c r="A43" s="74">
        <v>38</v>
      </c>
      <c r="B43" s="74" t="s">
        <v>526</v>
      </c>
      <c r="C43" s="74" t="s">
        <v>141</v>
      </c>
      <c r="D43" s="71">
        <v>1076699519</v>
      </c>
      <c r="E43" s="74" t="s">
        <v>135</v>
      </c>
      <c r="F43" s="74" t="s">
        <v>135</v>
      </c>
      <c r="G43" s="172">
        <v>45466</v>
      </c>
      <c r="H43" s="100"/>
    </row>
    <row r="44" spans="1:8" ht="23.5" x14ac:dyDescent="0.55000000000000004">
      <c r="A44" s="74">
        <v>39</v>
      </c>
      <c r="B44" s="74" t="s">
        <v>527</v>
      </c>
      <c r="C44" s="74" t="s">
        <v>141</v>
      </c>
      <c r="D44" s="74" t="s">
        <v>134</v>
      </c>
      <c r="E44" s="74" t="s">
        <v>135</v>
      </c>
      <c r="F44" s="74" t="s">
        <v>135</v>
      </c>
      <c r="G44" s="172">
        <v>45466</v>
      </c>
    </row>
    <row r="45" spans="1:8" ht="23.5" x14ac:dyDescent="0.55000000000000004">
      <c r="A45" s="74">
        <v>40</v>
      </c>
      <c r="B45" s="74" t="s">
        <v>534</v>
      </c>
      <c r="C45" s="74" t="s">
        <v>141</v>
      </c>
      <c r="D45" s="74" t="s">
        <v>134</v>
      </c>
      <c r="E45" s="74" t="s">
        <v>146</v>
      </c>
      <c r="F45" s="74" t="s">
        <v>146</v>
      </c>
      <c r="G45" s="172">
        <v>45467</v>
      </c>
    </row>
    <row r="46" spans="1:8" ht="23.5" x14ac:dyDescent="0.55000000000000004">
      <c r="A46" s="74">
        <v>41</v>
      </c>
      <c r="B46" s="74" t="s">
        <v>541</v>
      </c>
      <c r="C46" s="74" t="s">
        <v>354</v>
      </c>
      <c r="D46" s="74">
        <v>1118112865</v>
      </c>
      <c r="E46" s="74" t="s">
        <v>146</v>
      </c>
      <c r="F46" s="74" t="s">
        <v>146</v>
      </c>
      <c r="G46" s="172">
        <v>45467</v>
      </c>
    </row>
    <row r="47" spans="1:8" ht="23.5" x14ac:dyDescent="0.55000000000000004">
      <c r="A47" s="74">
        <v>42</v>
      </c>
      <c r="B47" s="74" t="s">
        <v>544</v>
      </c>
      <c r="C47" s="74" t="s">
        <v>359</v>
      </c>
      <c r="D47" s="74" t="s">
        <v>134</v>
      </c>
      <c r="E47" s="74" t="s">
        <v>226</v>
      </c>
      <c r="F47" s="74" t="s">
        <v>540</v>
      </c>
      <c r="G47" s="172">
        <v>45467</v>
      </c>
    </row>
    <row r="48" spans="1:8" ht="23.5" x14ac:dyDescent="0.55000000000000004">
      <c r="A48" s="74">
        <v>43</v>
      </c>
      <c r="B48" s="74" t="s">
        <v>578</v>
      </c>
      <c r="C48" s="74" t="s">
        <v>148</v>
      </c>
      <c r="D48" s="74">
        <v>1117906478</v>
      </c>
      <c r="E48" s="74" t="s">
        <v>135</v>
      </c>
      <c r="F48" s="74" t="s">
        <v>409</v>
      </c>
      <c r="G48" s="172">
        <v>45468</v>
      </c>
    </row>
    <row r="49" spans="1:7" ht="23.5" x14ac:dyDescent="0.55000000000000004">
      <c r="A49" s="74">
        <v>44</v>
      </c>
      <c r="B49" s="74" t="s">
        <v>579</v>
      </c>
      <c r="C49" s="74" t="s">
        <v>131</v>
      </c>
      <c r="D49" s="74">
        <v>1116281842</v>
      </c>
      <c r="E49" s="74" t="s">
        <v>135</v>
      </c>
      <c r="F49" s="74" t="s">
        <v>409</v>
      </c>
      <c r="G49" s="172">
        <v>45468</v>
      </c>
    </row>
    <row r="50" spans="1:7" ht="23.5" x14ac:dyDescent="0.55000000000000004">
      <c r="A50" s="74">
        <v>45</v>
      </c>
      <c r="B50" s="74" t="s">
        <v>580</v>
      </c>
      <c r="C50" s="74" t="s">
        <v>141</v>
      </c>
      <c r="D50" s="74">
        <v>1127633851</v>
      </c>
      <c r="E50" s="74" t="s">
        <v>135</v>
      </c>
      <c r="F50" s="74" t="s">
        <v>409</v>
      </c>
      <c r="G50" s="172">
        <v>45468</v>
      </c>
    </row>
    <row r="51" spans="1:7" ht="23.5" x14ac:dyDescent="0.55000000000000004">
      <c r="A51" s="74">
        <v>46</v>
      </c>
      <c r="B51" s="74" t="s">
        <v>581</v>
      </c>
      <c r="C51" s="74" t="s">
        <v>141</v>
      </c>
      <c r="D51" s="74">
        <v>1150262657</v>
      </c>
      <c r="E51" s="74" t="s">
        <v>135</v>
      </c>
      <c r="F51" s="74" t="s">
        <v>409</v>
      </c>
      <c r="G51" s="172">
        <v>45468</v>
      </c>
    </row>
    <row r="52" spans="1:7" ht="23.5" x14ac:dyDescent="0.55000000000000004">
      <c r="A52" s="74">
        <v>47</v>
      </c>
      <c r="B52" s="74" t="s">
        <v>582</v>
      </c>
      <c r="C52" s="74" t="s">
        <v>141</v>
      </c>
      <c r="D52" s="74" t="s">
        <v>134</v>
      </c>
      <c r="E52" s="74" t="s">
        <v>280</v>
      </c>
      <c r="F52" s="74" t="s">
        <v>409</v>
      </c>
      <c r="G52" s="172">
        <v>45468</v>
      </c>
    </row>
    <row r="53" spans="1:7" ht="23.5" x14ac:dyDescent="0.55000000000000004">
      <c r="A53" s="74">
        <v>48</v>
      </c>
      <c r="B53" s="74" t="s">
        <v>583</v>
      </c>
      <c r="C53" s="74" t="s">
        <v>141</v>
      </c>
      <c r="D53" s="74">
        <v>1282226710</v>
      </c>
      <c r="E53" s="74" t="s">
        <v>159</v>
      </c>
      <c r="F53" s="74" t="s">
        <v>159</v>
      </c>
      <c r="G53" s="172">
        <v>45468</v>
      </c>
    </row>
    <row r="54" spans="1:7" ht="23.5" x14ac:dyDescent="0.55000000000000004">
      <c r="A54" s="74">
        <v>49</v>
      </c>
      <c r="B54" s="74" t="s">
        <v>584</v>
      </c>
      <c r="C54" s="74" t="s">
        <v>131</v>
      </c>
      <c r="D54" s="74">
        <v>1206134281</v>
      </c>
      <c r="E54" s="74" t="s">
        <v>135</v>
      </c>
      <c r="F54" s="74" t="s">
        <v>135</v>
      </c>
      <c r="G54" s="172">
        <v>45468</v>
      </c>
    </row>
    <row r="55" spans="1:7" ht="23.5" x14ac:dyDescent="0.55000000000000004">
      <c r="A55" s="74">
        <v>50</v>
      </c>
      <c r="B55" s="74" t="s">
        <v>626</v>
      </c>
      <c r="C55" s="74" t="s">
        <v>141</v>
      </c>
      <c r="D55" s="74">
        <v>1145245608</v>
      </c>
      <c r="E55" s="74" t="s">
        <v>500</v>
      </c>
      <c r="F55" s="74" t="s">
        <v>500</v>
      </c>
      <c r="G55" s="172">
        <v>45470</v>
      </c>
    </row>
    <row r="56" spans="1:7" ht="23.5" x14ac:dyDescent="0.55000000000000004">
      <c r="A56" s="74">
        <v>51</v>
      </c>
      <c r="B56" s="74" t="s">
        <v>627</v>
      </c>
      <c r="C56" s="74" t="s">
        <v>148</v>
      </c>
      <c r="D56" s="74">
        <v>1156528021</v>
      </c>
      <c r="E56" s="74" t="s">
        <v>500</v>
      </c>
      <c r="F56" s="74" t="s">
        <v>500</v>
      </c>
      <c r="G56" s="172">
        <v>45470</v>
      </c>
    </row>
    <row r="57" spans="1:7" ht="23.5" x14ac:dyDescent="0.55000000000000004">
      <c r="A57" s="74">
        <v>52</v>
      </c>
      <c r="B57" s="74" t="s">
        <v>628</v>
      </c>
      <c r="C57" s="74" t="s">
        <v>148</v>
      </c>
      <c r="D57" s="74" t="s">
        <v>279</v>
      </c>
      <c r="E57" s="74" t="s">
        <v>500</v>
      </c>
      <c r="F57" s="74" t="s">
        <v>500</v>
      </c>
      <c r="G57" s="172">
        <v>45470</v>
      </c>
    </row>
    <row r="58" spans="1:7" ht="23.5" x14ac:dyDescent="0.55000000000000004">
      <c r="A58" s="74">
        <v>53</v>
      </c>
      <c r="B58" s="74" t="s">
        <v>629</v>
      </c>
      <c r="C58" s="74" t="s">
        <v>131</v>
      </c>
      <c r="D58" s="74">
        <v>1275403866</v>
      </c>
      <c r="E58" s="74" t="s">
        <v>213</v>
      </c>
      <c r="F58" s="74" t="s">
        <v>213</v>
      </c>
      <c r="G58" s="172">
        <v>45472</v>
      </c>
    </row>
    <row r="59" spans="1:7" ht="23.5" x14ac:dyDescent="0.55000000000000004">
      <c r="A59" s="74">
        <v>54</v>
      </c>
      <c r="B59" s="74" t="s">
        <v>630</v>
      </c>
      <c r="C59" s="74" t="s">
        <v>148</v>
      </c>
      <c r="D59" s="74">
        <v>1154910013</v>
      </c>
      <c r="E59" s="74" t="s">
        <v>196</v>
      </c>
      <c r="F59" s="74" t="s">
        <v>196</v>
      </c>
      <c r="G59" s="172">
        <v>45472</v>
      </c>
    </row>
    <row r="60" spans="1:7" ht="23.5" x14ac:dyDescent="0.55000000000000004">
      <c r="A60" s="74">
        <v>55</v>
      </c>
      <c r="B60" s="74" t="s">
        <v>631</v>
      </c>
      <c r="C60" s="74" t="s">
        <v>141</v>
      </c>
      <c r="D60" s="74">
        <v>1025146147</v>
      </c>
      <c r="E60" s="74" t="s">
        <v>196</v>
      </c>
      <c r="F60" s="74" t="s">
        <v>196</v>
      </c>
      <c r="G60" s="172">
        <v>45472</v>
      </c>
    </row>
    <row r="61" spans="1:7" ht="23.5" x14ac:dyDescent="0.55000000000000004">
      <c r="A61" s="74">
        <v>56</v>
      </c>
      <c r="B61" s="74" t="s">
        <v>632</v>
      </c>
      <c r="C61" s="74" t="s">
        <v>148</v>
      </c>
      <c r="D61" s="74" t="s">
        <v>134</v>
      </c>
      <c r="E61" s="74" t="s">
        <v>196</v>
      </c>
      <c r="F61" s="74" t="s">
        <v>196</v>
      </c>
      <c r="G61" s="172">
        <v>45472</v>
      </c>
    </row>
    <row r="62" spans="1:7" ht="23.5" x14ac:dyDescent="0.55000000000000004">
      <c r="A62" s="74">
        <v>57</v>
      </c>
      <c r="B62" s="74" t="s">
        <v>633</v>
      </c>
      <c r="C62" s="74" t="s">
        <v>131</v>
      </c>
      <c r="D62" s="74">
        <v>1112794316</v>
      </c>
      <c r="E62" s="74" t="s">
        <v>196</v>
      </c>
      <c r="F62" s="74" t="s">
        <v>196</v>
      </c>
      <c r="G62" s="172">
        <v>45472</v>
      </c>
    </row>
    <row r="63" spans="1:7" ht="23.5" x14ac:dyDescent="0.55000000000000004">
      <c r="A63" s="74">
        <v>58</v>
      </c>
      <c r="B63" s="74" t="s">
        <v>634</v>
      </c>
      <c r="C63" s="74" t="s">
        <v>131</v>
      </c>
      <c r="D63" s="74">
        <v>1112766079</v>
      </c>
      <c r="E63" s="74" t="s">
        <v>196</v>
      </c>
      <c r="F63" s="74" t="s">
        <v>196</v>
      </c>
      <c r="G63" s="172">
        <v>45472</v>
      </c>
    </row>
    <row r="64" spans="1:7" ht="23.5" x14ac:dyDescent="0.55000000000000004">
      <c r="A64" s="74">
        <v>59</v>
      </c>
      <c r="B64" s="74" t="s">
        <v>641</v>
      </c>
      <c r="C64" s="74" t="s">
        <v>148</v>
      </c>
      <c r="D64" s="74">
        <v>1159065142</v>
      </c>
      <c r="E64" s="74" t="s">
        <v>196</v>
      </c>
      <c r="F64" s="74" t="s">
        <v>196</v>
      </c>
      <c r="G64" s="172">
        <v>45472</v>
      </c>
    </row>
    <row r="65" spans="1:7" ht="23.5" x14ac:dyDescent="0.55000000000000004">
      <c r="A65" s="74">
        <v>60</v>
      </c>
      <c r="B65" s="74" t="s">
        <v>645</v>
      </c>
      <c r="C65" s="74" t="s">
        <v>131</v>
      </c>
      <c r="D65" s="74">
        <v>1150459554</v>
      </c>
      <c r="E65" s="74" t="s">
        <v>183</v>
      </c>
      <c r="F65" s="74" t="s">
        <v>183</v>
      </c>
      <c r="G65" s="172">
        <v>45473</v>
      </c>
    </row>
    <row r="66" spans="1:7" ht="23.5" x14ac:dyDescent="0.55000000000000004">
      <c r="A66" s="74">
        <v>61</v>
      </c>
      <c r="B66" s="74" t="s">
        <v>643</v>
      </c>
      <c r="C66" s="74" t="s">
        <v>141</v>
      </c>
      <c r="D66" s="74" t="s">
        <v>134</v>
      </c>
      <c r="E66" s="74" t="s">
        <v>183</v>
      </c>
      <c r="F66" s="74" t="s">
        <v>183</v>
      </c>
      <c r="G66" s="172">
        <v>45473</v>
      </c>
    </row>
    <row r="67" spans="1:7" ht="23.5" x14ac:dyDescent="0.55000000000000004">
      <c r="A67" s="74">
        <v>62</v>
      </c>
      <c r="B67" s="74" t="s">
        <v>646</v>
      </c>
      <c r="C67" s="74" t="s">
        <v>411</v>
      </c>
      <c r="D67" s="74" t="s">
        <v>134</v>
      </c>
      <c r="E67" s="74" t="s">
        <v>135</v>
      </c>
      <c r="F67" s="74" t="s">
        <v>135</v>
      </c>
      <c r="G67" s="172">
        <v>45473</v>
      </c>
    </row>
    <row r="68" spans="1:7" ht="23.5" x14ac:dyDescent="0.55000000000000004">
      <c r="A68" s="74">
        <v>63</v>
      </c>
      <c r="B68" s="74" t="s">
        <v>652</v>
      </c>
      <c r="C68" s="74" t="s">
        <v>148</v>
      </c>
      <c r="D68" s="74" t="s">
        <v>134</v>
      </c>
      <c r="E68" s="74" t="s">
        <v>226</v>
      </c>
      <c r="F68" s="74" t="s">
        <v>135</v>
      </c>
      <c r="G68" s="172">
        <v>45473</v>
      </c>
    </row>
    <row r="69" spans="1:7" ht="23.5" x14ac:dyDescent="0.55000000000000004">
      <c r="A69" s="74">
        <v>64</v>
      </c>
      <c r="B69" s="74" t="s">
        <v>653</v>
      </c>
      <c r="C69" s="74" t="s">
        <v>302</v>
      </c>
      <c r="D69" s="74">
        <v>1142137954</v>
      </c>
      <c r="E69" s="74" t="s">
        <v>135</v>
      </c>
      <c r="F69" s="74" t="s">
        <v>135</v>
      </c>
      <c r="G69" s="172">
        <v>45473</v>
      </c>
    </row>
    <row r="70" spans="1:7" ht="23.5" x14ac:dyDescent="0.55000000000000004">
      <c r="A70" s="74">
        <v>65</v>
      </c>
      <c r="B70" s="74" t="s">
        <v>654</v>
      </c>
      <c r="C70" s="74" t="s">
        <v>302</v>
      </c>
      <c r="D70" s="74" t="s">
        <v>134</v>
      </c>
      <c r="E70" s="74" t="s">
        <v>135</v>
      </c>
      <c r="F70" s="74" t="s">
        <v>135</v>
      </c>
      <c r="G70" s="172">
        <v>45473</v>
      </c>
    </row>
    <row r="71" spans="1:7" ht="23.5" x14ac:dyDescent="0.55000000000000004">
      <c r="A71" s="74">
        <v>66</v>
      </c>
      <c r="B71" s="74"/>
      <c r="C71" s="74"/>
      <c r="D71" s="74"/>
      <c r="E71" s="74"/>
      <c r="F71" s="74"/>
      <c r="G71" s="172"/>
    </row>
    <row r="72" spans="1:7" ht="23.5" x14ac:dyDescent="0.55000000000000004">
      <c r="A72" s="74">
        <v>67</v>
      </c>
      <c r="B72" s="74"/>
      <c r="C72" s="74"/>
      <c r="D72" s="74"/>
      <c r="E72" s="74"/>
      <c r="F72" s="74"/>
      <c r="G72" s="172"/>
    </row>
    <row r="73" spans="1:7" ht="23.5" x14ac:dyDescent="0.55000000000000004">
      <c r="A73" s="74">
        <v>68</v>
      </c>
      <c r="B73" s="74"/>
      <c r="C73" s="74"/>
      <c r="D73" s="74"/>
      <c r="E73" s="74"/>
      <c r="F73" s="74"/>
      <c r="G73" s="172"/>
    </row>
    <row r="74" spans="1:7" ht="23.5" x14ac:dyDescent="0.55000000000000004">
      <c r="A74" s="74">
        <v>69</v>
      </c>
      <c r="B74" s="74"/>
      <c r="C74" s="74"/>
      <c r="D74" s="74"/>
      <c r="E74" s="74"/>
      <c r="F74" s="74"/>
      <c r="G74" s="172"/>
    </row>
    <row r="75" spans="1:7" ht="23.5" x14ac:dyDescent="0.55000000000000004">
      <c r="A75" s="74">
        <v>70</v>
      </c>
      <c r="B75" s="74"/>
      <c r="C75" s="74"/>
      <c r="D75" s="74"/>
      <c r="E75" s="74"/>
      <c r="F75" s="74"/>
      <c r="G75" s="172"/>
    </row>
    <row r="76" spans="1:7" ht="23.5" x14ac:dyDescent="0.55000000000000004">
      <c r="A76" s="74">
        <v>24</v>
      </c>
      <c r="B76" s="74"/>
      <c r="C76" s="74"/>
      <c r="D76" s="74"/>
      <c r="E76" s="74"/>
      <c r="F76" s="74"/>
      <c r="G76" s="172"/>
    </row>
    <row r="77" spans="1:7" ht="23.5" x14ac:dyDescent="0.55000000000000004">
      <c r="A77" s="74">
        <v>25</v>
      </c>
      <c r="B77" s="74"/>
      <c r="C77" s="74"/>
      <c r="D77" s="74"/>
      <c r="E77" s="74"/>
      <c r="F77" s="74"/>
      <c r="G77" s="172"/>
    </row>
    <row r="78" spans="1:7" ht="23.5" x14ac:dyDescent="0.55000000000000004">
      <c r="A78" s="74">
        <v>26</v>
      </c>
      <c r="B78" s="74"/>
      <c r="C78" s="74"/>
      <c r="D78" s="74"/>
      <c r="E78" s="74"/>
      <c r="F78" s="74"/>
      <c r="G78" s="172"/>
    </row>
    <row r="79" spans="1:7" ht="23.5" x14ac:dyDescent="0.55000000000000004">
      <c r="A79" s="74">
        <v>27</v>
      </c>
      <c r="B79" s="74"/>
      <c r="C79" s="74"/>
      <c r="D79" s="74"/>
      <c r="E79" s="74"/>
      <c r="F79" s="74"/>
      <c r="G79" s="172"/>
    </row>
    <row r="80" spans="1:7" ht="23.5" x14ac:dyDescent="0.55000000000000004">
      <c r="A80" s="74">
        <v>28</v>
      </c>
      <c r="B80" s="74"/>
      <c r="C80" s="74"/>
      <c r="D80" s="74"/>
      <c r="E80" s="74"/>
      <c r="F80" s="74"/>
      <c r="G80" s="172"/>
    </row>
    <row r="81" spans="1:7" ht="23.5" x14ac:dyDescent="0.55000000000000004">
      <c r="A81" s="74">
        <v>29</v>
      </c>
      <c r="B81" s="74"/>
      <c r="C81" s="74"/>
      <c r="D81" s="74"/>
      <c r="E81" s="74"/>
      <c r="F81" s="74"/>
      <c r="G81" s="172"/>
    </row>
    <row r="82" spans="1:7" ht="23.5" x14ac:dyDescent="0.55000000000000004">
      <c r="A82" s="74">
        <v>30</v>
      </c>
      <c r="B82" s="74"/>
      <c r="C82" s="74"/>
      <c r="D82" s="74"/>
      <c r="E82" s="74"/>
      <c r="F82" s="74"/>
      <c r="G82" s="172"/>
    </row>
    <row r="83" spans="1:7" ht="23.5" x14ac:dyDescent="0.55000000000000004">
      <c r="A83" s="74">
        <v>31</v>
      </c>
      <c r="B83" s="74"/>
      <c r="C83" s="74"/>
      <c r="D83" s="74"/>
      <c r="E83" s="74"/>
      <c r="F83" s="74"/>
      <c r="G83" s="172"/>
    </row>
    <row r="84" spans="1:7" ht="23.5" x14ac:dyDescent="0.55000000000000004">
      <c r="A84" s="74">
        <v>32</v>
      </c>
      <c r="B84" s="74"/>
      <c r="C84" s="74"/>
      <c r="D84" s="74"/>
      <c r="E84" s="74"/>
      <c r="F84" s="74"/>
      <c r="G84" s="172"/>
    </row>
    <row r="85" spans="1:7" ht="23.5" x14ac:dyDescent="0.55000000000000004">
      <c r="A85" s="74">
        <v>33</v>
      </c>
      <c r="B85" s="74"/>
      <c r="C85" s="74"/>
      <c r="D85" s="74"/>
      <c r="E85" s="74"/>
      <c r="F85" s="74"/>
      <c r="G85" s="172"/>
    </row>
    <row r="86" spans="1:7" ht="23.5" x14ac:dyDescent="0.55000000000000004">
      <c r="A86" s="74">
        <v>34</v>
      </c>
      <c r="B86" s="74"/>
      <c r="C86" s="74"/>
      <c r="D86" s="74"/>
      <c r="E86" s="74"/>
      <c r="F86" s="74"/>
      <c r="G86" s="172"/>
    </row>
    <row r="87" spans="1:7" ht="23.5" x14ac:dyDescent="0.55000000000000004">
      <c r="A87" s="74">
        <v>35</v>
      </c>
      <c r="B87" s="74"/>
      <c r="C87" s="74"/>
      <c r="D87" s="74"/>
      <c r="E87" s="74"/>
      <c r="F87" s="74"/>
      <c r="G87" s="172"/>
    </row>
    <row r="88" spans="1:7" ht="23.5" x14ac:dyDescent="0.55000000000000004">
      <c r="A88" s="74">
        <v>36</v>
      </c>
      <c r="B88" s="74"/>
      <c r="C88" s="74"/>
      <c r="D88" s="74"/>
      <c r="E88" s="74"/>
      <c r="F88" s="74"/>
      <c r="G88" s="172"/>
    </row>
    <row r="89" spans="1:7" ht="23.5" x14ac:dyDescent="0.55000000000000004">
      <c r="A89" s="74">
        <v>37</v>
      </c>
      <c r="B89" s="74"/>
      <c r="C89" s="74"/>
      <c r="D89" s="74"/>
      <c r="E89" s="74"/>
      <c r="F89" s="74"/>
      <c r="G89" s="172"/>
    </row>
    <row r="90" spans="1:7" ht="23.5" x14ac:dyDescent="0.55000000000000004">
      <c r="A90" s="74">
        <v>38</v>
      </c>
      <c r="B90" s="74"/>
      <c r="C90" s="74"/>
      <c r="D90" s="74"/>
      <c r="E90" s="74"/>
      <c r="F90" s="74"/>
      <c r="G90" s="172"/>
    </row>
    <row r="91" spans="1:7" ht="23.5" x14ac:dyDescent="0.55000000000000004">
      <c r="A91" s="74">
        <v>39</v>
      </c>
      <c r="B91" s="74"/>
      <c r="C91" s="74"/>
      <c r="D91" s="74"/>
      <c r="E91" s="74"/>
      <c r="F91" s="74"/>
      <c r="G91" s="172"/>
    </row>
    <row r="92" spans="1:7" ht="23.5" x14ac:dyDescent="0.55000000000000004">
      <c r="A92" s="74">
        <v>40</v>
      </c>
      <c r="B92" s="74"/>
      <c r="C92" s="74"/>
      <c r="D92" s="74"/>
      <c r="E92" s="74"/>
      <c r="F92" s="74"/>
      <c r="G92" s="172"/>
    </row>
    <row r="93" spans="1:7" ht="23.5" x14ac:dyDescent="0.55000000000000004">
      <c r="A93" s="74">
        <v>41</v>
      </c>
      <c r="B93" s="74"/>
      <c r="C93" s="74"/>
      <c r="D93" s="74"/>
      <c r="E93" s="74"/>
      <c r="F93" s="74"/>
      <c r="G93" s="172"/>
    </row>
    <row r="94" spans="1:7" ht="23.5" x14ac:dyDescent="0.55000000000000004">
      <c r="A94" s="74">
        <v>42</v>
      </c>
      <c r="B94" s="74"/>
      <c r="C94" s="74"/>
      <c r="D94" s="74"/>
      <c r="E94" s="74"/>
      <c r="F94" s="74"/>
      <c r="G94" s="172"/>
    </row>
    <row r="95" spans="1:7" ht="23.5" x14ac:dyDescent="0.55000000000000004">
      <c r="A95" s="74">
        <v>43</v>
      </c>
      <c r="B95" s="74"/>
      <c r="C95" s="74"/>
      <c r="D95" s="74"/>
      <c r="E95" s="74"/>
      <c r="F95" s="74"/>
      <c r="G95" s="172"/>
    </row>
    <row r="96" spans="1:7" ht="23.5" x14ac:dyDescent="0.55000000000000004">
      <c r="A96" s="74">
        <v>44</v>
      </c>
      <c r="B96" s="74"/>
      <c r="C96" s="74"/>
      <c r="D96" s="74"/>
      <c r="E96" s="74"/>
      <c r="F96" s="74"/>
      <c r="G96" s="172"/>
    </row>
    <row r="97" spans="1:7" ht="23.5" x14ac:dyDescent="0.55000000000000004">
      <c r="A97" s="74">
        <v>45</v>
      </c>
      <c r="B97" s="74"/>
      <c r="C97" s="74"/>
      <c r="D97" s="74"/>
      <c r="E97" s="74"/>
      <c r="F97" s="74"/>
      <c r="G97" s="172"/>
    </row>
    <row r="98" spans="1:7" ht="23.5" x14ac:dyDescent="0.55000000000000004">
      <c r="A98" s="74">
        <v>46</v>
      </c>
      <c r="B98" s="74"/>
      <c r="C98" s="74"/>
      <c r="D98" s="74"/>
      <c r="E98" s="74"/>
      <c r="F98" s="74"/>
      <c r="G98" s="172"/>
    </row>
    <row r="99" spans="1:7" ht="23.5" x14ac:dyDescent="0.55000000000000004">
      <c r="A99" s="74">
        <v>47</v>
      </c>
      <c r="B99" s="74"/>
      <c r="C99" s="74"/>
      <c r="D99" s="74"/>
      <c r="E99" s="74"/>
      <c r="F99" s="74"/>
      <c r="G99" s="172"/>
    </row>
    <row r="100" spans="1:7" ht="23.5" x14ac:dyDescent="0.55000000000000004">
      <c r="A100" s="74">
        <v>48</v>
      </c>
      <c r="B100" s="74"/>
      <c r="C100" s="74"/>
      <c r="D100" s="74"/>
      <c r="E100" s="74"/>
      <c r="F100" s="74"/>
      <c r="G100" s="172"/>
    </row>
    <row r="101" spans="1:7" ht="23.5" x14ac:dyDescent="0.55000000000000004">
      <c r="A101" s="86">
        <v>49</v>
      </c>
      <c r="B101" s="74"/>
      <c r="C101" s="74"/>
      <c r="D101" s="74"/>
      <c r="E101" s="74"/>
      <c r="F101" s="74"/>
      <c r="G101" s="172"/>
    </row>
    <row r="102" spans="1:7" ht="23.5" x14ac:dyDescent="0.55000000000000004">
      <c r="A102" s="86">
        <v>50</v>
      </c>
      <c r="B102" s="74"/>
      <c r="C102" s="74"/>
      <c r="D102" s="74"/>
      <c r="E102" s="74"/>
      <c r="F102" s="74"/>
      <c r="G102" s="172"/>
    </row>
    <row r="103" spans="1:7" x14ac:dyDescent="0.55000000000000004">
      <c r="A103" s="86">
        <v>51</v>
      </c>
      <c r="B103" s="69"/>
      <c r="C103" s="69"/>
      <c r="D103" s="69"/>
      <c r="E103" s="69"/>
      <c r="F103" s="69"/>
      <c r="G103" s="169"/>
    </row>
    <row r="104" spans="1:7" x14ac:dyDescent="0.55000000000000004">
      <c r="A104" s="86">
        <v>52</v>
      </c>
      <c r="B104" s="69"/>
      <c r="C104" s="69"/>
      <c r="D104" s="69"/>
      <c r="E104" s="69"/>
      <c r="F104" s="69"/>
      <c r="G104" s="169"/>
    </row>
    <row r="105" spans="1:7" x14ac:dyDescent="0.55000000000000004">
      <c r="A105" s="86">
        <v>53</v>
      </c>
      <c r="B105" s="69"/>
      <c r="C105" s="69"/>
      <c r="D105" s="69"/>
      <c r="E105" s="69"/>
      <c r="F105" s="69"/>
      <c r="G105" s="169"/>
    </row>
    <row r="106" spans="1:7" x14ac:dyDescent="0.55000000000000004">
      <c r="A106" s="86">
        <v>54</v>
      </c>
      <c r="B106" s="69"/>
      <c r="C106" s="69"/>
      <c r="D106" s="69"/>
      <c r="E106" s="69"/>
      <c r="F106" s="69"/>
      <c r="G106" s="169"/>
    </row>
    <row r="107" spans="1:7" x14ac:dyDescent="0.55000000000000004">
      <c r="A107" s="86">
        <v>55</v>
      </c>
      <c r="B107" s="69"/>
      <c r="C107" s="69"/>
      <c r="D107" s="69"/>
      <c r="E107" s="69"/>
      <c r="F107" s="69"/>
      <c r="G107" s="169"/>
    </row>
    <row r="108" spans="1:7" x14ac:dyDescent="0.55000000000000004">
      <c r="A108" s="86">
        <v>56</v>
      </c>
      <c r="B108" s="69"/>
      <c r="C108" s="69"/>
      <c r="D108" s="69"/>
      <c r="E108" s="69"/>
      <c r="F108" s="69"/>
      <c r="G108" s="169"/>
    </row>
    <row r="109" spans="1:7" x14ac:dyDescent="0.55000000000000004">
      <c r="A109" s="86">
        <v>57</v>
      </c>
      <c r="B109" s="69"/>
      <c r="C109" s="69"/>
      <c r="D109" s="69"/>
      <c r="E109" s="69"/>
      <c r="F109" s="69"/>
      <c r="G109" s="169"/>
    </row>
    <row r="110" spans="1:7" x14ac:dyDescent="0.55000000000000004">
      <c r="A110" s="86">
        <v>58</v>
      </c>
      <c r="B110" s="69"/>
      <c r="C110" s="69"/>
      <c r="D110" s="69"/>
      <c r="E110" s="69"/>
      <c r="F110" s="69"/>
      <c r="G110" s="169"/>
    </row>
    <row r="111" spans="1:7" x14ac:dyDescent="0.55000000000000004">
      <c r="A111" s="86">
        <v>59</v>
      </c>
      <c r="B111" s="69"/>
      <c r="C111" s="69"/>
      <c r="D111" s="69"/>
      <c r="E111" s="69"/>
      <c r="F111" s="69"/>
      <c r="G111" s="169"/>
    </row>
    <row r="112" spans="1:7" x14ac:dyDescent="0.55000000000000004">
      <c r="A112" s="86">
        <v>60</v>
      </c>
      <c r="B112" s="69"/>
      <c r="C112" s="69"/>
      <c r="D112" s="69"/>
      <c r="E112" s="69"/>
      <c r="F112" s="69"/>
      <c r="G112" s="169"/>
    </row>
    <row r="113" spans="1:7" x14ac:dyDescent="0.55000000000000004">
      <c r="A113" s="86">
        <v>61</v>
      </c>
      <c r="B113" s="69"/>
      <c r="C113" s="69"/>
      <c r="D113" s="69"/>
      <c r="E113" s="69"/>
      <c r="F113" s="69"/>
      <c r="G113" s="169"/>
    </row>
    <row r="114" spans="1:7" x14ac:dyDescent="0.55000000000000004">
      <c r="A114" s="86">
        <v>62</v>
      </c>
      <c r="B114" s="69"/>
      <c r="C114" s="69"/>
      <c r="D114" s="69"/>
      <c r="E114" s="69"/>
      <c r="F114" s="69"/>
      <c r="G114" s="169"/>
    </row>
    <row r="115" spans="1:7" x14ac:dyDescent="0.55000000000000004">
      <c r="A115" s="86">
        <v>63</v>
      </c>
      <c r="B115" s="69"/>
      <c r="C115" s="69"/>
      <c r="D115" s="69"/>
      <c r="E115" s="69"/>
      <c r="F115" s="69"/>
      <c r="G115" s="169"/>
    </row>
    <row r="116" spans="1:7" x14ac:dyDescent="0.55000000000000004">
      <c r="A116" s="86">
        <v>64</v>
      </c>
      <c r="B116" s="69"/>
      <c r="C116" s="69"/>
      <c r="D116" s="69"/>
      <c r="E116" s="69"/>
      <c r="F116" s="69"/>
      <c r="G116" s="169"/>
    </row>
    <row r="117" spans="1:7" x14ac:dyDescent="0.55000000000000004">
      <c r="A117" s="86">
        <v>65</v>
      </c>
      <c r="B117" s="69"/>
      <c r="C117" s="69"/>
      <c r="D117" s="69"/>
      <c r="E117" s="69"/>
      <c r="F117" s="69"/>
      <c r="G117" s="169"/>
    </row>
    <row r="118" spans="1:7" x14ac:dyDescent="0.55000000000000004">
      <c r="A118" s="86">
        <v>66</v>
      </c>
      <c r="B118" s="69"/>
      <c r="C118" s="69"/>
      <c r="D118" s="69"/>
      <c r="E118" s="69"/>
      <c r="F118" s="69"/>
      <c r="G118" s="169"/>
    </row>
    <row r="119" spans="1:7" x14ac:dyDescent="0.55000000000000004">
      <c r="A119" s="86">
        <v>67</v>
      </c>
      <c r="B119" s="69"/>
      <c r="C119" s="69"/>
      <c r="D119" s="69"/>
      <c r="E119" s="69"/>
      <c r="F119" s="69"/>
      <c r="G119" s="169"/>
    </row>
    <row r="120" spans="1:7" x14ac:dyDescent="0.55000000000000004">
      <c r="A120" s="86">
        <v>68</v>
      </c>
      <c r="B120" s="69"/>
      <c r="C120" s="69"/>
      <c r="D120" s="69"/>
      <c r="E120" s="69"/>
      <c r="F120" s="69"/>
      <c r="G120" s="169"/>
    </row>
    <row r="121" spans="1:7" x14ac:dyDescent="0.55000000000000004">
      <c r="A121" s="86">
        <v>69</v>
      </c>
      <c r="B121" s="69"/>
      <c r="C121" s="69"/>
      <c r="D121" s="69"/>
      <c r="E121" s="69"/>
      <c r="F121" s="69"/>
      <c r="G121" s="169"/>
    </row>
    <row r="122" spans="1:7" x14ac:dyDescent="0.55000000000000004">
      <c r="A122" s="86">
        <v>70</v>
      </c>
      <c r="B122" s="69"/>
      <c r="C122" s="69"/>
      <c r="D122" s="69"/>
      <c r="E122" s="69"/>
      <c r="F122" s="69"/>
      <c r="G122" s="169"/>
    </row>
    <row r="123" spans="1:7" x14ac:dyDescent="0.55000000000000004">
      <c r="A123" s="86">
        <v>71</v>
      </c>
      <c r="B123" s="69"/>
      <c r="C123" s="69"/>
      <c r="D123" s="69"/>
      <c r="E123" s="69"/>
      <c r="F123" s="69"/>
      <c r="G123" s="169"/>
    </row>
    <row r="124" spans="1:7" x14ac:dyDescent="0.55000000000000004">
      <c r="A124" s="86">
        <v>72</v>
      </c>
      <c r="B124" s="69"/>
      <c r="C124" s="69"/>
      <c r="D124" s="69"/>
      <c r="E124" s="69"/>
      <c r="F124" s="69"/>
      <c r="G124" s="169"/>
    </row>
    <row r="125" spans="1:7" x14ac:dyDescent="0.55000000000000004">
      <c r="A125" s="86">
        <v>73</v>
      </c>
      <c r="B125" s="69"/>
      <c r="C125" s="69"/>
      <c r="D125" s="69"/>
      <c r="E125" s="69"/>
      <c r="F125" s="69"/>
      <c r="G125" s="169"/>
    </row>
    <row r="126" spans="1:7" x14ac:dyDescent="0.55000000000000004">
      <c r="A126" s="86">
        <v>74</v>
      </c>
      <c r="B126" s="69"/>
      <c r="C126" s="69"/>
      <c r="D126" s="69"/>
      <c r="E126" s="69"/>
      <c r="F126" s="69"/>
      <c r="G126" s="169"/>
    </row>
    <row r="127" spans="1:7" x14ac:dyDescent="0.55000000000000004">
      <c r="A127" s="86">
        <v>75</v>
      </c>
      <c r="B127" s="69"/>
      <c r="C127" s="69"/>
      <c r="D127" s="69"/>
      <c r="E127" s="69"/>
      <c r="F127" s="69"/>
      <c r="G127" s="169"/>
    </row>
    <row r="128" spans="1:7" x14ac:dyDescent="0.55000000000000004">
      <c r="A128" s="86">
        <v>76</v>
      </c>
      <c r="B128" s="69"/>
      <c r="C128" s="69"/>
      <c r="D128" s="69"/>
      <c r="E128" s="69"/>
      <c r="F128" s="69"/>
      <c r="G128" s="169"/>
    </row>
    <row r="129" spans="1:7" x14ac:dyDescent="0.55000000000000004">
      <c r="A129" s="86">
        <v>77</v>
      </c>
      <c r="B129" s="69"/>
      <c r="C129" s="69"/>
      <c r="D129" s="69"/>
      <c r="E129" s="69"/>
      <c r="F129" s="69"/>
      <c r="G129" s="169"/>
    </row>
    <row r="130" spans="1:7" x14ac:dyDescent="0.55000000000000004">
      <c r="A130" s="86">
        <v>78</v>
      </c>
      <c r="B130" s="69"/>
      <c r="C130" s="69"/>
      <c r="D130" s="69"/>
      <c r="E130" s="69"/>
      <c r="F130" s="69"/>
      <c r="G130" s="169"/>
    </row>
    <row r="131" spans="1:7" x14ac:dyDescent="0.55000000000000004">
      <c r="A131" s="86">
        <v>79</v>
      </c>
      <c r="B131" s="69"/>
      <c r="C131" s="69"/>
      <c r="D131" s="69"/>
      <c r="E131" s="69"/>
      <c r="F131" s="69"/>
      <c r="G131" s="169"/>
    </row>
    <row r="132" spans="1:7" x14ac:dyDescent="0.55000000000000004">
      <c r="A132" s="86">
        <v>80</v>
      </c>
      <c r="B132" s="69"/>
      <c r="C132" s="69"/>
      <c r="D132" s="69"/>
      <c r="E132" s="69"/>
      <c r="F132" s="69"/>
      <c r="G132" s="169"/>
    </row>
    <row r="133" spans="1:7" x14ac:dyDescent="0.55000000000000004">
      <c r="A133" s="86">
        <v>81</v>
      </c>
      <c r="B133" s="69"/>
      <c r="C133" s="69"/>
      <c r="D133" s="69"/>
      <c r="E133" s="69"/>
      <c r="F133" s="69"/>
      <c r="G133" s="169"/>
    </row>
    <row r="134" spans="1:7" x14ac:dyDescent="0.55000000000000004">
      <c r="A134" s="86">
        <v>82</v>
      </c>
      <c r="B134" s="69"/>
      <c r="C134" s="69"/>
      <c r="D134" s="69"/>
      <c r="E134" s="69"/>
      <c r="F134" s="69"/>
      <c r="G134" s="169"/>
    </row>
    <row r="135" spans="1:7" x14ac:dyDescent="0.55000000000000004">
      <c r="A135" s="86">
        <v>83</v>
      </c>
      <c r="B135" s="69"/>
      <c r="C135" s="69"/>
      <c r="D135" s="69"/>
      <c r="E135" s="69"/>
      <c r="F135" s="69"/>
      <c r="G135" s="169"/>
    </row>
    <row r="136" spans="1:7" x14ac:dyDescent="0.55000000000000004">
      <c r="A136" s="86">
        <v>84</v>
      </c>
      <c r="B136" s="69"/>
      <c r="C136" s="69"/>
      <c r="D136" s="69"/>
      <c r="E136" s="69"/>
      <c r="F136" s="69"/>
      <c r="G136" s="169"/>
    </row>
    <row r="137" spans="1:7" x14ac:dyDescent="0.55000000000000004">
      <c r="A137" s="86">
        <v>85</v>
      </c>
      <c r="B137" s="69"/>
      <c r="C137" s="69"/>
      <c r="D137" s="69"/>
      <c r="E137" s="69"/>
      <c r="F137" s="69"/>
      <c r="G137" s="169"/>
    </row>
    <row r="138" spans="1:7" x14ac:dyDescent="0.55000000000000004">
      <c r="A138" s="86">
        <v>86</v>
      </c>
      <c r="B138" s="69"/>
      <c r="C138" s="69"/>
      <c r="D138" s="69"/>
      <c r="E138" s="69"/>
      <c r="F138" s="69"/>
      <c r="G138" s="169"/>
    </row>
    <row r="139" spans="1:7" x14ac:dyDescent="0.55000000000000004">
      <c r="A139" s="86">
        <v>87</v>
      </c>
      <c r="B139" s="69"/>
      <c r="C139" s="69"/>
      <c r="D139" s="69"/>
      <c r="E139" s="69"/>
      <c r="F139" s="69"/>
      <c r="G139" s="169"/>
    </row>
    <row r="140" spans="1:7" x14ac:dyDescent="0.55000000000000004">
      <c r="A140" s="86">
        <v>88</v>
      </c>
      <c r="B140" s="69"/>
      <c r="C140" s="69"/>
      <c r="D140" s="69"/>
      <c r="E140" s="69"/>
      <c r="F140" s="69"/>
      <c r="G140" s="169"/>
    </row>
    <row r="141" spans="1:7" x14ac:dyDescent="0.55000000000000004">
      <c r="A141" s="86">
        <v>89</v>
      </c>
      <c r="B141" s="69"/>
      <c r="C141" s="69"/>
      <c r="D141" s="69"/>
      <c r="E141" s="69"/>
      <c r="F141" s="69"/>
      <c r="G141" s="169"/>
    </row>
    <row r="142" spans="1:7" x14ac:dyDescent="0.55000000000000004">
      <c r="A142" s="86">
        <v>90</v>
      </c>
      <c r="B142" s="69"/>
      <c r="C142" s="69"/>
      <c r="D142" s="69"/>
      <c r="E142" s="69"/>
      <c r="F142" s="69"/>
      <c r="G142" s="169"/>
    </row>
    <row r="143" spans="1:7" x14ac:dyDescent="0.55000000000000004">
      <c r="A143" s="86">
        <v>91</v>
      </c>
      <c r="B143" s="69"/>
      <c r="C143" s="69"/>
      <c r="D143" s="69"/>
      <c r="E143" s="69"/>
      <c r="F143" s="69"/>
      <c r="G143" s="169"/>
    </row>
    <row r="144" spans="1:7" x14ac:dyDescent="0.55000000000000004">
      <c r="A144" s="86">
        <v>92</v>
      </c>
      <c r="B144" s="69"/>
      <c r="C144" s="69"/>
      <c r="D144" s="69"/>
      <c r="E144" s="69"/>
      <c r="F144" s="69"/>
      <c r="G144" s="169"/>
    </row>
    <row r="145" spans="1:7" x14ac:dyDescent="0.55000000000000004">
      <c r="A145" s="86">
        <v>93</v>
      </c>
      <c r="B145" s="69"/>
      <c r="C145" s="69"/>
      <c r="D145" s="69"/>
      <c r="E145" s="69"/>
      <c r="F145" s="69"/>
      <c r="G145" s="169"/>
    </row>
    <row r="146" spans="1:7" x14ac:dyDescent="0.55000000000000004">
      <c r="A146" s="86">
        <v>94</v>
      </c>
      <c r="B146" s="69"/>
      <c r="C146" s="69"/>
      <c r="D146" s="69"/>
      <c r="E146" s="69"/>
      <c r="F146" s="69"/>
      <c r="G146" s="169"/>
    </row>
    <row r="147" spans="1:7" x14ac:dyDescent="0.55000000000000004">
      <c r="A147" s="86">
        <v>95</v>
      </c>
      <c r="B147" s="69"/>
      <c r="C147" s="69"/>
      <c r="D147" s="69"/>
      <c r="E147" s="69"/>
      <c r="F147" s="69"/>
      <c r="G147" s="169"/>
    </row>
    <row r="148" spans="1:7" x14ac:dyDescent="0.55000000000000004">
      <c r="A148" s="86">
        <v>96</v>
      </c>
      <c r="B148" s="69"/>
      <c r="C148" s="69"/>
      <c r="D148" s="69"/>
      <c r="E148" s="69"/>
      <c r="F148" s="69"/>
      <c r="G148" s="169"/>
    </row>
    <row r="149" spans="1:7" x14ac:dyDescent="0.55000000000000004">
      <c r="A149" s="86">
        <v>97</v>
      </c>
      <c r="B149" s="69"/>
      <c r="C149" s="69"/>
      <c r="D149" s="69"/>
      <c r="E149" s="69"/>
      <c r="F149" s="69"/>
      <c r="G149" s="169"/>
    </row>
    <row r="150" spans="1:7" x14ac:dyDescent="0.55000000000000004">
      <c r="A150" s="86">
        <v>98</v>
      </c>
      <c r="B150" s="69"/>
      <c r="C150" s="69"/>
      <c r="D150" s="69"/>
      <c r="E150" s="69"/>
      <c r="F150" s="69"/>
      <c r="G150" s="169"/>
    </row>
    <row r="151" spans="1:7" x14ac:dyDescent="0.55000000000000004">
      <c r="A151" s="86">
        <v>99</v>
      </c>
      <c r="B151" s="69"/>
      <c r="C151" s="69"/>
      <c r="D151" s="69"/>
      <c r="E151" s="69"/>
      <c r="F151" s="69"/>
      <c r="G151" s="169"/>
    </row>
    <row r="152" spans="1:7" x14ac:dyDescent="0.55000000000000004">
      <c r="A152" s="86">
        <v>100</v>
      </c>
      <c r="B152" s="69"/>
      <c r="C152" s="69"/>
      <c r="D152" s="69"/>
      <c r="E152" s="69"/>
      <c r="F152" s="69"/>
      <c r="G152" s="169"/>
    </row>
    <row r="153" spans="1:7" x14ac:dyDescent="0.55000000000000004">
      <c r="A153" s="86">
        <v>101</v>
      </c>
      <c r="B153" s="69"/>
      <c r="C153" s="69"/>
      <c r="D153" s="69"/>
      <c r="E153" s="69"/>
      <c r="F153" s="69"/>
      <c r="G153" s="169"/>
    </row>
    <row r="154" spans="1:7" x14ac:dyDescent="0.55000000000000004">
      <c r="A154" s="86">
        <v>102</v>
      </c>
      <c r="B154" s="69"/>
      <c r="C154" s="69"/>
      <c r="D154" s="69"/>
      <c r="E154" s="69"/>
      <c r="F154" s="69"/>
      <c r="G154" s="169"/>
    </row>
    <row r="155" spans="1:7" x14ac:dyDescent="0.55000000000000004">
      <c r="A155" s="86">
        <v>103</v>
      </c>
      <c r="B155" s="69"/>
      <c r="C155" s="69"/>
      <c r="D155" s="69"/>
      <c r="E155" s="69"/>
      <c r="F155" s="69"/>
      <c r="G155" s="169"/>
    </row>
    <row r="156" spans="1:7" x14ac:dyDescent="0.55000000000000004">
      <c r="A156" s="86">
        <v>104</v>
      </c>
      <c r="B156" s="69"/>
      <c r="C156" s="69"/>
      <c r="D156" s="69"/>
      <c r="E156" s="69"/>
      <c r="F156" s="69"/>
      <c r="G156" s="169"/>
    </row>
    <row r="157" spans="1:7" x14ac:dyDescent="0.55000000000000004">
      <c r="A157" s="86">
        <v>105</v>
      </c>
      <c r="B157" s="69"/>
      <c r="C157" s="69"/>
      <c r="D157" s="69"/>
      <c r="E157" s="69"/>
      <c r="F157" s="69"/>
      <c r="G157" s="169"/>
    </row>
    <row r="158" spans="1:7" x14ac:dyDescent="0.55000000000000004">
      <c r="A158" s="86">
        <v>106</v>
      </c>
      <c r="B158" s="69"/>
      <c r="C158" s="69"/>
      <c r="D158" s="69"/>
      <c r="E158" s="69"/>
      <c r="F158" s="69"/>
      <c r="G158" s="169"/>
    </row>
    <row r="159" spans="1:7" x14ac:dyDescent="0.55000000000000004">
      <c r="A159" s="86">
        <v>107</v>
      </c>
      <c r="B159" s="69"/>
      <c r="C159" s="69"/>
      <c r="D159" s="69"/>
      <c r="E159" s="69"/>
      <c r="F159" s="69"/>
      <c r="G159" s="169"/>
    </row>
    <row r="160" spans="1:7" x14ac:dyDescent="0.55000000000000004">
      <c r="A160" s="86">
        <v>108</v>
      </c>
      <c r="B160" s="69"/>
      <c r="C160" s="69"/>
      <c r="D160" s="69"/>
      <c r="E160" s="69"/>
      <c r="F160" s="69"/>
      <c r="G160" s="169"/>
    </row>
    <row r="161" spans="1:7" x14ac:dyDescent="0.55000000000000004">
      <c r="A161" s="86">
        <v>109</v>
      </c>
      <c r="B161" s="69"/>
      <c r="C161" s="69"/>
      <c r="D161" s="69"/>
      <c r="E161" s="69"/>
      <c r="F161" s="69"/>
      <c r="G161" s="169"/>
    </row>
    <row r="162" spans="1:7" x14ac:dyDescent="0.55000000000000004">
      <c r="A162" s="86">
        <v>110</v>
      </c>
      <c r="B162" s="69"/>
      <c r="C162" s="69"/>
      <c r="D162" s="69"/>
      <c r="E162" s="69"/>
      <c r="F162" s="69"/>
      <c r="G162" s="169"/>
    </row>
    <row r="163" spans="1:7" x14ac:dyDescent="0.55000000000000004">
      <c r="A163" s="86">
        <v>111</v>
      </c>
      <c r="B163" s="69"/>
      <c r="C163" s="69"/>
      <c r="D163" s="69"/>
      <c r="E163" s="69"/>
      <c r="F163" s="69"/>
      <c r="G163" s="169"/>
    </row>
    <row r="164" spans="1:7" x14ac:dyDescent="0.55000000000000004">
      <c r="A164" s="86">
        <v>112</v>
      </c>
      <c r="B164" s="69"/>
      <c r="C164" s="69"/>
      <c r="D164" s="69"/>
      <c r="E164" s="69"/>
      <c r="F164" s="69"/>
      <c r="G164" s="169"/>
    </row>
    <row r="165" spans="1:7" x14ac:dyDescent="0.55000000000000004">
      <c r="A165" s="86">
        <v>113</v>
      </c>
      <c r="B165" s="69"/>
      <c r="C165" s="69"/>
      <c r="D165" s="69"/>
      <c r="E165" s="69"/>
      <c r="F165" s="69"/>
      <c r="G165" s="169"/>
    </row>
    <row r="166" spans="1:7" x14ac:dyDescent="0.55000000000000004">
      <c r="A166" s="86">
        <v>114</v>
      </c>
      <c r="B166" s="69"/>
      <c r="C166" s="69"/>
      <c r="D166" s="69"/>
      <c r="E166" s="69"/>
      <c r="F166" s="69"/>
      <c r="G166" s="169"/>
    </row>
    <row r="167" spans="1:7" x14ac:dyDescent="0.55000000000000004">
      <c r="A167" s="86">
        <v>115</v>
      </c>
      <c r="B167" s="69"/>
      <c r="C167" s="69"/>
      <c r="D167" s="69"/>
      <c r="E167" s="69"/>
      <c r="F167" s="69"/>
      <c r="G167" s="169"/>
    </row>
    <row r="168" spans="1:7" x14ac:dyDescent="0.55000000000000004">
      <c r="A168" s="86">
        <v>116</v>
      </c>
      <c r="B168" s="69"/>
      <c r="C168" s="69"/>
      <c r="D168" s="69"/>
      <c r="E168" s="69"/>
      <c r="F168" s="69"/>
      <c r="G168" s="169"/>
    </row>
    <row r="169" spans="1:7" x14ac:dyDescent="0.55000000000000004">
      <c r="A169" s="86">
        <v>117</v>
      </c>
      <c r="B169" s="69"/>
      <c r="C169" s="69"/>
      <c r="D169" s="69"/>
      <c r="E169" s="69"/>
      <c r="F169" s="69"/>
      <c r="G169" s="169"/>
    </row>
    <row r="170" spans="1:7" x14ac:dyDescent="0.55000000000000004">
      <c r="A170" s="86">
        <v>118</v>
      </c>
      <c r="B170" s="69"/>
      <c r="C170" s="69"/>
      <c r="D170" s="69"/>
      <c r="E170" s="69"/>
      <c r="F170" s="69"/>
      <c r="G170" s="169"/>
    </row>
    <row r="171" spans="1:7" x14ac:dyDescent="0.55000000000000004">
      <c r="A171" s="86">
        <v>119</v>
      </c>
      <c r="B171" s="69"/>
      <c r="C171" s="69"/>
      <c r="D171" s="69"/>
      <c r="E171" s="69"/>
      <c r="F171" s="69"/>
      <c r="G171" s="169"/>
    </row>
    <row r="172" spans="1:7" x14ac:dyDescent="0.55000000000000004">
      <c r="A172" s="86">
        <v>120</v>
      </c>
      <c r="B172" s="69"/>
      <c r="C172" s="69"/>
      <c r="D172" s="69"/>
      <c r="E172" s="69"/>
      <c r="F172" s="69"/>
      <c r="G172" s="169"/>
    </row>
    <row r="173" spans="1:7" x14ac:dyDescent="0.55000000000000004">
      <c r="A173" s="86">
        <v>121</v>
      </c>
      <c r="B173" s="69"/>
      <c r="C173" s="69"/>
      <c r="D173" s="69"/>
      <c r="E173" s="69"/>
      <c r="F173" s="69"/>
      <c r="G173" s="169"/>
    </row>
    <row r="174" spans="1:7" x14ac:dyDescent="0.55000000000000004">
      <c r="A174" s="86">
        <v>122</v>
      </c>
      <c r="B174" s="69"/>
      <c r="C174" s="69"/>
      <c r="D174" s="69"/>
      <c r="E174" s="69"/>
      <c r="F174" s="69"/>
      <c r="G174" s="169"/>
    </row>
    <row r="175" spans="1:7" x14ac:dyDescent="0.55000000000000004">
      <c r="A175" s="86">
        <v>123</v>
      </c>
      <c r="B175" s="69"/>
      <c r="C175" s="69"/>
      <c r="D175" s="69"/>
      <c r="E175" s="69"/>
      <c r="F175" s="69"/>
      <c r="G175" s="169"/>
    </row>
    <row r="176" spans="1:7" x14ac:dyDescent="0.55000000000000004">
      <c r="A176" s="86">
        <v>124</v>
      </c>
      <c r="B176" s="69"/>
      <c r="C176" s="69"/>
      <c r="D176" s="69"/>
      <c r="E176" s="69"/>
      <c r="F176" s="69"/>
      <c r="G176" s="169"/>
    </row>
    <row r="177" spans="1:7" x14ac:dyDescent="0.55000000000000004">
      <c r="A177" s="86">
        <v>125</v>
      </c>
      <c r="B177" s="69"/>
      <c r="C177" s="69"/>
      <c r="D177" s="69"/>
      <c r="E177" s="69"/>
      <c r="F177" s="69"/>
      <c r="G177" s="169"/>
    </row>
    <row r="178" spans="1:7" x14ac:dyDescent="0.55000000000000004">
      <c r="A178" s="86">
        <v>126</v>
      </c>
      <c r="B178" s="69"/>
      <c r="C178" s="69"/>
      <c r="D178" s="69"/>
      <c r="E178" s="69"/>
      <c r="F178" s="69"/>
      <c r="G178" s="169"/>
    </row>
    <row r="179" spans="1:7" x14ac:dyDescent="0.55000000000000004">
      <c r="A179" s="86">
        <v>127</v>
      </c>
      <c r="B179" s="69"/>
      <c r="C179" s="69"/>
      <c r="D179" s="69"/>
      <c r="E179" s="69"/>
      <c r="F179" s="69"/>
      <c r="G179" s="169"/>
    </row>
    <row r="180" spans="1:7" x14ac:dyDescent="0.55000000000000004">
      <c r="A180" s="86">
        <v>128</v>
      </c>
      <c r="B180" s="69"/>
      <c r="C180" s="69"/>
      <c r="D180" s="69"/>
      <c r="E180" s="69"/>
      <c r="F180" s="69"/>
      <c r="G180" s="169"/>
    </row>
    <row r="181" spans="1:7" x14ac:dyDescent="0.55000000000000004">
      <c r="A181" s="86">
        <v>129</v>
      </c>
      <c r="B181" s="69"/>
      <c r="C181" s="69"/>
      <c r="D181" s="69"/>
      <c r="E181" s="69"/>
      <c r="F181" s="69"/>
      <c r="G181" s="169"/>
    </row>
    <row r="182" spans="1:7" x14ac:dyDescent="0.55000000000000004">
      <c r="A182" s="86">
        <v>130</v>
      </c>
      <c r="B182" s="69"/>
      <c r="C182" s="69"/>
      <c r="D182" s="69"/>
      <c r="E182" s="69"/>
      <c r="F182" s="69"/>
      <c r="G182" s="169"/>
    </row>
    <row r="183" spans="1:7" x14ac:dyDescent="0.55000000000000004">
      <c r="A183" s="86">
        <v>131</v>
      </c>
      <c r="B183" s="69"/>
      <c r="C183" s="69"/>
      <c r="D183" s="69"/>
      <c r="E183" s="69"/>
      <c r="F183" s="69"/>
      <c r="G183" s="169"/>
    </row>
    <row r="184" spans="1:7" x14ac:dyDescent="0.55000000000000004">
      <c r="A184" s="86">
        <v>132</v>
      </c>
      <c r="B184" s="69"/>
      <c r="C184" s="69"/>
      <c r="D184" s="69"/>
      <c r="E184" s="69"/>
      <c r="F184" s="69"/>
      <c r="G184" s="169"/>
    </row>
    <row r="185" spans="1:7" x14ac:dyDescent="0.55000000000000004">
      <c r="A185" s="86">
        <v>133</v>
      </c>
      <c r="B185" s="69"/>
      <c r="C185" s="69"/>
      <c r="D185" s="69"/>
      <c r="E185" s="69"/>
      <c r="F185" s="69"/>
      <c r="G185" s="169"/>
    </row>
    <row r="186" spans="1:7" x14ac:dyDescent="0.55000000000000004">
      <c r="A186" s="86">
        <v>134</v>
      </c>
      <c r="B186" s="69"/>
      <c r="C186" s="69"/>
      <c r="D186" s="69"/>
      <c r="E186" s="69"/>
      <c r="F186" s="69"/>
      <c r="G186" s="169"/>
    </row>
    <row r="187" spans="1:7" x14ac:dyDescent="0.55000000000000004">
      <c r="A187" s="86">
        <v>135</v>
      </c>
      <c r="B187" s="69"/>
      <c r="C187" s="69"/>
      <c r="D187" s="69"/>
      <c r="E187" s="69"/>
      <c r="F187" s="69"/>
      <c r="G187" s="169"/>
    </row>
    <row r="188" spans="1:7" x14ac:dyDescent="0.55000000000000004">
      <c r="A188" s="86">
        <v>136</v>
      </c>
      <c r="B188" s="69"/>
      <c r="C188" s="69"/>
      <c r="D188" s="69"/>
      <c r="E188" s="69"/>
      <c r="F188" s="69"/>
      <c r="G188" s="169"/>
    </row>
    <row r="189" spans="1:7" x14ac:dyDescent="0.55000000000000004">
      <c r="A189" s="86">
        <v>137</v>
      </c>
      <c r="B189" s="69"/>
      <c r="C189" s="69"/>
      <c r="D189" s="69"/>
      <c r="E189" s="69"/>
      <c r="F189" s="69"/>
      <c r="G189" s="169"/>
    </row>
    <row r="190" spans="1:7" x14ac:dyDescent="0.55000000000000004">
      <c r="A190" s="86">
        <v>138</v>
      </c>
      <c r="B190" s="69"/>
      <c r="C190" s="69"/>
      <c r="D190" s="69"/>
      <c r="E190" s="69"/>
      <c r="F190" s="69"/>
      <c r="G190" s="169"/>
    </row>
    <row r="191" spans="1:7" x14ac:dyDescent="0.55000000000000004">
      <c r="A191" s="86">
        <v>139</v>
      </c>
      <c r="B191" s="69"/>
      <c r="C191" s="69"/>
      <c r="D191" s="69"/>
      <c r="E191" s="69"/>
      <c r="F191" s="69"/>
      <c r="G191" s="169"/>
    </row>
    <row r="192" spans="1:7" x14ac:dyDescent="0.55000000000000004">
      <c r="A192" s="86">
        <v>140</v>
      </c>
      <c r="B192" s="69"/>
      <c r="C192" s="69"/>
      <c r="D192" s="69"/>
      <c r="E192" s="69"/>
      <c r="F192" s="69"/>
      <c r="G192" s="169"/>
    </row>
    <row r="193" spans="1:7" x14ac:dyDescent="0.55000000000000004">
      <c r="A193" s="86">
        <v>141</v>
      </c>
      <c r="B193" s="69"/>
      <c r="C193" s="69"/>
      <c r="D193" s="69"/>
      <c r="E193" s="69"/>
      <c r="F193" s="69"/>
      <c r="G193" s="169"/>
    </row>
    <row r="194" spans="1:7" x14ac:dyDescent="0.55000000000000004">
      <c r="A194" s="86">
        <v>142</v>
      </c>
      <c r="B194" s="69"/>
      <c r="C194" s="69"/>
      <c r="D194" s="69"/>
      <c r="E194" s="69"/>
      <c r="F194" s="69"/>
      <c r="G194" s="169"/>
    </row>
    <row r="195" spans="1:7" x14ac:dyDescent="0.55000000000000004">
      <c r="A195" s="86">
        <v>143</v>
      </c>
      <c r="B195" s="69"/>
      <c r="C195" s="69"/>
      <c r="D195" s="69"/>
      <c r="E195" s="69"/>
      <c r="F195" s="69"/>
      <c r="G195" s="169"/>
    </row>
    <row r="196" spans="1:7" x14ac:dyDescent="0.55000000000000004">
      <c r="A196" s="86">
        <v>144</v>
      </c>
      <c r="B196" s="69"/>
      <c r="C196" s="69"/>
      <c r="D196" s="69"/>
      <c r="E196" s="69"/>
      <c r="F196" s="69"/>
      <c r="G196" s="169"/>
    </row>
    <row r="197" spans="1:7" x14ac:dyDescent="0.55000000000000004">
      <c r="A197" s="86">
        <v>145</v>
      </c>
      <c r="B197" s="69"/>
      <c r="C197" s="69"/>
      <c r="D197" s="69"/>
      <c r="E197" s="69"/>
      <c r="F197" s="69"/>
      <c r="G197" s="169"/>
    </row>
    <row r="198" spans="1:7" x14ac:dyDescent="0.55000000000000004">
      <c r="A198" s="86">
        <v>146</v>
      </c>
      <c r="B198" s="69"/>
      <c r="C198" s="69"/>
      <c r="D198" s="69"/>
      <c r="E198" s="69"/>
      <c r="F198" s="69"/>
      <c r="G198" s="169"/>
    </row>
    <row r="199" spans="1:7" x14ac:dyDescent="0.55000000000000004">
      <c r="A199" s="86">
        <v>147</v>
      </c>
      <c r="B199" s="69"/>
      <c r="C199" s="69"/>
      <c r="D199" s="69"/>
      <c r="E199" s="69"/>
      <c r="F199" s="69"/>
      <c r="G199" s="169"/>
    </row>
    <row r="200" spans="1:7" x14ac:dyDescent="0.55000000000000004">
      <c r="A200" s="86">
        <v>148</v>
      </c>
      <c r="B200" s="69"/>
      <c r="C200" s="69"/>
      <c r="D200" s="69"/>
      <c r="E200" s="69"/>
      <c r="F200" s="69"/>
      <c r="G200" s="169"/>
    </row>
    <row r="201" spans="1:7" x14ac:dyDescent="0.55000000000000004">
      <c r="A201" s="86">
        <v>149</v>
      </c>
      <c r="B201" s="69"/>
      <c r="C201" s="69"/>
      <c r="D201" s="69"/>
      <c r="E201" s="69"/>
      <c r="F201" s="69"/>
      <c r="G201" s="169"/>
    </row>
    <row r="202" spans="1:7" x14ac:dyDescent="0.55000000000000004">
      <c r="A202" s="86">
        <v>150</v>
      </c>
      <c r="B202" s="69"/>
      <c r="C202" s="69"/>
      <c r="D202" s="69"/>
      <c r="E202" s="69"/>
      <c r="F202" s="69"/>
      <c r="G202" s="169"/>
    </row>
    <row r="203" spans="1:7" x14ac:dyDescent="0.55000000000000004">
      <c r="A203" s="86">
        <v>151</v>
      </c>
      <c r="B203" s="69"/>
      <c r="C203" s="69"/>
      <c r="D203" s="69"/>
      <c r="E203" s="69"/>
      <c r="F203" s="69"/>
      <c r="G203" s="169"/>
    </row>
    <row r="204" spans="1:7" x14ac:dyDescent="0.55000000000000004">
      <c r="A204" s="86">
        <v>152</v>
      </c>
      <c r="B204" s="69"/>
      <c r="C204" s="69"/>
      <c r="D204" s="69"/>
      <c r="E204" s="69"/>
      <c r="F204" s="69"/>
      <c r="G204" s="169"/>
    </row>
    <row r="205" spans="1:7" x14ac:dyDescent="0.55000000000000004">
      <c r="A205" s="86">
        <v>153</v>
      </c>
      <c r="B205" s="69"/>
      <c r="C205" s="69"/>
      <c r="D205" s="69"/>
      <c r="E205" s="69"/>
      <c r="F205" s="69"/>
      <c r="G205" s="169"/>
    </row>
    <row r="206" spans="1:7" x14ac:dyDescent="0.55000000000000004">
      <c r="A206" s="86">
        <v>154</v>
      </c>
      <c r="B206" s="69"/>
      <c r="C206" s="69"/>
      <c r="D206" s="69"/>
      <c r="E206" s="69"/>
      <c r="F206" s="69"/>
      <c r="G206" s="169"/>
    </row>
    <row r="207" spans="1:7" x14ac:dyDescent="0.55000000000000004">
      <c r="A207" s="86">
        <v>155</v>
      </c>
      <c r="B207" s="69"/>
      <c r="C207" s="69"/>
      <c r="D207" s="69"/>
      <c r="E207" s="69"/>
      <c r="F207" s="69"/>
      <c r="G207" s="169"/>
    </row>
    <row r="208" spans="1:7" x14ac:dyDescent="0.55000000000000004">
      <c r="A208" s="86">
        <v>156</v>
      </c>
      <c r="B208" s="69"/>
      <c r="C208" s="69"/>
      <c r="D208" s="69"/>
      <c r="E208" s="69"/>
      <c r="F208" s="69"/>
      <c r="G208" s="169"/>
    </row>
    <row r="209" spans="1:7" x14ac:dyDescent="0.55000000000000004">
      <c r="A209" s="86">
        <v>157</v>
      </c>
      <c r="B209" s="69"/>
      <c r="C209" s="69"/>
      <c r="D209" s="69"/>
      <c r="E209" s="69"/>
      <c r="F209" s="69"/>
      <c r="G209" s="169"/>
    </row>
    <row r="210" spans="1:7" x14ac:dyDescent="0.55000000000000004">
      <c r="A210" s="86">
        <v>158</v>
      </c>
      <c r="B210" s="69"/>
      <c r="C210" s="69"/>
      <c r="D210" s="69"/>
      <c r="E210" s="69"/>
      <c r="F210" s="69"/>
      <c r="G210" s="169"/>
    </row>
    <row r="211" spans="1:7" x14ac:dyDescent="0.55000000000000004">
      <c r="A211" s="86">
        <v>159</v>
      </c>
      <c r="B211" s="69"/>
      <c r="C211" s="69"/>
      <c r="D211" s="69"/>
      <c r="E211" s="69"/>
      <c r="F211" s="69"/>
      <c r="G211" s="169"/>
    </row>
    <row r="212" spans="1:7" x14ac:dyDescent="0.55000000000000004">
      <c r="A212" s="86">
        <v>160</v>
      </c>
      <c r="B212" s="69"/>
      <c r="C212" s="69"/>
      <c r="D212" s="69"/>
      <c r="E212" s="69"/>
      <c r="F212" s="69"/>
      <c r="G212" s="169"/>
    </row>
    <row r="213" spans="1:7" x14ac:dyDescent="0.55000000000000004">
      <c r="A213" s="86">
        <v>161</v>
      </c>
      <c r="B213" s="69"/>
      <c r="C213" s="69"/>
      <c r="D213" s="69"/>
      <c r="E213" s="69"/>
      <c r="F213" s="69"/>
      <c r="G213" s="169"/>
    </row>
    <row r="214" spans="1:7" x14ac:dyDescent="0.55000000000000004">
      <c r="A214" s="86">
        <v>162</v>
      </c>
      <c r="B214" s="69"/>
      <c r="C214" s="69"/>
      <c r="D214" s="69"/>
      <c r="E214" s="69"/>
      <c r="F214" s="69"/>
      <c r="G214" s="169"/>
    </row>
    <row r="215" spans="1:7" x14ac:dyDescent="0.55000000000000004">
      <c r="A215" s="86">
        <v>163</v>
      </c>
      <c r="B215" s="69"/>
      <c r="C215" s="69"/>
      <c r="D215" s="69"/>
      <c r="E215" s="69"/>
      <c r="F215" s="69"/>
      <c r="G215" s="169"/>
    </row>
    <row r="216" spans="1:7" x14ac:dyDescent="0.55000000000000004">
      <c r="A216" s="86">
        <v>164</v>
      </c>
      <c r="B216" s="69"/>
      <c r="C216" s="69"/>
      <c r="D216" s="69"/>
      <c r="E216" s="69"/>
      <c r="F216" s="69"/>
      <c r="G216" s="169"/>
    </row>
    <row r="217" spans="1:7" x14ac:dyDescent="0.55000000000000004">
      <c r="A217" s="86">
        <v>165</v>
      </c>
      <c r="B217" s="69"/>
      <c r="C217" s="69"/>
      <c r="D217" s="69"/>
      <c r="E217" s="69"/>
      <c r="F217" s="69"/>
      <c r="G217" s="169"/>
    </row>
    <row r="218" spans="1:7" x14ac:dyDescent="0.55000000000000004">
      <c r="A218" s="86">
        <v>166</v>
      </c>
      <c r="B218" s="69"/>
      <c r="C218" s="69"/>
      <c r="D218" s="69"/>
      <c r="E218" s="69"/>
      <c r="F218" s="69"/>
      <c r="G218" s="169"/>
    </row>
    <row r="219" spans="1:7" x14ac:dyDescent="0.55000000000000004">
      <c r="A219" s="86">
        <v>167</v>
      </c>
      <c r="B219" s="69"/>
      <c r="C219" s="69"/>
      <c r="D219" s="69"/>
      <c r="E219" s="69"/>
      <c r="F219" s="69"/>
      <c r="G219" s="169"/>
    </row>
    <row r="220" spans="1:7" x14ac:dyDescent="0.55000000000000004">
      <c r="A220" s="86">
        <v>168</v>
      </c>
      <c r="B220" s="69"/>
      <c r="C220" s="69"/>
      <c r="D220" s="69"/>
      <c r="E220" s="69"/>
      <c r="F220" s="69"/>
      <c r="G220" s="169"/>
    </row>
    <row r="221" spans="1:7" x14ac:dyDescent="0.55000000000000004">
      <c r="A221" s="86">
        <v>169</v>
      </c>
      <c r="B221" s="69"/>
      <c r="C221" s="69"/>
      <c r="D221" s="69"/>
      <c r="E221" s="69"/>
      <c r="F221" s="69"/>
      <c r="G221" s="169"/>
    </row>
    <row r="222" spans="1:7" x14ac:dyDescent="0.55000000000000004">
      <c r="A222" s="86">
        <v>170</v>
      </c>
      <c r="B222" s="69"/>
      <c r="C222" s="69"/>
      <c r="D222" s="69"/>
      <c r="E222" s="69"/>
      <c r="F222" s="69"/>
      <c r="G222" s="169"/>
    </row>
    <row r="223" spans="1:7" x14ac:dyDescent="0.55000000000000004">
      <c r="A223" s="86">
        <v>171</v>
      </c>
      <c r="B223" s="69"/>
      <c r="C223" s="69"/>
      <c r="D223" s="69"/>
      <c r="E223" s="69"/>
      <c r="F223" s="69"/>
      <c r="G223" s="169"/>
    </row>
    <row r="224" spans="1:7" x14ac:dyDescent="0.55000000000000004">
      <c r="A224" s="86">
        <v>172</v>
      </c>
      <c r="B224" s="69"/>
      <c r="C224" s="69"/>
      <c r="D224" s="69"/>
      <c r="E224" s="69"/>
      <c r="F224" s="69"/>
      <c r="G224" s="169"/>
    </row>
    <row r="225" spans="1:7" x14ac:dyDescent="0.55000000000000004">
      <c r="A225" s="86">
        <v>173</v>
      </c>
      <c r="B225" s="69"/>
      <c r="C225" s="69"/>
      <c r="D225" s="69"/>
      <c r="E225" s="69"/>
      <c r="F225" s="69"/>
      <c r="G225" s="169"/>
    </row>
    <row r="226" spans="1:7" x14ac:dyDescent="0.55000000000000004">
      <c r="A226" s="86">
        <v>174</v>
      </c>
      <c r="B226" s="69"/>
      <c r="C226" s="69"/>
      <c r="D226" s="69"/>
      <c r="E226" s="69"/>
      <c r="F226" s="69"/>
      <c r="G226" s="169"/>
    </row>
    <row r="227" spans="1:7" x14ac:dyDescent="0.55000000000000004">
      <c r="A227" s="86">
        <v>175</v>
      </c>
      <c r="B227" s="69"/>
      <c r="C227" s="69"/>
      <c r="D227" s="69"/>
      <c r="E227" s="69"/>
      <c r="F227" s="69"/>
      <c r="G227" s="169"/>
    </row>
    <row r="228" spans="1:7" x14ac:dyDescent="0.55000000000000004">
      <c r="A228" s="86">
        <v>176</v>
      </c>
      <c r="B228" s="69"/>
      <c r="C228" s="69"/>
      <c r="D228" s="69"/>
      <c r="E228" s="69"/>
      <c r="F228" s="69"/>
      <c r="G228" s="169"/>
    </row>
    <row r="229" spans="1:7" x14ac:dyDescent="0.55000000000000004">
      <c r="A229" s="86">
        <v>177</v>
      </c>
      <c r="B229" s="69"/>
      <c r="C229" s="69"/>
      <c r="D229" s="69"/>
      <c r="E229" s="69"/>
      <c r="F229" s="69"/>
      <c r="G229" s="169"/>
    </row>
    <row r="230" spans="1:7" x14ac:dyDescent="0.55000000000000004">
      <c r="A230" s="86">
        <v>178</v>
      </c>
      <c r="B230" s="69"/>
      <c r="C230" s="69"/>
      <c r="D230" s="69"/>
      <c r="E230" s="69"/>
      <c r="F230" s="69"/>
      <c r="G230" s="169"/>
    </row>
    <row r="231" spans="1:7" x14ac:dyDescent="0.55000000000000004">
      <c r="A231" s="86">
        <v>179</v>
      </c>
      <c r="B231" s="69"/>
      <c r="C231" s="69"/>
      <c r="D231" s="69"/>
      <c r="E231" s="69"/>
      <c r="F231" s="69"/>
      <c r="G231" s="169"/>
    </row>
    <row r="232" spans="1:7" x14ac:dyDescent="0.55000000000000004">
      <c r="A232" s="86">
        <v>180</v>
      </c>
      <c r="B232" s="69"/>
      <c r="C232" s="69"/>
      <c r="D232" s="69"/>
      <c r="E232" s="69"/>
      <c r="F232" s="69"/>
      <c r="G232" s="169"/>
    </row>
    <row r="233" spans="1:7" x14ac:dyDescent="0.55000000000000004">
      <c r="A233" s="86">
        <v>181</v>
      </c>
      <c r="B233" s="69"/>
      <c r="C233" s="69"/>
      <c r="D233" s="69"/>
      <c r="E233" s="69"/>
      <c r="F233" s="69"/>
      <c r="G233" s="169"/>
    </row>
    <row r="234" spans="1:7" x14ac:dyDescent="0.55000000000000004">
      <c r="A234" s="86">
        <v>182</v>
      </c>
      <c r="B234" s="69"/>
      <c r="C234" s="69"/>
      <c r="D234" s="69"/>
      <c r="E234" s="69"/>
      <c r="F234" s="69"/>
      <c r="G234" s="169"/>
    </row>
    <row r="235" spans="1:7" x14ac:dyDescent="0.55000000000000004">
      <c r="A235" s="86">
        <v>183</v>
      </c>
      <c r="B235" s="69"/>
      <c r="C235" s="69"/>
      <c r="D235" s="69"/>
      <c r="E235" s="69"/>
      <c r="F235" s="69"/>
      <c r="G235" s="169"/>
    </row>
    <row r="236" spans="1:7" x14ac:dyDescent="0.55000000000000004">
      <c r="A236" s="86">
        <v>184</v>
      </c>
      <c r="B236" s="69"/>
      <c r="C236" s="69"/>
      <c r="D236" s="69"/>
      <c r="E236" s="69"/>
      <c r="F236" s="69"/>
      <c r="G236" s="169"/>
    </row>
    <row r="237" spans="1:7" x14ac:dyDescent="0.55000000000000004">
      <c r="A237" s="86">
        <v>185</v>
      </c>
      <c r="B237" s="69"/>
      <c r="C237" s="69"/>
      <c r="D237" s="69"/>
      <c r="E237" s="69"/>
      <c r="F237" s="69"/>
      <c r="G237" s="169"/>
    </row>
    <row r="238" spans="1:7" x14ac:dyDescent="0.55000000000000004">
      <c r="A238" s="86">
        <v>186</v>
      </c>
      <c r="B238" s="69"/>
      <c r="C238" s="69"/>
      <c r="D238" s="69"/>
      <c r="E238" s="69"/>
      <c r="F238" s="69"/>
      <c r="G238" s="169"/>
    </row>
    <row r="239" spans="1:7" x14ac:dyDescent="0.55000000000000004">
      <c r="A239" s="86">
        <v>187</v>
      </c>
      <c r="B239" s="69"/>
      <c r="C239" s="69"/>
      <c r="D239" s="69"/>
      <c r="E239" s="69"/>
      <c r="F239" s="69"/>
      <c r="G239" s="169"/>
    </row>
    <row r="240" spans="1:7" x14ac:dyDescent="0.55000000000000004">
      <c r="A240" s="86">
        <v>188</v>
      </c>
      <c r="B240" s="69"/>
      <c r="C240" s="69"/>
      <c r="D240" s="69"/>
      <c r="E240" s="69"/>
      <c r="F240" s="69"/>
      <c r="G240" s="169"/>
    </row>
    <row r="241" spans="1:7" x14ac:dyDescent="0.55000000000000004">
      <c r="A241" s="86">
        <v>189</v>
      </c>
      <c r="B241" s="69"/>
      <c r="C241" s="69"/>
      <c r="D241" s="69"/>
      <c r="E241" s="69"/>
      <c r="F241" s="69"/>
      <c r="G241" s="169"/>
    </row>
    <row r="242" spans="1:7" x14ac:dyDescent="0.55000000000000004">
      <c r="A242" s="86">
        <v>190</v>
      </c>
      <c r="B242" s="69"/>
      <c r="C242" s="69"/>
      <c r="D242" s="69"/>
      <c r="E242" s="69"/>
      <c r="F242" s="69"/>
      <c r="G242" s="169"/>
    </row>
    <row r="243" spans="1:7" x14ac:dyDescent="0.55000000000000004">
      <c r="A243" s="86">
        <v>191</v>
      </c>
      <c r="B243" s="69"/>
      <c r="C243" s="69"/>
      <c r="D243" s="69"/>
      <c r="E243" s="69"/>
      <c r="F243" s="69"/>
      <c r="G243" s="169"/>
    </row>
    <row r="244" spans="1:7" x14ac:dyDescent="0.55000000000000004">
      <c r="A244" s="86">
        <v>192</v>
      </c>
      <c r="B244" s="69"/>
      <c r="C244" s="69"/>
      <c r="D244" s="69"/>
      <c r="E244" s="69"/>
      <c r="F244" s="69"/>
      <c r="G244" s="169"/>
    </row>
    <row r="245" spans="1:7" x14ac:dyDescent="0.55000000000000004">
      <c r="A245" s="86">
        <v>193</v>
      </c>
      <c r="B245" s="69"/>
      <c r="C245" s="69"/>
      <c r="D245" s="69"/>
      <c r="E245" s="69"/>
      <c r="F245" s="69"/>
      <c r="G245" s="169"/>
    </row>
    <row r="246" spans="1:7" x14ac:dyDescent="0.55000000000000004">
      <c r="A246" s="86">
        <v>194</v>
      </c>
      <c r="B246" s="69"/>
      <c r="C246" s="69"/>
      <c r="D246" s="69"/>
      <c r="E246" s="69"/>
      <c r="F246" s="69"/>
      <c r="G246" s="169"/>
    </row>
    <row r="247" spans="1:7" x14ac:dyDescent="0.55000000000000004">
      <c r="A247" s="86">
        <v>195</v>
      </c>
      <c r="B247" s="69"/>
      <c r="C247" s="69"/>
      <c r="D247" s="69"/>
      <c r="E247" s="69"/>
      <c r="F247" s="69"/>
      <c r="G247" s="169"/>
    </row>
    <row r="248" spans="1:7" x14ac:dyDescent="0.55000000000000004">
      <c r="A248" s="86">
        <v>196</v>
      </c>
      <c r="B248" s="69"/>
      <c r="C248" s="69"/>
      <c r="D248" s="69"/>
      <c r="E248" s="69"/>
      <c r="F248" s="69"/>
      <c r="G248" s="169"/>
    </row>
    <row r="249" spans="1:7" x14ac:dyDescent="0.55000000000000004">
      <c r="A249" s="86">
        <v>197</v>
      </c>
      <c r="B249" s="69"/>
      <c r="C249" s="69"/>
      <c r="D249" s="69"/>
      <c r="E249" s="69"/>
      <c r="F249" s="69"/>
      <c r="G249" s="169"/>
    </row>
    <row r="250" spans="1:7" x14ac:dyDescent="0.55000000000000004">
      <c r="A250" s="86">
        <v>198</v>
      </c>
      <c r="B250" s="69"/>
      <c r="C250" s="69"/>
      <c r="D250" s="69"/>
      <c r="E250" s="69"/>
      <c r="F250" s="69"/>
      <c r="G250" s="169"/>
    </row>
    <row r="251" spans="1:7" x14ac:dyDescent="0.55000000000000004">
      <c r="A251" s="86">
        <v>199</v>
      </c>
      <c r="B251" s="69"/>
      <c r="C251" s="69"/>
      <c r="D251" s="69"/>
      <c r="E251" s="69"/>
      <c r="F251" s="69"/>
      <c r="G251" s="169"/>
    </row>
    <row r="252" spans="1:7" x14ac:dyDescent="0.55000000000000004">
      <c r="A252" s="86">
        <v>200</v>
      </c>
      <c r="B252" s="69"/>
      <c r="C252" s="69"/>
      <c r="D252" s="69"/>
      <c r="E252" s="69"/>
      <c r="F252" s="69"/>
      <c r="G252" s="169"/>
    </row>
    <row r="253" spans="1:7" x14ac:dyDescent="0.55000000000000004">
      <c r="A253" s="86">
        <v>201</v>
      </c>
      <c r="B253" s="69"/>
      <c r="C253" s="69"/>
      <c r="D253" s="69"/>
      <c r="E253" s="69"/>
      <c r="F253" s="69"/>
      <c r="G253" s="169"/>
    </row>
    <row r="254" spans="1:7" x14ac:dyDescent="0.55000000000000004">
      <c r="A254" s="86">
        <v>202</v>
      </c>
      <c r="B254" s="69"/>
      <c r="C254" s="69"/>
      <c r="D254" s="69"/>
      <c r="E254" s="69"/>
      <c r="F254" s="69"/>
      <c r="G254" s="169"/>
    </row>
    <row r="255" spans="1:7" x14ac:dyDescent="0.55000000000000004">
      <c r="A255" s="86">
        <v>203</v>
      </c>
      <c r="B255" s="69"/>
      <c r="C255" s="69"/>
      <c r="D255" s="69"/>
      <c r="E255" s="69"/>
      <c r="F255" s="69"/>
      <c r="G255" s="169"/>
    </row>
    <row r="256" spans="1:7" x14ac:dyDescent="0.55000000000000004">
      <c r="A256" s="86">
        <v>204</v>
      </c>
      <c r="B256" s="69"/>
      <c r="C256" s="69"/>
      <c r="D256" s="69"/>
      <c r="E256" s="69"/>
      <c r="F256" s="69"/>
      <c r="G256" s="169"/>
    </row>
    <row r="257" spans="1:7" x14ac:dyDescent="0.55000000000000004">
      <c r="A257" s="86">
        <v>205</v>
      </c>
      <c r="B257" s="69"/>
      <c r="C257" s="69"/>
      <c r="D257" s="69"/>
      <c r="E257" s="69"/>
      <c r="F257" s="69"/>
      <c r="G257" s="169"/>
    </row>
    <row r="258" spans="1:7" x14ac:dyDescent="0.55000000000000004">
      <c r="A258" s="86">
        <v>206</v>
      </c>
      <c r="B258" s="69"/>
      <c r="C258" s="69"/>
      <c r="D258" s="69"/>
      <c r="E258" s="69"/>
      <c r="F258" s="69"/>
      <c r="G258" s="169"/>
    </row>
    <row r="259" spans="1:7" x14ac:dyDescent="0.55000000000000004">
      <c r="A259" s="86">
        <v>207</v>
      </c>
      <c r="B259" s="69"/>
      <c r="C259" s="69"/>
      <c r="D259" s="69"/>
      <c r="E259" s="69"/>
      <c r="F259" s="69"/>
      <c r="G259" s="169"/>
    </row>
    <row r="260" spans="1:7" x14ac:dyDescent="0.55000000000000004">
      <c r="A260" s="86">
        <v>208</v>
      </c>
      <c r="B260" s="69"/>
      <c r="C260" s="69"/>
      <c r="D260" s="69"/>
      <c r="E260" s="69"/>
      <c r="F260" s="69"/>
      <c r="G260" s="169"/>
    </row>
    <row r="261" spans="1:7" x14ac:dyDescent="0.55000000000000004">
      <c r="A261" s="86">
        <v>209</v>
      </c>
      <c r="B261" s="69"/>
      <c r="C261" s="69"/>
      <c r="D261" s="69"/>
      <c r="E261" s="69"/>
      <c r="F261" s="69"/>
      <c r="G261" s="169"/>
    </row>
    <row r="262" spans="1:7" x14ac:dyDescent="0.55000000000000004">
      <c r="A262" s="86">
        <v>210</v>
      </c>
      <c r="B262" s="69"/>
      <c r="C262" s="69"/>
      <c r="D262" s="69"/>
      <c r="E262" s="69"/>
      <c r="F262" s="69"/>
      <c r="G262" s="169"/>
    </row>
    <row r="263" spans="1:7" x14ac:dyDescent="0.55000000000000004">
      <c r="A263" s="86">
        <v>211</v>
      </c>
      <c r="B263" s="69"/>
      <c r="C263" s="69"/>
      <c r="D263" s="69"/>
      <c r="E263" s="69"/>
      <c r="F263" s="69"/>
      <c r="G263" s="169"/>
    </row>
    <row r="264" spans="1:7" x14ac:dyDescent="0.55000000000000004">
      <c r="A264" s="86">
        <v>212</v>
      </c>
      <c r="B264" s="69"/>
      <c r="C264" s="69"/>
      <c r="D264" s="69"/>
      <c r="E264" s="69"/>
      <c r="F264" s="69"/>
      <c r="G264" s="169"/>
    </row>
    <row r="265" spans="1:7" x14ac:dyDescent="0.55000000000000004">
      <c r="A265" s="86">
        <v>213</v>
      </c>
      <c r="B265" s="69"/>
      <c r="C265" s="69"/>
      <c r="D265" s="69"/>
      <c r="E265" s="69"/>
      <c r="F265" s="69"/>
      <c r="G265" s="169"/>
    </row>
    <row r="266" spans="1:7" x14ac:dyDescent="0.55000000000000004">
      <c r="A266" s="86">
        <v>214</v>
      </c>
      <c r="B266" s="69"/>
      <c r="C266" s="69"/>
      <c r="D266" s="69"/>
      <c r="E266" s="69"/>
      <c r="F266" s="69"/>
      <c r="G266" s="169"/>
    </row>
    <row r="267" spans="1:7" x14ac:dyDescent="0.55000000000000004">
      <c r="A267" s="86">
        <v>215</v>
      </c>
      <c r="B267" s="69"/>
      <c r="C267" s="69"/>
      <c r="D267" s="69"/>
      <c r="E267" s="69"/>
      <c r="F267" s="69"/>
      <c r="G267" s="169"/>
    </row>
    <row r="268" spans="1:7" x14ac:dyDescent="0.55000000000000004">
      <c r="A268" s="86">
        <v>216</v>
      </c>
      <c r="B268" s="69"/>
      <c r="C268" s="69"/>
      <c r="D268" s="69"/>
      <c r="E268" s="69"/>
      <c r="F268" s="69"/>
      <c r="G268" s="169"/>
    </row>
    <row r="269" spans="1:7" x14ac:dyDescent="0.55000000000000004">
      <c r="A269" s="86">
        <v>217</v>
      </c>
      <c r="B269" s="69"/>
      <c r="C269" s="69"/>
      <c r="D269" s="69"/>
      <c r="E269" s="69"/>
      <c r="F269" s="69"/>
      <c r="G269" s="169"/>
    </row>
    <row r="270" spans="1:7" x14ac:dyDescent="0.55000000000000004">
      <c r="A270" s="86">
        <v>218</v>
      </c>
      <c r="B270" s="69"/>
      <c r="C270" s="69"/>
      <c r="D270" s="69"/>
      <c r="E270" s="69"/>
      <c r="F270" s="69"/>
      <c r="G270" s="169"/>
    </row>
    <row r="271" spans="1:7" x14ac:dyDescent="0.55000000000000004">
      <c r="A271" s="86">
        <v>219</v>
      </c>
      <c r="B271" s="69"/>
      <c r="C271" s="69"/>
      <c r="D271" s="69"/>
      <c r="E271" s="69"/>
      <c r="F271" s="69"/>
      <c r="G271" s="169"/>
    </row>
    <row r="272" spans="1:7" x14ac:dyDescent="0.55000000000000004">
      <c r="A272" s="86">
        <v>220</v>
      </c>
      <c r="B272" s="69"/>
      <c r="C272" s="69"/>
      <c r="D272" s="69"/>
      <c r="E272" s="69"/>
      <c r="F272" s="69"/>
      <c r="G272" s="169"/>
    </row>
    <row r="273" spans="1:7" x14ac:dyDescent="0.55000000000000004">
      <c r="A273" s="86">
        <v>221</v>
      </c>
      <c r="B273" s="69"/>
      <c r="C273" s="69"/>
      <c r="D273" s="69"/>
      <c r="E273" s="69"/>
      <c r="F273" s="69"/>
      <c r="G273" s="169"/>
    </row>
    <row r="274" spans="1:7" x14ac:dyDescent="0.55000000000000004">
      <c r="A274" s="86">
        <v>222</v>
      </c>
      <c r="B274" s="69"/>
      <c r="C274" s="69"/>
      <c r="D274" s="69"/>
      <c r="E274" s="69"/>
      <c r="F274" s="69"/>
      <c r="G274" s="169"/>
    </row>
    <row r="275" spans="1:7" x14ac:dyDescent="0.55000000000000004">
      <c r="A275" s="86">
        <v>223</v>
      </c>
      <c r="B275" s="69"/>
      <c r="C275" s="69"/>
      <c r="D275" s="69"/>
      <c r="E275" s="69"/>
      <c r="F275" s="69"/>
      <c r="G275" s="169"/>
    </row>
    <row r="276" spans="1:7" x14ac:dyDescent="0.55000000000000004">
      <c r="A276" s="86">
        <v>224</v>
      </c>
      <c r="B276" s="69"/>
      <c r="C276" s="69"/>
      <c r="D276" s="69"/>
      <c r="E276" s="69"/>
      <c r="F276" s="69"/>
      <c r="G276" s="169"/>
    </row>
    <row r="277" spans="1:7" x14ac:dyDescent="0.55000000000000004">
      <c r="A277" s="86">
        <v>225</v>
      </c>
      <c r="B277" s="69"/>
      <c r="C277" s="69"/>
      <c r="D277" s="69"/>
      <c r="E277" s="69"/>
      <c r="F277" s="69"/>
      <c r="G277" s="169"/>
    </row>
    <row r="278" spans="1:7" x14ac:dyDescent="0.55000000000000004">
      <c r="A278" s="86">
        <v>226</v>
      </c>
      <c r="B278" s="69"/>
      <c r="C278" s="69"/>
      <c r="D278" s="69"/>
      <c r="E278" s="69"/>
      <c r="F278" s="69"/>
      <c r="G278" s="169"/>
    </row>
    <row r="279" spans="1:7" x14ac:dyDescent="0.55000000000000004">
      <c r="A279" s="86">
        <v>227</v>
      </c>
      <c r="B279" s="69"/>
      <c r="C279" s="69"/>
      <c r="D279" s="69"/>
      <c r="E279" s="69"/>
      <c r="F279" s="69"/>
      <c r="G279" s="169"/>
    </row>
    <row r="280" spans="1:7" x14ac:dyDescent="0.55000000000000004">
      <c r="A280" s="86">
        <v>228</v>
      </c>
      <c r="B280" s="69"/>
      <c r="C280" s="69"/>
      <c r="D280" s="69"/>
      <c r="E280" s="69"/>
      <c r="F280" s="69"/>
      <c r="G280" s="169"/>
    </row>
    <row r="281" spans="1:7" x14ac:dyDescent="0.55000000000000004">
      <c r="A281" s="86">
        <v>229</v>
      </c>
      <c r="B281" s="69"/>
      <c r="C281" s="69"/>
      <c r="D281" s="69"/>
      <c r="E281" s="69"/>
      <c r="F281" s="69"/>
      <c r="G281" s="169"/>
    </row>
    <row r="282" spans="1:7" x14ac:dyDescent="0.55000000000000004">
      <c r="A282" s="86">
        <v>230</v>
      </c>
      <c r="B282" s="69"/>
      <c r="C282" s="69"/>
      <c r="D282" s="69"/>
      <c r="E282" s="69"/>
      <c r="F282" s="69"/>
      <c r="G282" s="169"/>
    </row>
    <row r="283" spans="1:7" x14ac:dyDescent="0.55000000000000004">
      <c r="A283" s="86">
        <v>231</v>
      </c>
      <c r="B283" s="69"/>
      <c r="C283" s="69"/>
      <c r="D283" s="69"/>
      <c r="E283" s="69"/>
      <c r="F283" s="69"/>
      <c r="G283" s="169"/>
    </row>
    <row r="284" spans="1:7" x14ac:dyDescent="0.55000000000000004">
      <c r="A284" s="86">
        <v>232</v>
      </c>
      <c r="B284" s="69"/>
      <c r="C284" s="69"/>
      <c r="D284" s="69"/>
      <c r="E284" s="69"/>
      <c r="F284" s="69"/>
      <c r="G284" s="169"/>
    </row>
    <row r="285" spans="1:7" x14ac:dyDescent="0.55000000000000004">
      <c r="A285" s="86">
        <v>233</v>
      </c>
      <c r="B285" s="69"/>
      <c r="C285" s="69"/>
      <c r="D285" s="69"/>
      <c r="E285" s="69"/>
      <c r="F285" s="69"/>
      <c r="G285" s="169"/>
    </row>
    <row r="286" spans="1:7" x14ac:dyDescent="0.55000000000000004">
      <c r="A286" s="86">
        <v>234</v>
      </c>
      <c r="B286" s="69"/>
      <c r="C286" s="69"/>
      <c r="D286" s="69"/>
      <c r="E286" s="69"/>
      <c r="F286" s="69"/>
      <c r="G286" s="169"/>
    </row>
    <row r="287" spans="1:7" x14ac:dyDescent="0.55000000000000004">
      <c r="A287" s="86">
        <v>235</v>
      </c>
      <c r="B287" s="69"/>
      <c r="C287" s="69"/>
      <c r="D287" s="69"/>
      <c r="E287" s="69"/>
      <c r="F287" s="69"/>
      <c r="G287" s="169"/>
    </row>
    <row r="288" spans="1:7" x14ac:dyDescent="0.55000000000000004">
      <c r="A288" s="86">
        <v>236</v>
      </c>
      <c r="B288" s="69"/>
      <c r="C288" s="69"/>
      <c r="D288" s="69"/>
      <c r="E288" s="69"/>
      <c r="F288" s="69"/>
      <c r="G288" s="169"/>
    </row>
    <row r="289" spans="1:7" x14ac:dyDescent="0.55000000000000004">
      <c r="A289" s="86">
        <v>237</v>
      </c>
      <c r="B289" s="69"/>
      <c r="C289" s="69"/>
      <c r="D289" s="69"/>
      <c r="E289" s="69"/>
      <c r="F289" s="69"/>
      <c r="G289" s="169"/>
    </row>
    <row r="290" spans="1:7" x14ac:dyDescent="0.55000000000000004">
      <c r="A290" s="86">
        <v>238</v>
      </c>
      <c r="B290" s="69"/>
      <c r="C290" s="69"/>
      <c r="D290" s="69"/>
      <c r="E290" s="69"/>
      <c r="F290" s="69"/>
      <c r="G290" s="169"/>
    </row>
    <row r="291" spans="1:7" x14ac:dyDescent="0.55000000000000004">
      <c r="A291" s="86">
        <v>239</v>
      </c>
      <c r="B291" s="69"/>
      <c r="C291" s="69"/>
      <c r="D291" s="69"/>
      <c r="E291" s="69"/>
      <c r="F291" s="69"/>
      <c r="G291" s="169"/>
    </row>
    <row r="292" spans="1:7" x14ac:dyDescent="0.55000000000000004">
      <c r="A292" s="86">
        <v>240</v>
      </c>
      <c r="B292" s="69"/>
      <c r="C292" s="69"/>
      <c r="D292" s="69"/>
      <c r="E292" s="69"/>
      <c r="F292" s="69"/>
      <c r="G292" s="169"/>
    </row>
    <row r="293" spans="1:7" x14ac:dyDescent="0.55000000000000004">
      <c r="A293" s="86">
        <v>241</v>
      </c>
      <c r="B293" s="69"/>
      <c r="C293" s="69"/>
      <c r="D293" s="69"/>
      <c r="E293" s="69"/>
      <c r="F293" s="69"/>
      <c r="G293" s="169"/>
    </row>
    <row r="294" spans="1:7" x14ac:dyDescent="0.55000000000000004">
      <c r="A294" s="86">
        <v>242</v>
      </c>
      <c r="B294" s="69"/>
      <c r="C294" s="69"/>
      <c r="D294" s="69"/>
      <c r="E294" s="69"/>
      <c r="F294" s="69"/>
      <c r="G294" s="169"/>
    </row>
    <row r="295" spans="1:7" x14ac:dyDescent="0.55000000000000004">
      <c r="A295" s="86">
        <v>243</v>
      </c>
      <c r="B295" s="69"/>
      <c r="C295" s="69"/>
      <c r="D295" s="69"/>
      <c r="E295" s="69"/>
      <c r="F295" s="69"/>
      <c r="G295" s="169"/>
    </row>
    <row r="296" spans="1:7" x14ac:dyDescent="0.55000000000000004">
      <c r="A296" s="86">
        <v>244</v>
      </c>
      <c r="B296" s="69"/>
      <c r="C296" s="69"/>
      <c r="D296" s="69"/>
      <c r="E296" s="69"/>
      <c r="F296" s="69"/>
      <c r="G296" s="169"/>
    </row>
    <row r="297" spans="1:7" x14ac:dyDescent="0.55000000000000004">
      <c r="A297" s="86">
        <v>245</v>
      </c>
      <c r="B297" s="69"/>
      <c r="C297" s="69"/>
      <c r="D297" s="69"/>
      <c r="E297" s="69"/>
      <c r="F297" s="69"/>
      <c r="G297" s="169"/>
    </row>
    <row r="298" spans="1:7" x14ac:dyDescent="0.55000000000000004">
      <c r="A298" s="86">
        <v>246</v>
      </c>
      <c r="B298" s="69"/>
      <c r="C298" s="69"/>
      <c r="D298" s="69"/>
      <c r="E298" s="69"/>
      <c r="F298" s="69"/>
      <c r="G298" s="169"/>
    </row>
    <row r="299" spans="1:7" x14ac:dyDescent="0.55000000000000004">
      <c r="A299" s="86">
        <v>247</v>
      </c>
      <c r="B299" s="69"/>
      <c r="C299" s="69"/>
      <c r="D299" s="69"/>
      <c r="E299" s="69"/>
      <c r="F299" s="69"/>
      <c r="G299" s="169"/>
    </row>
    <row r="300" spans="1:7" x14ac:dyDescent="0.55000000000000004">
      <c r="A300" s="86">
        <v>248</v>
      </c>
      <c r="B300" s="69"/>
      <c r="C300" s="69"/>
      <c r="D300" s="69"/>
      <c r="E300" s="69"/>
      <c r="F300" s="69"/>
      <c r="G300" s="169"/>
    </row>
    <row r="301" spans="1:7" x14ac:dyDescent="0.55000000000000004">
      <c r="A301" s="86">
        <v>249</v>
      </c>
      <c r="B301" s="69"/>
      <c r="C301" s="69"/>
      <c r="D301" s="69"/>
      <c r="E301" s="69"/>
      <c r="F301" s="69"/>
      <c r="G301" s="169"/>
    </row>
    <row r="302" spans="1:7" x14ac:dyDescent="0.55000000000000004">
      <c r="A302" s="86">
        <v>250</v>
      </c>
      <c r="B302" s="69"/>
      <c r="C302" s="69"/>
      <c r="D302" s="69"/>
      <c r="E302" s="69"/>
      <c r="F302" s="69"/>
      <c r="G302" s="169"/>
    </row>
    <row r="303" spans="1:7" x14ac:dyDescent="0.55000000000000004">
      <c r="A303" s="86">
        <v>251</v>
      </c>
      <c r="B303" s="69"/>
      <c r="C303" s="69"/>
      <c r="D303" s="69"/>
      <c r="E303" s="69"/>
      <c r="F303" s="69"/>
      <c r="G303" s="169"/>
    </row>
    <row r="304" spans="1:7" x14ac:dyDescent="0.55000000000000004">
      <c r="A304" s="86">
        <v>252</v>
      </c>
      <c r="B304" s="69"/>
      <c r="C304" s="69"/>
      <c r="D304" s="69"/>
      <c r="E304" s="69"/>
      <c r="F304" s="69"/>
      <c r="G304" s="169"/>
    </row>
    <row r="305" spans="1:7" x14ac:dyDescent="0.55000000000000004">
      <c r="A305" s="86">
        <v>253</v>
      </c>
      <c r="B305" s="69"/>
      <c r="C305" s="69"/>
      <c r="D305" s="69"/>
      <c r="E305" s="69"/>
      <c r="F305" s="69"/>
      <c r="G305" s="169"/>
    </row>
    <row r="306" spans="1:7" x14ac:dyDescent="0.55000000000000004">
      <c r="A306" s="86">
        <v>254</v>
      </c>
      <c r="B306" s="69"/>
      <c r="C306" s="69"/>
      <c r="D306" s="69"/>
      <c r="E306" s="69"/>
      <c r="F306" s="69"/>
      <c r="G306" s="169"/>
    </row>
    <row r="307" spans="1:7" x14ac:dyDescent="0.55000000000000004">
      <c r="A307" s="86">
        <v>255</v>
      </c>
      <c r="B307" s="69"/>
      <c r="C307" s="69"/>
      <c r="D307" s="69"/>
      <c r="E307" s="69"/>
      <c r="F307" s="69"/>
      <c r="G307" s="169"/>
    </row>
    <row r="308" spans="1:7" x14ac:dyDescent="0.55000000000000004">
      <c r="A308" s="86">
        <v>256</v>
      </c>
      <c r="B308" s="69"/>
      <c r="C308" s="69"/>
      <c r="D308" s="69"/>
      <c r="E308" s="69"/>
      <c r="F308" s="69"/>
      <c r="G308" s="169"/>
    </row>
    <row r="309" spans="1:7" x14ac:dyDescent="0.55000000000000004">
      <c r="A309" s="86">
        <v>257</v>
      </c>
      <c r="B309" s="69"/>
      <c r="C309" s="69"/>
      <c r="D309" s="69"/>
      <c r="E309" s="69"/>
      <c r="F309" s="69"/>
      <c r="G309" s="169"/>
    </row>
    <row r="310" spans="1:7" x14ac:dyDescent="0.55000000000000004">
      <c r="A310" s="86">
        <v>258</v>
      </c>
      <c r="B310" s="69"/>
      <c r="C310" s="69"/>
      <c r="D310" s="69"/>
      <c r="E310" s="69"/>
      <c r="F310" s="69"/>
      <c r="G310" s="169"/>
    </row>
    <row r="311" spans="1:7" x14ac:dyDescent="0.55000000000000004">
      <c r="A311" s="86">
        <v>259</v>
      </c>
      <c r="B311" s="69"/>
      <c r="C311" s="69"/>
      <c r="D311" s="69"/>
      <c r="E311" s="69"/>
      <c r="F311" s="69"/>
      <c r="G311" s="169"/>
    </row>
    <row r="312" spans="1:7" x14ac:dyDescent="0.55000000000000004">
      <c r="A312" s="86">
        <v>260</v>
      </c>
      <c r="B312" s="69"/>
      <c r="C312" s="69"/>
      <c r="D312" s="69"/>
      <c r="E312" s="69"/>
      <c r="F312" s="69"/>
      <c r="G312" s="169"/>
    </row>
    <row r="313" spans="1:7" x14ac:dyDescent="0.55000000000000004">
      <c r="A313" s="86">
        <v>261</v>
      </c>
      <c r="B313" s="69"/>
      <c r="C313" s="69"/>
      <c r="D313" s="69"/>
      <c r="E313" s="69"/>
      <c r="F313" s="69"/>
      <c r="G313" s="169"/>
    </row>
    <row r="314" spans="1:7" x14ac:dyDescent="0.55000000000000004">
      <c r="A314" s="86">
        <v>262</v>
      </c>
      <c r="B314" s="69"/>
      <c r="C314" s="69"/>
      <c r="D314" s="69"/>
      <c r="E314" s="69"/>
      <c r="F314" s="69"/>
      <c r="G314" s="169"/>
    </row>
    <row r="315" spans="1:7" x14ac:dyDescent="0.55000000000000004">
      <c r="A315" s="86">
        <v>263</v>
      </c>
      <c r="B315" s="69"/>
      <c r="C315" s="69"/>
      <c r="D315" s="69"/>
      <c r="E315" s="69"/>
      <c r="F315" s="69"/>
      <c r="G315" s="169"/>
    </row>
    <row r="316" spans="1:7" x14ac:dyDescent="0.55000000000000004">
      <c r="A316" s="86">
        <v>264</v>
      </c>
      <c r="B316" s="69"/>
      <c r="C316" s="69"/>
      <c r="D316" s="69"/>
      <c r="E316" s="69"/>
      <c r="F316" s="69"/>
      <c r="G316" s="169"/>
    </row>
    <row r="317" spans="1:7" x14ac:dyDescent="0.55000000000000004">
      <c r="A317" s="86">
        <v>265</v>
      </c>
      <c r="B317" s="69"/>
      <c r="C317" s="69"/>
      <c r="D317" s="69"/>
      <c r="E317" s="69"/>
      <c r="F317" s="69"/>
      <c r="G317" s="169"/>
    </row>
    <row r="318" spans="1:7" x14ac:dyDescent="0.55000000000000004">
      <c r="A318" s="86">
        <v>266</v>
      </c>
      <c r="B318" s="69"/>
      <c r="C318" s="69"/>
      <c r="D318" s="69"/>
      <c r="E318" s="69"/>
      <c r="F318" s="69"/>
      <c r="G318" s="169"/>
    </row>
    <row r="319" spans="1:7" x14ac:dyDescent="0.55000000000000004">
      <c r="A319" s="86">
        <v>267</v>
      </c>
      <c r="B319" s="69"/>
      <c r="C319" s="69"/>
      <c r="D319" s="69"/>
      <c r="E319" s="69"/>
      <c r="F319" s="69"/>
      <c r="G319" s="169"/>
    </row>
    <row r="320" spans="1:7" x14ac:dyDescent="0.55000000000000004">
      <c r="A320" s="86">
        <v>268</v>
      </c>
      <c r="B320" s="69"/>
      <c r="C320" s="69"/>
      <c r="D320" s="69"/>
      <c r="E320" s="69"/>
      <c r="F320" s="69"/>
      <c r="G320" s="169"/>
    </row>
    <row r="321" spans="1:7" x14ac:dyDescent="0.55000000000000004">
      <c r="A321" s="86">
        <v>269</v>
      </c>
      <c r="B321" s="69"/>
      <c r="C321" s="69"/>
      <c r="D321" s="69"/>
      <c r="E321" s="69"/>
      <c r="F321" s="69"/>
      <c r="G321" s="169"/>
    </row>
    <row r="322" spans="1:7" x14ac:dyDescent="0.55000000000000004">
      <c r="A322" s="86">
        <v>270</v>
      </c>
      <c r="B322" s="69"/>
      <c r="C322" s="69"/>
      <c r="D322" s="69"/>
      <c r="E322" s="69"/>
      <c r="F322" s="69"/>
      <c r="G322" s="169"/>
    </row>
    <row r="323" spans="1:7" x14ac:dyDescent="0.55000000000000004">
      <c r="A323" s="86">
        <v>271</v>
      </c>
      <c r="B323" s="69"/>
      <c r="C323" s="69"/>
      <c r="D323" s="69"/>
      <c r="E323" s="69"/>
      <c r="F323" s="69"/>
      <c r="G323" s="169"/>
    </row>
    <row r="324" spans="1:7" x14ac:dyDescent="0.55000000000000004">
      <c r="A324" s="86">
        <v>272</v>
      </c>
      <c r="B324" s="69"/>
      <c r="C324" s="69"/>
      <c r="D324" s="69"/>
      <c r="E324" s="69"/>
      <c r="F324" s="69"/>
      <c r="G324" s="169"/>
    </row>
    <row r="325" spans="1:7" x14ac:dyDescent="0.55000000000000004">
      <c r="A325" s="86">
        <v>273</v>
      </c>
      <c r="B325" s="69"/>
      <c r="C325" s="69"/>
      <c r="D325" s="69"/>
      <c r="E325" s="69"/>
      <c r="F325" s="69"/>
      <c r="G325" s="169"/>
    </row>
    <row r="326" spans="1:7" x14ac:dyDescent="0.55000000000000004">
      <c r="A326" s="86">
        <v>274</v>
      </c>
      <c r="B326" s="69"/>
      <c r="C326" s="69"/>
      <c r="D326" s="69"/>
      <c r="E326" s="69"/>
      <c r="F326" s="69"/>
      <c r="G326" s="169"/>
    </row>
    <row r="327" spans="1:7" x14ac:dyDescent="0.55000000000000004">
      <c r="A327" s="86">
        <v>275</v>
      </c>
      <c r="B327" s="69"/>
      <c r="C327" s="69"/>
      <c r="D327" s="69"/>
      <c r="E327" s="69"/>
      <c r="F327" s="69"/>
      <c r="G327" s="169"/>
    </row>
    <row r="328" spans="1:7" x14ac:dyDescent="0.55000000000000004">
      <c r="A328" s="86">
        <v>276</v>
      </c>
      <c r="B328" s="69"/>
      <c r="C328" s="69"/>
      <c r="D328" s="69"/>
      <c r="E328" s="69"/>
      <c r="F328" s="69"/>
      <c r="G328" s="169"/>
    </row>
    <row r="329" spans="1:7" x14ac:dyDescent="0.55000000000000004">
      <c r="A329" s="86">
        <v>277</v>
      </c>
      <c r="B329" s="69"/>
      <c r="C329" s="69"/>
      <c r="D329" s="69"/>
      <c r="E329" s="69"/>
      <c r="F329" s="69"/>
      <c r="G329" s="169"/>
    </row>
    <row r="330" spans="1:7" x14ac:dyDescent="0.55000000000000004">
      <c r="A330" s="86">
        <v>278</v>
      </c>
      <c r="B330" s="69"/>
      <c r="C330" s="69"/>
      <c r="D330" s="69"/>
      <c r="E330" s="69"/>
      <c r="F330" s="69"/>
      <c r="G330" s="169"/>
    </row>
    <row r="331" spans="1:7" x14ac:dyDescent="0.55000000000000004">
      <c r="A331" s="86">
        <v>279</v>
      </c>
      <c r="B331" s="69"/>
      <c r="C331" s="69"/>
      <c r="D331" s="69"/>
      <c r="E331" s="69"/>
      <c r="F331" s="69"/>
      <c r="G331" s="169"/>
    </row>
    <row r="332" spans="1:7" x14ac:dyDescent="0.55000000000000004">
      <c r="A332" s="86">
        <v>280</v>
      </c>
      <c r="B332" s="69"/>
      <c r="C332" s="69"/>
      <c r="D332" s="69"/>
      <c r="E332" s="69"/>
      <c r="F332" s="69"/>
      <c r="G332" s="169"/>
    </row>
    <row r="333" spans="1:7" x14ac:dyDescent="0.55000000000000004">
      <c r="A333" s="86">
        <v>281</v>
      </c>
      <c r="B333" s="69"/>
      <c r="C333" s="69"/>
      <c r="D333" s="69"/>
      <c r="E333" s="69"/>
      <c r="F333" s="69"/>
      <c r="G333" s="169"/>
    </row>
    <row r="334" spans="1:7" x14ac:dyDescent="0.55000000000000004">
      <c r="A334" s="86">
        <v>282</v>
      </c>
      <c r="B334" s="69"/>
      <c r="C334" s="69"/>
      <c r="D334" s="69"/>
      <c r="E334" s="69"/>
      <c r="F334" s="69"/>
      <c r="G334" s="169"/>
    </row>
    <row r="335" spans="1:7" x14ac:dyDescent="0.55000000000000004">
      <c r="A335" s="86">
        <v>283</v>
      </c>
      <c r="B335" s="69"/>
      <c r="C335" s="69"/>
      <c r="D335" s="69"/>
      <c r="E335" s="69"/>
      <c r="F335" s="69"/>
      <c r="G335" s="169"/>
    </row>
    <row r="336" spans="1:7" x14ac:dyDescent="0.55000000000000004">
      <c r="A336" s="86">
        <v>284</v>
      </c>
      <c r="B336" s="69"/>
      <c r="C336" s="69"/>
      <c r="D336" s="69"/>
      <c r="E336" s="69"/>
      <c r="F336" s="69"/>
      <c r="G336" s="169"/>
    </row>
    <row r="337" spans="1:7" x14ac:dyDescent="0.55000000000000004">
      <c r="A337" s="86">
        <v>285</v>
      </c>
      <c r="B337" s="69"/>
      <c r="C337" s="69"/>
      <c r="D337" s="69"/>
      <c r="E337" s="69"/>
      <c r="F337" s="69"/>
      <c r="G337" s="169"/>
    </row>
    <row r="338" spans="1:7" x14ac:dyDescent="0.55000000000000004">
      <c r="A338" s="86">
        <v>286</v>
      </c>
      <c r="B338" s="69"/>
      <c r="C338" s="69"/>
      <c r="D338" s="69"/>
      <c r="E338" s="69"/>
      <c r="F338" s="69"/>
      <c r="G338" s="169"/>
    </row>
    <row r="339" spans="1:7" x14ac:dyDescent="0.55000000000000004">
      <c r="A339" s="86">
        <v>287</v>
      </c>
      <c r="B339" s="69"/>
      <c r="C339" s="69"/>
      <c r="D339" s="69"/>
      <c r="E339" s="69"/>
      <c r="F339" s="69"/>
      <c r="G339" s="169"/>
    </row>
    <row r="340" spans="1:7" x14ac:dyDescent="0.55000000000000004">
      <c r="A340" s="86">
        <v>288</v>
      </c>
      <c r="B340" s="69"/>
      <c r="C340" s="69"/>
      <c r="D340" s="69"/>
      <c r="E340" s="69"/>
      <c r="F340" s="69"/>
      <c r="G340" s="169"/>
    </row>
    <row r="341" spans="1:7" x14ac:dyDescent="0.55000000000000004">
      <c r="A341" s="86">
        <v>289</v>
      </c>
      <c r="B341" s="69"/>
      <c r="C341" s="69"/>
      <c r="D341" s="69"/>
      <c r="E341" s="69"/>
      <c r="F341" s="69"/>
      <c r="G341" s="169"/>
    </row>
    <row r="342" spans="1:7" x14ac:dyDescent="0.55000000000000004">
      <c r="A342" s="86">
        <v>290</v>
      </c>
      <c r="B342" s="69"/>
      <c r="C342" s="69"/>
      <c r="D342" s="69"/>
      <c r="E342" s="69"/>
      <c r="F342" s="69"/>
      <c r="G342" s="169"/>
    </row>
    <row r="343" spans="1:7" x14ac:dyDescent="0.55000000000000004">
      <c r="A343" s="86">
        <v>291</v>
      </c>
      <c r="B343" s="69"/>
      <c r="C343" s="69"/>
      <c r="D343" s="69"/>
      <c r="E343" s="69"/>
      <c r="F343" s="69"/>
      <c r="G343" s="169"/>
    </row>
    <row r="344" spans="1:7" x14ac:dyDescent="0.55000000000000004">
      <c r="A344" s="86">
        <v>292</v>
      </c>
      <c r="B344" s="69"/>
      <c r="C344" s="69"/>
      <c r="D344" s="69"/>
      <c r="E344" s="69"/>
      <c r="F344" s="69"/>
      <c r="G344" s="169"/>
    </row>
    <row r="345" spans="1:7" x14ac:dyDescent="0.55000000000000004">
      <c r="A345" s="86">
        <v>293</v>
      </c>
      <c r="B345" s="69"/>
      <c r="C345" s="69"/>
      <c r="D345" s="69"/>
      <c r="E345" s="69"/>
      <c r="F345" s="69"/>
      <c r="G345" s="169"/>
    </row>
    <row r="346" spans="1:7" x14ac:dyDescent="0.55000000000000004">
      <c r="A346" s="86">
        <v>294</v>
      </c>
      <c r="B346" s="69"/>
      <c r="C346" s="69"/>
      <c r="D346" s="69"/>
      <c r="E346" s="69"/>
      <c r="F346" s="69"/>
      <c r="G346" s="169"/>
    </row>
    <row r="347" spans="1:7" x14ac:dyDescent="0.55000000000000004">
      <c r="A347" s="86">
        <v>295</v>
      </c>
      <c r="B347" s="69"/>
      <c r="C347" s="69"/>
      <c r="D347" s="69"/>
      <c r="E347" s="69"/>
      <c r="F347" s="69"/>
      <c r="G347" s="169"/>
    </row>
    <row r="348" spans="1:7" x14ac:dyDescent="0.55000000000000004">
      <c r="A348" s="86">
        <v>296</v>
      </c>
      <c r="B348" s="69"/>
      <c r="C348" s="69"/>
      <c r="D348" s="69"/>
      <c r="E348" s="69"/>
      <c r="F348" s="69"/>
      <c r="G348" s="169"/>
    </row>
    <row r="349" spans="1:7" x14ac:dyDescent="0.55000000000000004">
      <c r="A349" s="86">
        <v>297</v>
      </c>
      <c r="B349" s="69"/>
      <c r="C349" s="69"/>
      <c r="D349" s="69"/>
      <c r="E349" s="69"/>
      <c r="F349" s="69"/>
      <c r="G349" s="169"/>
    </row>
    <row r="350" spans="1:7" x14ac:dyDescent="0.55000000000000004">
      <c r="A350" s="86">
        <v>298</v>
      </c>
      <c r="B350" s="69"/>
      <c r="C350" s="69"/>
      <c r="D350" s="69"/>
      <c r="E350" s="69"/>
      <c r="F350" s="69"/>
      <c r="G350" s="169"/>
    </row>
    <row r="351" spans="1:7" x14ac:dyDescent="0.55000000000000004">
      <c r="A351" s="86">
        <v>299</v>
      </c>
      <c r="B351" s="69"/>
      <c r="C351" s="69"/>
      <c r="D351" s="69"/>
      <c r="E351" s="69"/>
      <c r="F351" s="69"/>
      <c r="G351" s="169"/>
    </row>
    <row r="352" spans="1:7" x14ac:dyDescent="0.55000000000000004">
      <c r="A352" s="86">
        <v>300</v>
      </c>
      <c r="B352" s="69"/>
      <c r="C352" s="69"/>
      <c r="D352" s="69"/>
      <c r="E352" s="69"/>
      <c r="F352" s="69"/>
      <c r="G352" s="169"/>
    </row>
    <row r="353" spans="1:7" x14ac:dyDescent="0.55000000000000004">
      <c r="A353" s="86">
        <v>301</v>
      </c>
      <c r="B353" s="69"/>
      <c r="C353" s="69"/>
      <c r="D353" s="69"/>
      <c r="E353" s="69"/>
      <c r="F353" s="69"/>
      <c r="G353" s="169"/>
    </row>
    <row r="354" spans="1:7" x14ac:dyDescent="0.55000000000000004">
      <c r="A354" s="86">
        <v>302</v>
      </c>
      <c r="B354" s="69"/>
      <c r="C354" s="69"/>
      <c r="D354" s="69"/>
      <c r="E354" s="69"/>
      <c r="F354" s="69"/>
      <c r="G354" s="169"/>
    </row>
    <row r="355" spans="1:7" x14ac:dyDescent="0.55000000000000004">
      <c r="A355" s="86">
        <v>303</v>
      </c>
      <c r="B355" s="69"/>
      <c r="C355" s="69"/>
      <c r="D355" s="69"/>
      <c r="E355" s="69"/>
      <c r="F355" s="69"/>
      <c r="G355" s="169"/>
    </row>
    <row r="356" spans="1:7" x14ac:dyDescent="0.55000000000000004">
      <c r="A356" s="86">
        <v>304</v>
      </c>
      <c r="B356" s="69"/>
      <c r="C356" s="69"/>
      <c r="D356" s="69"/>
      <c r="E356" s="69"/>
      <c r="F356" s="69"/>
      <c r="G356" s="169"/>
    </row>
    <row r="357" spans="1:7" x14ac:dyDescent="0.55000000000000004">
      <c r="A357" s="86">
        <v>305</v>
      </c>
      <c r="B357" s="69"/>
      <c r="C357" s="69"/>
      <c r="D357" s="69"/>
      <c r="E357" s="69"/>
      <c r="F357" s="69"/>
      <c r="G357" s="169"/>
    </row>
    <row r="358" spans="1:7" x14ac:dyDescent="0.55000000000000004">
      <c r="A358" s="86">
        <v>306</v>
      </c>
      <c r="B358" s="69"/>
      <c r="C358" s="69"/>
      <c r="D358" s="69"/>
      <c r="E358" s="69"/>
      <c r="F358" s="69"/>
      <c r="G358" s="169"/>
    </row>
    <row r="359" spans="1:7" x14ac:dyDescent="0.55000000000000004">
      <c r="A359" s="86">
        <v>307</v>
      </c>
      <c r="B359" s="69"/>
      <c r="C359" s="69"/>
      <c r="D359" s="69"/>
      <c r="E359" s="69"/>
      <c r="F359" s="69"/>
      <c r="G359" s="169"/>
    </row>
    <row r="360" spans="1:7" x14ac:dyDescent="0.55000000000000004">
      <c r="A360" s="86">
        <v>308</v>
      </c>
      <c r="B360" s="69"/>
      <c r="C360" s="69"/>
      <c r="D360" s="69"/>
      <c r="E360" s="69"/>
      <c r="F360" s="69"/>
      <c r="G360" s="169"/>
    </row>
    <row r="361" spans="1:7" x14ac:dyDescent="0.55000000000000004">
      <c r="A361" s="86">
        <v>309</v>
      </c>
      <c r="B361" s="69"/>
      <c r="C361" s="69"/>
      <c r="D361" s="69"/>
      <c r="E361" s="69"/>
      <c r="F361" s="69"/>
      <c r="G361" s="169"/>
    </row>
    <row r="362" spans="1:7" x14ac:dyDescent="0.55000000000000004">
      <c r="A362" s="86">
        <v>310</v>
      </c>
      <c r="B362" s="69"/>
      <c r="C362" s="69"/>
      <c r="D362" s="69"/>
      <c r="E362" s="69"/>
      <c r="F362" s="69"/>
      <c r="G362" s="169"/>
    </row>
    <row r="363" spans="1:7" x14ac:dyDescent="0.55000000000000004">
      <c r="A363" s="86">
        <v>311</v>
      </c>
      <c r="B363" s="69"/>
      <c r="C363" s="69"/>
      <c r="D363" s="69"/>
      <c r="E363" s="69"/>
      <c r="F363" s="69"/>
      <c r="G363" s="169"/>
    </row>
    <row r="364" spans="1:7" x14ac:dyDescent="0.55000000000000004">
      <c r="A364" s="86">
        <v>312</v>
      </c>
      <c r="B364" s="69"/>
      <c r="C364" s="69"/>
      <c r="D364" s="69"/>
      <c r="E364" s="69"/>
      <c r="F364" s="69"/>
      <c r="G364" s="169"/>
    </row>
    <row r="365" spans="1:7" x14ac:dyDescent="0.55000000000000004">
      <c r="A365" s="86">
        <v>313</v>
      </c>
      <c r="B365" s="69"/>
      <c r="C365" s="69"/>
      <c r="D365" s="69"/>
      <c r="E365" s="69"/>
      <c r="F365" s="69"/>
      <c r="G365" s="169"/>
    </row>
    <row r="366" spans="1:7" x14ac:dyDescent="0.55000000000000004">
      <c r="A366" s="86">
        <v>314</v>
      </c>
      <c r="B366" s="69"/>
      <c r="C366" s="69"/>
      <c r="D366" s="69"/>
      <c r="E366" s="69"/>
      <c r="F366" s="69"/>
      <c r="G366" s="169"/>
    </row>
    <row r="367" spans="1:7" x14ac:dyDescent="0.55000000000000004">
      <c r="A367" s="86">
        <v>315</v>
      </c>
      <c r="B367" s="69"/>
      <c r="C367" s="69"/>
      <c r="D367" s="69"/>
      <c r="E367" s="69"/>
      <c r="F367" s="69"/>
      <c r="G367" s="169"/>
    </row>
    <row r="368" spans="1:7" x14ac:dyDescent="0.55000000000000004">
      <c r="A368" s="86">
        <v>316</v>
      </c>
      <c r="B368" s="69"/>
      <c r="C368" s="69"/>
      <c r="D368" s="69"/>
      <c r="E368" s="69"/>
      <c r="F368" s="69"/>
      <c r="G368" s="169"/>
    </row>
    <row r="369" spans="1:7" x14ac:dyDescent="0.55000000000000004">
      <c r="A369" s="86">
        <v>317</v>
      </c>
      <c r="B369" s="69"/>
      <c r="C369" s="69"/>
      <c r="D369" s="69"/>
      <c r="E369" s="69"/>
      <c r="F369" s="69"/>
      <c r="G369" s="169"/>
    </row>
    <row r="370" spans="1:7" x14ac:dyDescent="0.55000000000000004">
      <c r="A370" s="86">
        <v>318</v>
      </c>
      <c r="B370" s="69"/>
      <c r="C370" s="69"/>
      <c r="D370" s="69"/>
      <c r="E370" s="69"/>
      <c r="F370" s="69"/>
      <c r="G370" s="169"/>
    </row>
    <row r="371" spans="1:7" x14ac:dyDescent="0.55000000000000004">
      <c r="A371" s="86">
        <v>319</v>
      </c>
      <c r="B371" s="69"/>
      <c r="C371" s="69"/>
      <c r="D371" s="69"/>
      <c r="E371" s="69"/>
      <c r="F371" s="69"/>
      <c r="G371" s="169"/>
    </row>
    <row r="372" spans="1:7" x14ac:dyDescent="0.55000000000000004">
      <c r="A372" s="86">
        <v>320</v>
      </c>
      <c r="B372" s="69"/>
      <c r="C372" s="69"/>
      <c r="D372" s="69"/>
      <c r="E372" s="69"/>
      <c r="F372" s="69"/>
      <c r="G372" s="169"/>
    </row>
    <row r="373" spans="1:7" x14ac:dyDescent="0.55000000000000004">
      <c r="A373" s="86">
        <v>321</v>
      </c>
      <c r="B373" s="69"/>
      <c r="C373" s="69"/>
      <c r="D373" s="69"/>
      <c r="E373" s="69"/>
      <c r="F373" s="69"/>
      <c r="G373" s="169"/>
    </row>
    <row r="374" spans="1:7" x14ac:dyDescent="0.55000000000000004">
      <c r="A374" s="86">
        <v>322</v>
      </c>
      <c r="B374" s="69"/>
      <c r="C374" s="69"/>
      <c r="D374" s="69"/>
      <c r="E374" s="69"/>
      <c r="F374" s="69"/>
      <c r="G374" s="169"/>
    </row>
    <row r="375" spans="1:7" x14ac:dyDescent="0.55000000000000004">
      <c r="A375" s="86">
        <v>323</v>
      </c>
      <c r="B375" s="69"/>
      <c r="C375" s="69"/>
      <c r="D375" s="69"/>
      <c r="E375" s="69"/>
      <c r="F375" s="69"/>
      <c r="G375" s="169"/>
    </row>
    <row r="376" spans="1:7" x14ac:dyDescent="0.55000000000000004">
      <c r="A376" s="86">
        <v>324</v>
      </c>
      <c r="B376" s="69"/>
      <c r="C376" s="69"/>
      <c r="D376" s="69"/>
      <c r="E376" s="69"/>
      <c r="F376" s="69"/>
      <c r="G376" s="169"/>
    </row>
    <row r="377" spans="1:7" x14ac:dyDescent="0.55000000000000004">
      <c r="A377" s="86">
        <v>325</v>
      </c>
      <c r="B377" s="69"/>
      <c r="C377" s="69"/>
      <c r="D377" s="69"/>
      <c r="E377" s="69"/>
      <c r="F377" s="69"/>
      <c r="G377" s="169"/>
    </row>
    <row r="378" spans="1:7" x14ac:dyDescent="0.55000000000000004">
      <c r="A378" s="86">
        <v>326</v>
      </c>
      <c r="B378" s="69"/>
      <c r="C378" s="69"/>
      <c r="D378" s="69"/>
      <c r="E378" s="69"/>
      <c r="F378" s="69"/>
      <c r="G378" s="169"/>
    </row>
    <row r="379" spans="1:7" x14ac:dyDescent="0.55000000000000004">
      <c r="A379" s="86">
        <v>327</v>
      </c>
      <c r="B379" s="69"/>
      <c r="C379" s="69"/>
      <c r="D379" s="69"/>
      <c r="E379" s="69"/>
      <c r="F379" s="69"/>
      <c r="G379" s="169"/>
    </row>
    <row r="380" spans="1:7" x14ac:dyDescent="0.55000000000000004">
      <c r="A380" s="86">
        <v>328</v>
      </c>
      <c r="B380" s="69"/>
      <c r="C380" s="69"/>
      <c r="D380" s="69"/>
      <c r="E380" s="69"/>
      <c r="F380" s="69"/>
      <c r="G380" s="169"/>
    </row>
    <row r="381" spans="1:7" x14ac:dyDescent="0.55000000000000004">
      <c r="A381" s="86">
        <v>329</v>
      </c>
      <c r="B381" s="69"/>
      <c r="C381" s="69"/>
      <c r="D381" s="69"/>
      <c r="E381" s="69"/>
      <c r="F381" s="69"/>
      <c r="G381" s="169"/>
    </row>
    <row r="382" spans="1:7" x14ac:dyDescent="0.55000000000000004">
      <c r="A382" s="86">
        <v>330</v>
      </c>
      <c r="B382" s="69"/>
      <c r="C382" s="69"/>
      <c r="D382" s="69"/>
      <c r="E382" s="69"/>
      <c r="F382" s="69"/>
      <c r="G382" s="169"/>
    </row>
    <row r="383" spans="1:7" x14ac:dyDescent="0.55000000000000004">
      <c r="A383" s="86">
        <v>331</v>
      </c>
      <c r="B383" s="69"/>
      <c r="C383" s="69"/>
      <c r="D383" s="69"/>
      <c r="E383" s="69"/>
      <c r="F383" s="69"/>
      <c r="G383" s="169"/>
    </row>
    <row r="384" spans="1:7" x14ac:dyDescent="0.55000000000000004">
      <c r="A384" s="86">
        <v>332</v>
      </c>
      <c r="B384" s="69"/>
      <c r="C384" s="69"/>
      <c r="D384" s="69"/>
      <c r="E384" s="69"/>
      <c r="F384" s="69"/>
      <c r="G384" s="169"/>
    </row>
    <row r="385" spans="1:7" x14ac:dyDescent="0.55000000000000004">
      <c r="A385" s="86">
        <v>333</v>
      </c>
      <c r="B385" s="69"/>
      <c r="C385" s="69"/>
      <c r="D385" s="69"/>
      <c r="E385" s="69"/>
      <c r="F385" s="69"/>
      <c r="G385" s="169"/>
    </row>
    <row r="386" spans="1:7" x14ac:dyDescent="0.55000000000000004">
      <c r="A386" s="86">
        <v>334</v>
      </c>
      <c r="B386" s="69"/>
      <c r="C386" s="69"/>
      <c r="D386" s="69"/>
      <c r="E386" s="69"/>
      <c r="F386" s="69"/>
      <c r="G386" s="169"/>
    </row>
    <row r="387" spans="1:7" x14ac:dyDescent="0.55000000000000004">
      <c r="A387" s="86">
        <v>335</v>
      </c>
      <c r="B387" s="69"/>
      <c r="C387" s="69"/>
      <c r="D387" s="69"/>
      <c r="E387" s="69"/>
      <c r="F387" s="69"/>
      <c r="G387" s="169"/>
    </row>
    <row r="388" spans="1:7" x14ac:dyDescent="0.55000000000000004">
      <c r="A388" s="86">
        <v>336</v>
      </c>
      <c r="B388" s="69"/>
      <c r="C388" s="69"/>
      <c r="D388" s="69"/>
      <c r="E388" s="69"/>
      <c r="F388" s="69"/>
      <c r="G388" s="169"/>
    </row>
    <row r="389" spans="1:7" x14ac:dyDescent="0.55000000000000004">
      <c r="A389" s="86">
        <v>337</v>
      </c>
      <c r="B389" s="69"/>
      <c r="C389" s="69"/>
      <c r="D389" s="69"/>
      <c r="E389" s="69"/>
      <c r="F389" s="69"/>
      <c r="G389" s="169"/>
    </row>
    <row r="390" spans="1:7" x14ac:dyDescent="0.55000000000000004">
      <c r="A390" s="86">
        <v>338</v>
      </c>
      <c r="B390" s="69"/>
      <c r="C390" s="69"/>
      <c r="D390" s="69"/>
      <c r="E390" s="69"/>
      <c r="F390" s="69"/>
      <c r="G390" s="169"/>
    </row>
    <row r="391" spans="1:7" x14ac:dyDescent="0.55000000000000004">
      <c r="A391" s="86">
        <v>339</v>
      </c>
      <c r="B391" s="69"/>
      <c r="C391" s="69"/>
      <c r="D391" s="69"/>
      <c r="E391" s="69"/>
      <c r="F391" s="69"/>
      <c r="G391" s="169"/>
    </row>
    <row r="392" spans="1:7" x14ac:dyDescent="0.55000000000000004">
      <c r="A392" s="86">
        <v>340</v>
      </c>
      <c r="B392" s="69"/>
      <c r="C392" s="69"/>
      <c r="D392" s="69"/>
      <c r="E392" s="69"/>
      <c r="F392" s="69"/>
      <c r="G392" s="169"/>
    </row>
    <row r="393" spans="1:7" x14ac:dyDescent="0.55000000000000004">
      <c r="A393" s="86">
        <v>341</v>
      </c>
      <c r="B393" s="69"/>
      <c r="C393" s="69"/>
      <c r="D393" s="69"/>
      <c r="E393" s="69"/>
      <c r="F393" s="69"/>
      <c r="G393" s="169"/>
    </row>
    <row r="394" spans="1:7" x14ac:dyDescent="0.55000000000000004">
      <c r="A394" s="86">
        <v>342</v>
      </c>
      <c r="B394" s="69"/>
      <c r="C394" s="69"/>
      <c r="D394" s="69"/>
      <c r="E394" s="69"/>
      <c r="F394" s="69"/>
      <c r="G394" s="169"/>
    </row>
    <row r="395" spans="1:7" x14ac:dyDescent="0.55000000000000004">
      <c r="A395" s="86">
        <v>343</v>
      </c>
      <c r="B395" s="69"/>
      <c r="C395" s="69"/>
      <c r="D395" s="69"/>
      <c r="E395" s="69"/>
      <c r="F395" s="69"/>
      <c r="G395" s="169"/>
    </row>
    <row r="396" spans="1:7" x14ac:dyDescent="0.55000000000000004">
      <c r="A396" s="86">
        <v>344</v>
      </c>
      <c r="B396" s="69"/>
      <c r="C396" s="69"/>
      <c r="D396" s="69"/>
      <c r="E396" s="69"/>
      <c r="F396" s="69"/>
      <c r="G396" s="169"/>
    </row>
    <row r="397" spans="1:7" x14ac:dyDescent="0.55000000000000004">
      <c r="A397" s="86">
        <v>345</v>
      </c>
      <c r="B397" s="69"/>
      <c r="C397" s="69"/>
      <c r="D397" s="69"/>
      <c r="E397" s="69"/>
      <c r="F397" s="69"/>
      <c r="G397" s="169"/>
    </row>
    <row r="398" spans="1:7" x14ac:dyDescent="0.55000000000000004">
      <c r="A398" s="86">
        <v>346</v>
      </c>
      <c r="B398" s="69"/>
      <c r="C398" s="69"/>
      <c r="D398" s="69"/>
      <c r="E398" s="69"/>
      <c r="F398" s="69"/>
      <c r="G398" s="169"/>
    </row>
    <row r="399" spans="1:7" x14ac:dyDescent="0.55000000000000004">
      <c r="A399" s="86">
        <v>347</v>
      </c>
      <c r="B399" s="69"/>
      <c r="C399" s="69"/>
      <c r="D399" s="69"/>
      <c r="E399" s="69"/>
      <c r="F399" s="69"/>
      <c r="G399" s="169"/>
    </row>
    <row r="400" spans="1:7" x14ac:dyDescent="0.55000000000000004">
      <c r="A400" s="86">
        <v>348</v>
      </c>
      <c r="B400" s="69"/>
      <c r="C400" s="69"/>
      <c r="D400" s="69"/>
      <c r="E400" s="69"/>
      <c r="F400" s="69"/>
      <c r="G400" s="169"/>
    </row>
    <row r="401" spans="1:7" x14ac:dyDescent="0.55000000000000004">
      <c r="A401" s="86">
        <v>349</v>
      </c>
      <c r="B401" s="69"/>
      <c r="C401" s="69"/>
      <c r="D401" s="69"/>
      <c r="E401" s="69"/>
      <c r="F401" s="69"/>
      <c r="G401" s="169"/>
    </row>
    <row r="402" spans="1:7" x14ac:dyDescent="0.55000000000000004">
      <c r="A402" s="86">
        <v>350</v>
      </c>
      <c r="B402" s="69"/>
      <c r="C402" s="69"/>
      <c r="D402" s="69"/>
      <c r="E402" s="69"/>
      <c r="F402" s="69"/>
      <c r="G402" s="169"/>
    </row>
    <row r="403" spans="1:7" x14ac:dyDescent="0.55000000000000004">
      <c r="A403" s="86">
        <v>351</v>
      </c>
      <c r="B403" s="69"/>
      <c r="C403" s="69"/>
      <c r="D403" s="69"/>
      <c r="E403" s="69"/>
      <c r="F403" s="69"/>
      <c r="G403" s="169"/>
    </row>
    <row r="404" spans="1:7" x14ac:dyDescent="0.55000000000000004">
      <c r="A404" s="86">
        <v>352</v>
      </c>
      <c r="B404" s="69"/>
      <c r="C404" s="69"/>
      <c r="D404" s="69"/>
      <c r="E404" s="69"/>
      <c r="F404" s="69"/>
      <c r="G404" s="169"/>
    </row>
    <row r="405" spans="1:7" x14ac:dyDescent="0.55000000000000004">
      <c r="A405" s="86">
        <v>353</v>
      </c>
      <c r="B405" s="69"/>
      <c r="C405" s="69"/>
      <c r="D405" s="69"/>
      <c r="E405" s="69"/>
      <c r="F405" s="69"/>
      <c r="G405" s="169"/>
    </row>
    <row r="406" spans="1:7" x14ac:dyDescent="0.55000000000000004">
      <c r="A406" s="86">
        <v>354</v>
      </c>
      <c r="B406" s="69"/>
      <c r="C406" s="69"/>
      <c r="D406" s="69"/>
      <c r="E406" s="69"/>
      <c r="F406" s="69"/>
      <c r="G406" s="169"/>
    </row>
    <row r="407" spans="1:7" x14ac:dyDescent="0.55000000000000004">
      <c r="A407" s="86">
        <v>355</v>
      </c>
      <c r="B407" s="69"/>
      <c r="C407" s="69"/>
      <c r="D407" s="69"/>
      <c r="E407" s="69"/>
      <c r="F407" s="69"/>
      <c r="G407" s="169"/>
    </row>
    <row r="408" spans="1:7" x14ac:dyDescent="0.55000000000000004">
      <c r="A408" s="86">
        <v>356</v>
      </c>
      <c r="B408" s="69"/>
      <c r="C408" s="69"/>
      <c r="D408" s="69"/>
      <c r="E408" s="69"/>
      <c r="F408" s="69"/>
      <c r="G408" s="169"/>
    </row>
    <row r="409" spans="1:7" x14ac:dyDescent="0.55000000000000004">
      <c r="A409" s="86">
        <v>357</v>
      </c>
      <c r="B409" s="69"/>
      <c r="C409" s="69"/>
      <c r="D409" s="69"/>
      <c r="E409" s="69"/>
      <c r="F409" s="69"/>
      <c r="G409" s="169"/>
    </row>
    <row r="410" spans="1:7" x14ac:dyDescent="0.55000000000000004">
      <c r="A410" s="86">
        <v>358</v>
      </c>
      <c r="B410" s="69"/>
      <c r="C410" s="69"/>
      <c r="D410" s="69"/>
      <c r="E410" s="69"/>
      <c r="F410" s="69"/>
      <c r="G410" s="169"/>
    </row>
    <row r="411" spans="1:7" x14ac:dyDescent="0.55000000000000004">
      <c r="A411" s="86">
        <v>359</v>
      </c>
      <c r="B411" s="69"/>
      <c r="C411" s="69"/>
      <c r="D411" s="69"/>
      <c r="E411" s="69"/>
      <c r="F411" s="69"/>
      <c r="G411" s="169"/>
    </row>
    <row r="412" spans="1:7" x14ac:dyDescent="0.55000000000000004">
      <c r="A412" s="86">
        <v>360</v>
      </c>
      <c r="B412" s="69"/>
      <c r="C412" s="69"/>
      <c r="D412" s="69"/>
      <c r="E412" s="69"/>
      <c r="F412" s="69"/>
      <c r="G412" s="169"/>
    </row>
    <row r="413" spans="1:7" x14ac:dyDescent="0.55000000000000004">
      <c r="A413" s="86">
        <v>361</v>
      </c>
      <c r="B413" s="69"/>
      <c r="C413" s="69"/>
      <c r="D413" s="69"/>
      <c r="E413" s="69"/>
      <c r="F413" s="69"/>
      <c r="G413" s="169"/>
    </row>
    <row r="414" spans="1:7" x14ac:dyDescent="0.55000000000000004">
      <c r="A414" s="86">
        <v>362</v>
      </c>
      <c r="B414" s="69"/>
      <c r="C414" s="69"/>
      <c r="D414" s="69"/>
      <c r="E414" s="69"/>
      <c r="F414" s="69"/>
      <c r="G414" s="169"/>
    </row>
    <row r="415" spans="1:7" x14ac:dyDescent="0.55000000000000004">
      <c r="A415" s="86">
        <v>363</v>
      </c>
      <c r="B415" s="69"/>
      <c r="C415" s="69"/>
      <c r="D415" s="69"/>
      <c r="E415" s="69"/>
      <c r="F415" s="69"/>
      <c r="G415" s="169"/>
    </row>
    <row r="416" spans="1:7" x14ac:dyDescent="0.55000000000000004">
      <c r="A416" s="86">
        <v>364</v>
      </c>
      <c r="B416" s="69"/>
      <c r="C416" s="69"/>
      <c r="D416" s="69"/>
      <c r="E416" s="69"/>
      <c r="F416" s="69"/>
      <c r="G416" s="169"/>
    </row>
    <row r="417" spans="1:7" x14ac:dyDescent="0.55000000000000004">
      <c r="A417" s="86">
        <v>365</v>
      </c>
      <c r="B417" s="69"/>
      <c r="C417" s="69"/>
      <c r="D417" s="69"/>
      <c r="E417" s="69"/>
      <c r="F417" s="69"/>
      <c r="G417" s="169"/>
    </row>
    <row r="418" spans="1:7" x14ac:dyDescent="0.55000000000000004">
      <c r="A418" s="86">
        <v>366</v>
      </c>
      <c r="B418" s="69"/>
      <c r="C418" s="69"/>
      <c r="D418" s="69"/>
      <c r="E418" s="69"/>
      <c r="F418" s="69"/>
      <c r="G418" s="169"/>
    </row>
    <row r="419" spans="1:7" x14ac:dyDescent="0.55000000000000004">
      <c r="A419" s="86">
        <v>367</v>
      </c>
      <c r="B419" s="69"/>
      <c r="C419" s="69"/>
      <c r="D419" s="69"/>
      <c r="E419" s="69"/>
      <c r="F419" s="69"/>
      <c r="G419" s="169"/>
    </row>
    <row r="420" spans="1:7" x14ac:dyDescent="0.55000000000000004">
      <c r="A420" s="86">
        <v>368</v>
      </c>
      <c r="B420" s="69"/>
      <c r="C420" s="69"/>
      <c r="D420" s="69"/>
      <c r="E420" s="69"/>
      <c r="F420" s="69"/>
      <c r="G420" s="169"/>
    </row>
    <row r="421" spans="1:7" x14ac:dyDescent="0.55000000000000004">
      <c r="A421" s="86">
        <v>369</v>
      </c>
      <c r="B421" s="69"/>
      <c r="C421" s="69"/>
      <c r="D421" s="69"/>
      <c r="E421" s="69"/>
      <c r="F421" s="69"/>
      <c r="G421" s="169"/>
    </row>
    <row r="422" spans="1:7" x14ac:dyDescent="0.55000000000000004">
      <c r="A422" s="86">
        <v>370</v>
      </c>
      <c r="B422" s="69"/>
      <c r="C422" s="69"/>
      <c r="D422" s="69"/>
      <c r="E422" s="69"/>
      <c r="F422" s="69"/>
      <c r="G422" s="169"/>
    </row>
    <row r="423" spans="1:7" x14ac:dyDescent="0.55000000000000004">
      <c r="A423" s="86">
        <v>371</v>
      </c>
      <c r="B423" s="69"/>
      <c r="C423" s="69"/>
      <c r="D423" s="69"/>
      <c r="E423" s="69"/>
      <c r="F423" s="69"/>
      <c r="G423" s="169"/>
    </row>
    <row r="424" spans="1:7" x14ac:dyDescent="0.55000000000000004">
      <c r="A424" s="86">
        <v>372</v>
      </c>
      <c r="B424" s="69"/>
      <c r="C424" s="69"/>
      <c r="D424" s="69"/>
      <c r="E424" s="69"/>
      <c r="F424" s="69"/>
      <c r="G424" s="169"/>
    </row>
    <row r="425" spans="1:7" x14ac:dyDescent="0.55000000000000004">
      <c r="A425" s="86">
        <v>373</v>
      </c>
      <c r="B425" s="69"/>
      <c r="C425" s="69"/>
      <c r="D425" s="69"/>
      <c r="E425" s="69"/>
      <c r="F425" s="69"/>
      <c r="G425" s="169"/>
    </row>
    <row r="426" spans="1:7" x14ac:dyDescent="0.55000000000000004">
      <c r="A426" s="86">
        <v>374</v>
      </c>
      <c r="B426" s="69"/>
      <c r="C426" s="69"/>
      <c r="D426" s="69"/>
      <c r="E426" s="69"/>
      <c r="F426" s="69"/>
      <c r="G426" s="169"/>
    </row>
    <row r="427" spans="1:7" x14ac:dyDescent="0.55000000000000004">
      <c r="A427" s="86">
        <v>375</v>
      </c>
      <c r="B427" s="69"/>
      <c r="C427" s="69"/>
      <c r="D427" s="69"/>
      <c r="E427" s="69"/>
      <c r="F427" s="69"/>
      <c r="G427" s="169"/>
    </row>
    <row r="428" spans="1:7" x14ac:dyDescent="0.55000000000000004">
      <c r="A428" s="86">
        <v>376</v>
      </c>
      <c r="B428" s="69"/>
      <c r="C428" s="69"/>
      <c r="D428" s="69"/>
      <c r="E428" s="69"/>
      <c r="F428" s="69"/>
      <c r="G428" s="169"/>
    </row>
    <row r="429" spans="1:7" x14ac:dyDescent="0.55000000000000004">
      <c r="A429" s="86">
        <v>377</v>
      </c>
      <c r="B429" s="69"/>
      <c r="C429" s="69"/>
      <c r="D429" s="69"/>
      <c r="E429" s="69"/>
      <c r="F429" s="69"/>
      <c r="G429" s="169"/>
    </row>
    <row r="430" spans="1:7" x14ac:dyDescent="0.55000000000000004">
      <c r="A430" s="86">
        <v>378</v>
      </c>
      <c r="B430" s="69"/>
      <c r="C430" s="69"/>
      <c r="D430" s="69"/>
      <c r="E430" s="69"/>
      <c r="F430" s="69"/>
      <c r="G430" s="169"/>
    </row>
    <row r="431" spans="1:7" x14ac:dyDescent="0.55000000000000004">
      <c r="A431" s="86">
        <v>379</v>
      </c>
      <c r="B431" s="69"/>
      <c r="C431" s="69"/>
      <c r="D431" s="69"/>
      <c r="E431" s="69"/>
      <c r="F431" s="69"/>
      <c r="G431" s="169"/>
    </row>
    <row r="432" spans="1:7" x14ac:dyDescent="0.55000000000000004">
      <c r="A432" s="86">
        <v>380</v>
      </c>
      <c r="B432" s="69"/>
      <c r="C432" s="69"/>
      <c r="D432" s="69"/>
      <c r="E432" s="69"/>
      <c r="F432" s="69"/>
      <c r="G432" s="169"/>
    </row>
    <row r="433" spans="1:7" x14ac:dyDescent="0.55000000000000004">
      <c r="A433" s="86">
        <v>381</v>
      </c>
      <c r="B433" s="69"/>
      <c r="C433" s="69"/>
      <c r="D433" s="69"/>
      <c r="E433" s="69"/>
      <c r="F433" s="69"/>
      <c r="G433" s="169"/>
    </row>
    <row r="434" spans="1:7" x14ac:dyDescent="0.55000000000000004">
      <c r="A434" s="86">
        <v>382</v>
      </c>
      <c r="B434" s="69"/>
      <c r="C434" s="69"/>
      <c r="D434" s="69"/>
      <c r="E434" s="69"/>
      <c r="F434" s="69"/>
      <c r="G434" s="169"/>
    </row>
    <row r="435" spans="1:7" x14ac:dyDescent="0.55000000000000004">
      <c r="A435" s="86">
        <v>383</v>
      </c>
      <c r="B435" s="69"/>
      <c r="C435" s="69"/>
      <c r="D435" s="69"/>
      <c r="E435" s="69"/>
      <c r="F435" s="69"/>
      <c r="G435" s="169"/>
    </row>
    <row r="436" spans="1:7" x14ac:dyDescent="0.55000000000000004">
      <c r="A436" s="86">
        <v>384</v>
      </c>
      <c r="B436" s="69"/>
      <c r="C436" s="69"/>
      <c r="D436" s="69"/>
      <c r="E436" s="69"/>
      <c r="F436" s="69"/>
      <c r="G436" s="169"/>
    </row>
    <row r="437" spans="1:7" x14ac:dyDescent="0.55000000000000004">
      <c r="A437" s="86">
        <v>385</v>
      </c>
      <c r="B437" s="69"/>
      <c r="C437" s="69"/>
      <c r="D437" s="69"/>
      <c r="E437" s="69"/>
      <c r="F437" s="69"/>
      <c r="G437" s="169"/>
    </row>
    <row r="438" spans="1:7" x14ac:dyDescent="0.55000000000000004">
      <c r="A438" s="86">
        <v>386</v>
      </c>
      <c r="B438" s="69"/>
      <c r="C438" s="69"/>
      <c r="D438" s="69"/>
      <c r="E438" s="69"/>
      <c r="F438" s="69"/>
      <c r="G438" s="169"/>
    </row>
    <row r="439" spans="1:7" x14ac:dyDescent="0.55000000000000004">
      <c r="A439" s="86">
        <v>387</v>
      </c>
      <c r="B439" s="69"/>
      <c r="C439" s="69"/>
      <c r="D439" s="69"/>
      <c r="E439" s="69"/>
      <c r="F439" s="69"/>
      <c r="G439" s="169"/>
    </row>
    <row r="440" spans="1:7" x14ac:dyDescent="0.55000000000000004">
      <c r="A440" s="86">
        <v>388</v>
      </c>
      <c r="B440" s="69"/>
      <c r="C440" s="69"/>
      <c r="D440" s="69"/>
      <c r="E440" s="69"/>
      <c r="F440" s="69"/>
      <c r="G440" s="169"/>
    </row>
    <row r="441" spans="1:7" x14ac:dyDescent="0.55000000000000004">
      <c r="A441" s="86">
        <v>389</v>
      </c>
      <c r="B441" s="69"/>
      <c r="C441" s="69"/>
      <c r="D441" s="69"/>
      <c r="E441" s="69"/>
      <c r="F441" s="69"/>
      <c r="G441" s="169"/>
    </row>
    <row r="442" spans="1:7" x14ac:dyDescent="0.55000000000000004">
      <c r="A442" s="86">
        <v>390</v>
      </c>
      <c r="B442" s="69"/>
      <c r="C442" s="69"/>
      <c r="D442" s="69"/>
      <c r="E442" s="69"/>
      <c r="F442" s="69"/>
      <c r="G442" s="169"/>
    </row>
    <row r="443" spans="1:7" x14ac:dyDescent="0.55000000000000004">
      <c r="A443" s="86">
        <v>391</v>
      </c>
      <c r="B443" s="69"/>
      <c r="C443" s="69"/>
      <c r="D443" s="69"/>
      <c r="E443" s="69"/>
      <c r="F443" s="69"/>
      <c r="G443" s="169"/>
    </row>
    <row r="444" spans="1:7" x14ac:dyDescent="0.55000000000000004">
      <c r="A444" s="86">
        <v>392</v>
      </c>
      <c r="B444" s="69"/>
      <c r="C444" s="69"/>
      <c r="D444" s="69"/>
      <c r="E444" s="69"/>
      <c r="F444" s="69"/>
      <c r="G444" s="169"/>
    </row>
    <row r="445" spans="1:7" x14ac:dyDescent="0.55000000000000004">
      <c r="A445" s="86">
        <v>393</v>
      </c>
      <c r="B445" s="69"/>
      <c r="C445" s="69"/>
      <c r="D445" s="69"/>
      <c r="E445" s="69"/>
      <c r="F445" s="69"/>
      <c r="G445" s="169"/>
    </row>
    <row r="446" spans="1:7" x14ac:dyDescent="0.55000000000000004">
      <c r="A446" s="86">
        <v>394</v>
      </c>
      <c r="B446" s="69"/>
      <c r="C446" s="69"/>
      <c r="D446" s="69"/>
      <c r="E446" s="69"/>
      <c r="F446" s="69"/>
      <c r="G446" s="169"/>
    </row>
    <row r="447" spans="1:7" x14ac:dyDescent="0.55000000000000004">
      <c r="A447" s="86">
        <v>395</v>
      </c>
      <c r="B447" s="69"/>
      <c r="C447" s="69"/>
      <c r="D447" s="69"/>
      <c r="E447" s="69"/>
      <c r="F447" s="69"/>
      <c r="G447" s="169"/>
    </row>
    <row r="448" spans="1:7" x14ac:dyDescent="0.55000000000000004">
      <c r="A448" s="86">
        <v>396</v>
      </c>
      <c r="B448" s="69"/>
      <c r="C448" s="69"/>
      <c r="D448" s="69"/>
      <c r="E448" s="69"/>
      <c r="F448" s="69"/>
      <c r="G448" s="169"/>
    </row>
    <row r="449" spans="1:7" x14ac:dyDescent="0.55000000000000004">
      <c r="A449" s="86">
        <v>397</v>
      </c>
      <c r="B449" s="69"/>
      <c r="C449" s="69"/>
      <c r="D449" s="69"/>
      <c r="E449" s="69"/>
      <c r="F449" s="69"/>
      <c r="G449" s="169"/>
    </row>
    <row r="450" spans="1:7" x14ac:dyDescent="0.55000000000000004">
      <c r="A450" s="86">
        <v>398</v>
      </c>
      <c r="B450" s="69"/>
      <c r="C450" s="69"/>
      <c r="D450" s="69"/>
      <c r="E450" s="69"/>
      <c r="F450" s="69"/>
      <c r="G450" s="169"/>
    </row>
    <row r="451" spans="1:7" x14ac:dyDescent="0.55000000000000004">
      <c r="A451" s="86">
        <v>399</v>
      </c>
      <c r="B451" s="69"/>
      <c r="C451" s="69"/>
      <c r="D451" s="69"/>
      <c r="E451" s="69"/>
      <c r="F451" s="69"/>
      <c r="G451" s="169"/>
    </row>
    <row r="452" spans="1:7" x14ac:dyDescent="0.55000000000000004">
      <c r="A452" s="86">
        <v>400</v>
      </c>
      <c r="B452" s="69"/>
      <c r="C452" s="69"/>
      <c r="D452" s="69"/>
      <c r="E452" s="69"/>
      <c r="F452" s="69"/>
      <c r="G452" s="169"/>
    </row>
    <row r="453" spans="1:7" x14ac:dyDescent="0.55000000000000004">
      <c r="A453" s="86">
        <v>401</v>
      </c>
      <c r="B453" s="69"/>
      <c r="C453" s="69"/>
      <c r="D453" s="69"/>
      <c r="E453" s="69"/>
      <c r="F453" s="69"/>
      <c r="G453" s="169"/>
    </row>
    <row r="454" spans="1:7" x14ac:dyDescent="0.55000000000000004">
      <c r="A454" s="86">
        <v>402</v>
      </c>
      <c r="B454" s="69"/>
      <c r="C454" s="69"/>
      <c r="D454" s="69"/>
      <c r="E454" s="69"/>
      <c r="F454" s="69"/>
      <c r="G454" s="169"/>
    </row>
    <row r="455" spans="1:7" x14ac:dyDescent="0.55000000000000004">
      <c r="A455" s="86">
        <v>403</v>
      </c>
      <c r="B455" s="69"/>
      <c r="C455" s="69"/>
      <c r="D455" s="69"/>
      <c r="E455" s="69"/>
      <c r="F455" s="69"/>
      <c r="G455" s="169"/>
    </row>
    <row r="456" spans="1:7" x14ac:dyDescent="0.55000000000000004">
      <c r="A456" s="86">
        <v>404</v>
      </c>
      <c r="B456" s="69"/>
      <c r="C456" s="69"/>
      <c r="D456" s="69"/>
      <c r="E456" s="69"/>
      <c r="F456" s="69"/>
      <c r="G456" s="169"/>
    </row>
    <row r="457" spans="1:7" x14ac:dyDescent="0.55000000000000004">
      <c r="A457" s="86">
        <v>405</v>
      </c>
      <c r="B457" s="69"/>
      <c r="C457" s="69"/>
      <c r="D457" s="69"/>
      <c r="E457" s="69"/>
      <c r="F457" s="69"/>
      <c r="G457" s="169"/>
    </row>
    <row r="458" spans="1:7" x14ac:dyDescent="0.55000000000000004">
      <c r="A458" s="86">
        <v>406</v>
      </c>
      <c r="B458" s="69"/>
      <c r="C458" s="69"/>
      <c r="D458" s="69"/>
      <c r="E458" s="69"/>
      <c r="F458" s="69"/>
      <c r="G458" s="169"/>
    </row>
    <row r="459" spans="1:7" x14ac:dyDescent="0.55000000000000004">
      <c r="A459" s="86">
        <v>407</v>
      </c>
      <c r="B459" s="69"/>
      <c r="C459" s="69"/>
      <c r="D459" s="69"/>
      <c r="E459" s="69"/>
      <c r="F459" s="69"/>
      <c r="G459" s="169"/>
    </row>
    <row r="460" spans="1:7" x14ac:dyDescent="0.55000000000000004">
      <c r="A460" s="86">
        <v>408</v>
      </c>
      <c r="B460" s="69"/>
      <c r="C460" s="69"/>
      <c r="D460" s="69"/>
      <c r="E460" s="69"/>
      <c r="F460" s="69"/>
      <c r="G460" s="169"/>
    </row>
    <row r="461" spans="1:7" x14ac:dyDescent="0.55000000000000004">
      <c r="A461" s="86">
        <v>409</v>
      </c>
      <c r="B461" s="69"/>
      <c r="C461" s="69"/>
      <c r="D461" s="69"/>
      <c r="E461" s="69"/>
      <c r="F461" s="69"/>
      <c r="G461" s="169"/>
    </row>
    <row r="462" spans="1:7" x14ac:dyDescent="0.55000000000000004">
      <c r="A462" s="86">
        <v>410</v>
      </c>
      <c r="B462" s="69"/>
      <c r="C462" s="69"/>
      <c r="D462" s="69"/>
      <c r="E462" s="69"/>
      <c r="F462" s="69"/>
      <c r="G462" s="169"/>
    </row>
    <row r="463" spans="1:7" x14ac:dyDescent="0.55000000000000004">
      <c r="A463" s="86">
        <v>411</v>
      </c>
      <c r="B463" s="69"/>
      <c r="C463" s="69"/>
      <c r="D463" s="69"/>
      <c r="E463" s="69"/>
      <c r="F463" s="69"/>
      <c r="G463" s="169"/>
    </row>
    <row r="464" spans="1:7" x14ac:dyDescent="0.55000000000000004">
      <c r="A464" s="86">
        <v>412</v>
      </c>
      <c r="B464" s="69"/>
      <c r="C464" s="69"/>
      <c r="D464" s="69"/>
      <c r="E464" s="69"/>
      <c r="F464" s="69"/>
      <c r="G464" s="169"/>
    </row>
    <row r="465" spans="1:7" x14ac:dyDescent="0.55000000000000004">
      <c r="A465" s="86">
        <v>413</v>
      </c>
      <c r="B465" s="69"/>
      <c r="C465" s="69"/>
      <c r="D465" s="69"/>
      <c r="E465" s="69"/>
      <c r="F465" s="69"/>
      <c r="G465" s="169"/>
    </row>
    <row r="466" spans="1:7" x14ac:dyDescent="0.55000000000000004">
      <c r="A466" s="86">
        <v>414</v>
      </c>
      <c r="B466" s="69"/>
      <c r="C466" s="69"/>
      <c r="D466" s="69"/>
      <c r="E466" s="69"/>
      <c r="F466" s="69"/>
      <c r="G466" s="169"/>
    </row>
    <row r="467" spans="1:7" x14ac:dyDescent="0.55000000000000004">
      <c r="A467" s="86">
        <v>415</v>
      </c>
      <c r="B467" s="69"/>
      <c r="C467" s="69"/>
      <c r="D467" s="69"/>
      <c r="E467" s="69"/>
      <c r="F467" s="69"/>
      <c r="G467" s="169"/>
    </row>
    <row r="468" spans="1:7" x14ac:dyDescent="0.55000000000000004">
      <c r="A468" s="86">
        <v>416</v>
      </c>
      <c r="B468" s="69"/>
      <c r="C468" s="69"/>
      <c r="D468" s="69"/>
      <c r="E468" s="69"/>
      <c r="F468" s="69"/>
      <c r="G468" s="169"/>
    </row>
    <row r="469" spans="1:7" x14ac:dyDescent="0.55000000000000004">
      <c r="A469" s="86">
        <v>417</v>
      </c>
      <c r="B469" s="69"/>
      <c r="C469" s="69"/>
      <c r="D469" s="69"/>
      <c r="E469" s="69"/>
      <c r="F469" s="69"/>
      <c r="G469" s="169"/>
    </row>
    <row r="470" spans="1:7" x14ac:dyDescent="0.55000000000000004">
      <c r="A470" s="86">
        <v>418</v>
      </c>
      <c r="B470" s="69"/>
      <c r="C470" s="69"/>
      <c r="D470" s="69"/>
      <c r="E470" s="69"/>
      <c r="F470" s="69"/>
      <c r="G470" s="169"/>
    </row>
    <row r="471" spans="1:7" x14ac:dyDescent="0.55000000000000004">
      <c r="A471" s="86">
        <v>419</v>
      </c>
      <c r="B471" s="69"/>
      <c r="C471" s="69"/>
      <c r="D471" s="69"/>
      <c r="E471" s="69"/>
      <c r="F471" s="69"/>
      <c r="G471" s="169"/>
    </row>
    <row r="472" spans="1:7" x14ac:dyDescent="0.55000000000000004">
      <c r="A472" s="86">
        <v>420</v>
      </c>
      <c r="B472" s="69"/>
      <c r="C472" s="69"/>
      <c r="D472" s="69"/>
      <c r="E472" s="69"/>
      <c r="F472" s="69"/>
      <c r="G472" s="169"/>
    </row>
    <row r="473" spans="1:7" x14ac:dyDescent="0.55000000000000004">
      <c r="A473" s="86">
        <v>421</v>
      </c>
      <c r="B473" s="69"/>
      <c r="C473" s="69"/>
      <c r="D473" s="69"/>
      <c r="E473" s="69"/>
      <c r="F473" s="69"/>
      <c r="G473" s="169"/>
    </row>
    <row r="474" spans="1:7" x14ac:dyDescent="0.55000000000000004">
      <c r="A474" s="86">
        <v>422</v>
      </c>
      <c r="B474" s="69"/>
      <c r="C474" s="69"/>
      <c r="D474" s="69"/>
      <c r="E474" s="69"/>
      <c r="F474" s="69"/>
      <c r="G474" s="169"/>
    </row>
    <row r="475" spans="1:7" x14ac:dyDescent="0.55000000000000004">
      <c r="A475" s="86">
        <v>423</v>
      </c>
      <c r="B475" s="69"/>
      <c r="C475" s="69"/>
      <c r="D475" s="69"/>
      <c r="E475" s="69"/>
      <c r="F475" s="69"/>
      <c r="G475" s="169"/>
    </row>
    <row r="476" spans="1:7" x14ac:dyDescent="0.55000000000000004">
      <c r="A476" s="86">
        <v>424</v>
      </c>
      <c r="B476" s="69"/>
      <c r="C476" s="69"/>
      <c r="D476" s="69"/>
      <c r="E476" s="69"/>
      <c r="F476" s="69"/>
      <c r="G476" s="169"/>
    </row>
    <row r="477" spans="1:7" x14ac:dyDescent="0.55000000000000004">
      <c r="A477" s="86">
        <v>425</v>
      </c>
      <c r="B477" s="69"/>
      <c r="C477" s="69"/>
      <c r="D477" s="69"/>
      <c r="E477" s="69"/>
      <c r="F477" s="69"/>
      <c r="G477" s="169"/>
    </row>
    <row r="478" spans="1:7" x14ac:dyDescent="0.55000000000000004">
      <c r="A478" s="86">
        <v>426</v>
      </c>
      <c r="B478" s="69"/>
      <c r="C478" s="69"/>
      <c r="D478" s="69"/>
      <c r="E478" s="69"/>
      <c r="F478" s="69"/>
      <c r="G478" s="169"/>
    </row>
    <row r="479" spans="1:7" x14ac:dyDescent="0.55000000000000004">
      <c r="A479" s="86">
        <v>427</v>
      </c>
      <c r="B479" s="69"/>
      <c r="C479" s="69"/>
      <c r="D479" s="69"/>
      <c r="E479" s="69"/>
      <c r="F479" s="69"/>
      <c r="G479" s="169"/>
    </row>
    <row r="480" spans="1:7" x14ac:dyDescent="0.55000000000000004">
      <c r="A480" s="86">
        <v>428</v>
      </c>
      <c r="B480" s="69"/>
      <c r="C480" s="69"/>
      <c r="D480" s="69"/>
      <c r="E480" s="69"/>
      <c r="F480" s="69"/>
      <c r="G480" s="169"/>
    </row>
    <row r="481" spans="1:7" x14ac:dyDescent="0.55000000000000004">
      <c r="A481" s="86">
        <v>429</v>
      </c>
      <c r="B481" s="69"/>
      <c r="C481" s="69"/>
      <c r="D481" s="69"/>
      <c r="E481" s="69"/>
      <c r="F481" s="69"/>
      <c r="G481" s="169"/>
    </row>
    <row r="482" spans="1:7" x14ac:dyDescent="0.55000000000000004">
      <c r="A482" s="86">
        <v>430</v>
      </c>
      <c r="B482" s="69"/>
      <c r="C482" s="69"/>
      <c r="D482" s="69"/>
      <c r="E482" s="69"/>
      <c r="F482" s="69"/>
      <c r="G482" s="169"/>
    </row>
    <row r="483" spans="1:7" x14ac:dyDescent="0.55000000000000004">
      <c r="A483" s="86">
        <v>431</v>
      </c>
      <c r="B483" s="69"/>
      <c r="C483" s="69"/>
      <c r="D483" s="69"/>
      <c r="E483" s="69"/>
      <c r="F483" s="69"/>
      <c r="G483" s="169"/>
    </row>
    <row r="484" spans="1:7" x14ac:dyDescent="0.55000000000000004">
      <c r="A484" s="86">
        <v>432</v>
      </c>
      <c r="B484" s="69"/>
      <c r="C484" s="69"/>
      <c r="D484" s="69"/>
      <c r="E484" s="69"/>
      <c r="F484" s="69"/>
      <c r="G484" s="169"/>
    </row>
    <row r="485" spans="1:7" x14ac:dyDescent="0.55000000000000004">
      <c r="A485" s="86">
        <v>433</v>
      </c>
      <c r="B485" s="69"/>
      <c r="C485" s="69"/>
      <c r="D485" s="69"/>
      <c r="E485" s="69"/>
      <c r="F485" s="69"/>
      <c r="G485" s="169"/>
    </row>
    <row r="486" spans="1:7" x14ac:dyDescent="0.55000000000000004">
      <c r="A486" s="86">
        <v>434</v>
      </c>
      <c r="B486" s="69"/>
      <c r="C486" s="69"/>
      <c r="D486" s="69"/>
      <c r="E486" s="69"/>
      <c r="F486" s="69"/>
      <c r="G486" s="169"/>
    </row>
    <row r="487" spans="1:7" x14ac:dyDescent="0.55000000000000004">
      <c r="A487" s="86">
        <v>435</v>
      </c>
      <c r="B487" s="69"/>
      <c r="C487" s="69"/>
      <c r="D487" s="69"/>
      <c r="E487" s="69"/>
      <c r="F487" s="69"/>
      <c r="G487" s="169"/>
    </row>
    <row r="488" spans="1:7" x14ac:dyDescent="0.55000000000000004">
      <c r="A488" s="86">
        <v>436</v>
      </c>
      <c r="B488" s="69"/>
      <c r="C488" s="69"/>
      <c r="D488" s="69"/>
      <c r="E488" s="69"/>
      <c r="F488" s="69"/>
      <c r="G488" s="169"/>
    </row>
    <row r="489" spans="1:7" x14ac:dyDescent="0.55000000000000004">
      <c r="A489" s="86">
        <v>437</v>
      </c>
      <c r="B489" s="69"/>
      <c r="C489" s="69"/>
      <c r="D489" s="69"/>
      <c r="E489" s="69"/>
      <c r="F489" s="69"/>
      <c r="G489" s="169"/>
    </row>
    <row r="490" spans="1:7" x14ac:dyDescent="0.55000000000000004">
      <c r="A490" s="86">
        <v>438</v>
      </c>
      <c r="B490" s="69"/>
      <c r="C490" s="69"/>
      <c r="D490" s="69"/>
      <c r="E490" s="69"/>
      <c r="F490" s="69"/>
      <c r="G490" s="169"/>
    </row>
    <row r="491" spans="1:7" x14ac:dyDescent="0.55000000000000004">
      <c r="A491" s="86">
        <v>439</v>
      </c>
      <c r="B491" s="69"/>
      <c r="C491" s="69"/>
      <c r="D491" s="69"/>
      <c r="E491" s="69"/>
      <c r="F491" s="69"/>
      <c r="G491" s="169"/>
    </row>
    <row r="492" spans="1:7" x14ac:dyDescent="0.55000000000000004">
      <c r="A492" s="86">
        <v>440</v>
      </c>
      <c r="B492" s="69"/>
      <c r="C492" s="69"/>
      <c r="D492" s="69"/>
      <c r="E492" s="69"/>
      <c r="F492" s="69"/>
      <c r="G492" s="169"/>
    </row>
    <row r="493" spans="1:7" x14ac:dyDescent="0.55000000000000004">
      <c r="A493" s="86">
        <v>441</v>
      </c>
      <c r="B493" s="69"/>
      <c r="C493" s="69"/>
      <c r="D493" s="69"/>
      <c r="E493" s="69"/>
      <c r="F493" s="69"/>
      <c r="G493" s="169"/>
    </row>
    <row r="494" spans="1:7" x14ac:dyDescent="0.55000000000000004">
      <c r="A494" s="86">
        <v>442</v>
      </c>
      <c r="B494" s="69"/>
      <c r="C494" s="69"/>
      <c r="D494" s="69"/>
      <c r="E494" s="69"/>
      <c r="F494" s="69"/>
      <c r="G494" s="169"/>
    </row>
    <row r="495" spans="1:7" x14ac:dyDescent="0.55000000000000004">
      <c r="A495" s="86">
        <v>443</v>
      </c>
      <c r="B495" s="69"/>
      <c r="C495" s="69"/>
      <c r="D495" s="69"/>
      <c r="E495" s="69"/>
      <c r="F495" s="69"/>
      <c r="G495" s="169"/>
    </row>
    <row r="496" spans="1:7" x14ac:dyDescent="0.55000000000000004">
      <c r="A496" s="86">
        <v>444</v>
      </c>
      <c r="B496" s="69"/>
      <c r="C496" s="69"/>
      <c r="D496" s="69"/>
      <c r="E496" s="69"/>
      <c r="F496" s="69"/>
      <c r="G496" s="169"/>
    </row>
    <row r="497" spans="1:7" x14ac:dyDescent="0.55000000000000004">
      <c r="A497" s="86">
        <v>445</v>
      </c>
      <c r="B497" s="69"/>
      <c r="C497" s="69"/>
      <c r="D497" s="69"/>
      <c r="E497" s="69"/>
      <c r="F497" s="69"/>
      <c r="G497" s="169"/>
    </row>
    <row r="498" spans="1:7" x14ac:dyDescent="0.55000000000000004">
      <c r="A498" s="86">
        <v>446</v>
      </c>
      <c r="B498" s="69"/>
      <c r="C498" s="69"/>
      <c r="D498" s="69"/>
      <c r="E498" s="69"/>
      <c r="F498" s="69"/>
      <c r="G498" s="169"/>
    </row>
    <row r="499" spans="1:7" x14ac:dyDescent="0.55000000000000004">
      <c r="A499" s="86">
        <v>447</v>
      </c>
      <c r="B499" s="69"/>
      <c r="C499" s="69"/>
      <c r="D499" s="69"/>
      <c r="E499" s="69"/>
      <c r="F499" s="69"/>
      <c r="G499" s="169"/>
    </row>
    <row r="500" spans="1:7" x14ac:dyDescent="0.55000000000000004">
      <c r="A500" s="86">
        <v>448</v>
      </c>
      <c r="B500" s="69"/>
      <c r="C500" s="69"/>
      <c r="D500" s="69"/>
      <c r="E500" s="69"/>
      <c r="F500" s="69"/>
      <c r="G500" s="169"/>
    </row>
    <row r="501" spans="1:7" x14ac:dyDescent="0.55000000000000004">
      <c r="A501" s="86">
        <v>449</v>
      </c>
      <c r="B501" s="69"/>
      <c r="C501" s="69"/>
      <c r="D501" s="69"/>
      <c r="E501" s="69"/>
      <c r="F501" s="69"/>
      <c r="G501" s="169"/>
    </row>
    <row r="502" spans="1:7" x14ac:dyDescent="0.55000000000000004">
      <c r="A502" s="86">
        <v>450</v>
      </c>
      <c r="B502" s="69"/>
      <c r="C502" s="69"/>
      <c r="D502" s="69"/>
      <c r="E502" s="69"/>
      <c r="F502" s="69"/>
      <c r="G502" s="169"/>
    </row>
    <row r="503" spans="1:7" x14ac:dyDescent="0.55000000000000004">
      <c r="A503" s="86">
        <v>451</v>
      </c>
      <c r="B503" s="69"/>
      <c r="C503" s="69"/>
      <c r="D503" s="69"/>
      <c r="E503" s="69"/>
      <c r="F503" s="69"/>
      <c r="G503" s="169"/>
    </row>
    <row r="504" spans="1:7" x14ac:dyDescent="0.55000000000000004">
      <c r="A504" s="86">
        <v>452</v>
      </c>
      <c r="B504" s="69"/>
      <c r="C504" s="69"/>
      <c r="D504" s="69"/>
      <c r="E504" s="69"/>
      <c r="F504" s="69"/>
      <c r="G504" s="169"/>
    </row>
    <row r="505" spans="1:7" x14ac:dyDescent="0.55000000000000004">
      <c r="A505" s="86">
        <v>453</v>
      </c>
      <c r="B505" s="69"/>
      <c r="C505" s="69"/>
      <c r="D505" s="69"/>
      <c r="E505" s="69"/>
      <c r="F505" s="69"/>
      <c r="G505" s="169"/>
    </row>
    <row r="506" spans="1:7" x14ac:dyDescent="0.55000000000000004">
      <c r="A506" s="86">
        <v>454</v>
      </c>
      <c r="B506" s="69"/>
      <c r="C506" s="69"/>
      <c r="D506" s="69"/>
      <c r="E506" s="69"/>
      <c r="F506" s="69"/>
      <c r="G506" s="169"/>
    </row>
    <row r="507" spans="1:7" x14ac:dyDescent="0.55000000000000004">
      <c r="A507" s="86">
        <v>455</v>
      </c>
      <c r="B507" s="69"/>
      <c r="C507" s="69"/>
      <c r="D507" s="69"/>
      <c r="E507" s="69"/>
      <c r="F507" s="69"/>
      <c r="G507" s="169"/>
    </row>
    <row r="508" spans="1:7" x14ac:dyDescent="0.55000000000000004">
      <c r="A508" s="86">
        <v>456</v>
      </c>
      <c r="B508" s="69"/>
      <c r="C508" s="69"/>
      <c r="D508" s="69"/>
      <c r="E508" s="69"/>
      <c r="F508" s="69"/>
      <c r="G508" s="169"/>
    </row>
    <row r="509" spans="1:7" x14ac:dyDescent="0.55000000000000004">
      <c r="A509" s="86">
        <v>457</v>
      </c>
      <c r="B509" s="69"/>
      <c r="C509" s="69"/>
      <c r="D509" s="69"/>
      <c r="E509" s="69"/>
      <c r="F509" s="69"/>
      <c r="G509" s="169"/>
    </row>
    <row r="510" spans="1:7" x14ac:dyDescent="0.55000000000000004">
      <c r="A510" s="86">
        <v>458</v>
      </c>
      <c r="B510" s="69"/>
      <c r="C510" s="69"/>
      <c r="D510" s="69"/>
      <c r="E510" s="69"/>
      <c r="F510" s="69"/>
      <c r="G510" s="169"/>
    </row>
    <row r="511" spans="1:7" x14ac:dyDescent="0.55000000000000004">
      <c r="A511" s="86">
        <v>459</v>
      </c>
      <c r="B511" s="69"/>
      <c r="C511" s="69"/>
      <c r="D511" s="69"/>
      <c r="E511" s="69"/>
      <c r="F511" s="69"/>
      <c r="G511" s="169"/>
    </row>
    <row r="512" spans="1:7" x14ac:dyDescent="0.55000000000000004">
      <c r="A512" s="86">
        <v>460</v>
      </c>
      <c r="B512" s="69"/>
      <c r="C512" s="69"/>
      <c r="D512" s="69"/>
      <c r="E512" s="69"/>
      <c r="F512" s="69"/>
      <c r="G512" s="169"/>
    </row>
    <row r="513" spans="1:7" x14ac:dyDescent="0.55000000000000004">
      <c r="A513" s="86">
        <v>461</v>
      </c>
      <c r="B513" s="69"/>
      <c r="C513" s="69"/>
      <c r="D513" s="69"/>
      <c r="E513" s="69"/>
      <c r="F513" s="69"/>
      <c r="G513" s="169"/>
    </row>
    <row r="514" spans="1:7" x14ac:dyDescent="0.55000000000000004">
      <c r="A514" s="86">
        <v>462</v>
      </c>
      <c r="B514" s="69"/>
      <c r="C514" s="69"/>
      <c r="D514" s="69"/>
      <c r="E514" s="69"/>
      <c r="F514" s="69"/>
      <c r="G514" s="169"/>
    </row>
    <row r="515" spans="1:7" x14ac:dyDescent="0.55000000000000004">
      <c r="A515" s="86">
        <v>463</v>
      </c>
      <c r="B515" s="69"/>
      <c r="C515" s="69"/>
      <c r="D515" s="69"/>
      <c r="E515" s="69"/>
      <c r="F515" s="69"/>
      <c r="G515" s="169"/>
    </row>
    <row r="516" spans="1:7" x14ac:dyDescent="0.55000000000000004">
      <c r="A516" s="86">
        <v>464</v>
      </c>
      <c r="B516" s="69"/>
      <c r="C516" s="69"/>
      <c r="D516" s="69"/>
      <c r="E516" s="69"/>
      <c r="F516" s="69"/>
      <c r="G516" s="169"/>
    </row>
    <row r="517" spans="1:7" x14ac:dyDescent="0.55000000000000004">
      <c r="A517" s="86">
        <v>465</v>
      </c>
      <c r="B517" s="69"/>
      <c r="C517" s="69"/>
      <c r="D517" s="69"/>
      <c r="E517" s="69"/>
      <c r="F517" s="69"/>
      <c r="G517" s="169"/>
    </row>
    <row r="518" spans="1:7" x14ac:dyDescent="0.55000000000000004">
      <c r="A518" s="86">
        <v>466</v>
      </c>
      <c r="B518" s="69"/>
      <c r="C518" s="69"/>
      <c r="D518" s="69"/>
      <c r="E518" s="69"/>
      <c r="F518" s="69"/>
      <c r="G518" s="169"/>
    </row>
    <row r="519" spans="1:7" x14ac:dyDescent="0.55000000000000004">
      <c r="A519" s="86">
        <v>467</v>
      </c>
      <c r="B519" s="69"/>
      <c r="C519" s="69"/>
      <c r="D519" s="69"/>
      <c r="E519" s="69"/>
      <c r="F519" s="69"/>
      <c r="G519" s="169"/>
    </row>
    <row r="520" spans="1:7" x14ac:dyDescent="0.55000000000000004">
      <c r="A520" s="86">
        <v>468</v>
      </c>
      <c r="B520" s="69"/>
      <c r="C520" s="69"/>
      <c r="D520" s="69"/>
      <c r="E520" s="69"/>
      <c r="F520" s="69"/>
      <c r="G520" s="169"/>
    </row>
    <row r="521" spans="1:7" x14ac:dyDescent="0.55000000000000004">
      <c r="A521" s="86">
        <v>469</v>
      </c>
      <c r="B521" s="69"/>
      <c r="C521" s="69"/>
      <c r="D521" s="69"/>
      <c r="E521" s="69"/>
      <c r="F521" s="69"/>
      <c r="G521" s="169"/>
    </row>
    <row r="522" spans="1:7" x14ac:dyDescent="0.55000000000000004">
      <c r="A522" s="86">
        <v>470</v>
      </c>
      <c r="B522" s="69"/>
      <c r="C522" s="69"/>
      <c r="D522" s="69"/>
      <c r="E522" s="69"/>
      <c r="F522" s="69"/>
      <c r="G522" s="169"/>
    </row>
    <row r="523" spans="1:7" x14ac:dyDescent="0.55000000000000004">
      <c r="A523" s="86">
        <v>471</v>
      </c>
      <c r="B523" s="69"/>
      <c r="C523" s="69"/>
      <c r="D523" s="69"/>
      <c r="E523" s="69"/>
      <c r="F523" s="69"/>
      <c r="G523" s="169"/>
    </row>
    <row r="524" spans="1:7" x14ac:dyDescent="0.55000000000000004">
      <c r="A524" s="86">
        <v>472</v>
      </c>
      <c r="B524" s="69"/>
      <c r="C524" s="69"/>
      <c r="D524" s="69"/>
      <c r="E524" s="69"/>
      <c r="F524" s="69"/>
      <c r="G524" s="169"/>
    </row>
    <row r="525" spans="1:7" x14ac:dyDescent="0.55000000000000004">
      <c r="A525" s="86">
        <v>473</v>
      </c>
      <c r="B525" s="69"/>
      <c r="C525" s="69"/>
      <c r="D525" s="69"/>
      <c r="E525" s="69"/>
      <c r="F525" s="69"/>
      <c r="G525" s="169"/>
    </row>
    <row r="526" spans="1:7" x14ac:dyDescent="0.55000000000000004">
      <c r="A526" s="86">
        <v>474</v>
      </c>
      <c r="B526" s="69"/>
      <c r="C526" s="69"/>
      <c r="D526" s="69"/>
      <c r="E526" s="69"/>
      <c r="F526" s="69"/>
      <c r="G526" s="169"/>
    </row>
    <row r="527" spans="1:7" x14ac:dyDescent="0.55000000000000004">
      <c r="A527" s="86">
        <v>475</v>
      </c>
      <c r="B527" s="69"/>
      <c r="C527" s="69"/>
      <c r="D527" s="69"/>
      <c r="E527" s="69"/>
      <c r="F527" s="69"/>
      <c r="G527" s="169"/>
    </row>
    <row r="528" spans="1:7" x14ac:dyDescent="0.55000000000000004">
      <c r="A528" s="86">
        <v>476</v>
      </c>
      <c r="B528" s="69"/>
      <c r="C528" s="69"/>
      <c r="D528" s="69"/>
      <c r="E528" s="69"/>
      <c r="F528" s="69"/>
      <c r="G528" s="169"/>
    </row>
    <row r="529" spans="1:7" x14ac:dyDescent="0.55000000000000004">
      <c r="A529" s="86">
        <v>477</v>
      </c>
      <c r="B529" s="69"/>
      <c r="C529" s="69"/>
      <c r="D529" s="69"/>
      <c r="E529" s="69"/>
      <c r="F529" s="69"/>
      <c r="G529" s="169"/>
    </row>
    <row r="530" spans="1:7" x14ac:dyDescent="0.55000000000000004">
      <c r="A530" s="86">
        <v>478</v>
      </c>
      <c r="B530" s="69"/>
      <c r="C530" s="69"/>
      <c r="D530" s="69"/>
      <c r="E530" s="69"/>
      <c r="F530" s="69"/>
      <c r="G530" s="169"/>
    </row>
    <row r="531" spans="1:7" x14ac:dyDescent="0.55000000000000004">
      <c r="A531" s="86">
        <v>479</v>
      </c>
      <c r="B531" s="69"/>
      <c r="C531" s="69"/>
      <c r="D531" s="69"/>
      <c r="E531" s="69"/>
      <c r="F531" s="69"/>
      <c r="G531" s="169"/>
    </row>
    <row r="532" spans="1:7" x14ac:dyDescent="0.55000000000000004">
      <c r="A532" s="86">
        <v>480</v>
      </c>
      <c r="B532" s="69"/>
      <c r="C532" s="69"/>
      <c r="D532" s="69"/>
      <c r="E532" s="69"/>
      <c r="F532" s="69"/>
      <c r="G532" s="169"/>
    </row>
    <row r="533" spans="1:7" x14ac:dyDescent="0.55000000000000004">
      <c r="A533" s="86">
        <v>481</v>
      </c>
      <c r="B533" s="69"/>
      <c r="C533" s="69"/>
      <c r="D533" s="69"/>
      <c r="E533" s="69"/>
      <c r="F533" s="69"/>
      <c r="G533" s="169"/>
    </row>
    <row r="534" spans="1:7" x14ac:dyDescent="0.55000000000000004">
      <c r="A534" s="86">
        <v>482</v>
      </c>
      <c r="B534" s="69"/>
      <c r="C534" s="69"/>
      <c r="D534" s="69"/>
      <c r="E534" s="69"/>
      <c r="F534" s="69"/>
      <c r="G534" s="169"/>
    </row>
    <row r="535" spans="1:7" x14ac:dyDescent="0.55000000000000004">
      <c r="A535" s="86">
        <v>483</v>
      </c>
      <c r="B535" s="69"/>
      <c r="C535" s="69"/>
      <c r="D535" s="69"/>
      <c r="E535" s="69"/>
      <c r="F535" s="69"/>
      <c r="G535" s="169"/>
    </row>
    <row r="536" spans="1:7" x14ac:dyDescent="0.55000000000000004">
      <c r="A536" s="86">
        <v>484</v>
      </c>
      <c r="B536" s="69"/>
      <c r="C536" s="69"/>
      <c r="D536" s="69"/>
      <c r="E536" s="69"/>
      <c r="F536" s="69"/>
      <c r="G536" s="169"/>
    </row>
    <row r="537" spans="1:7" x14ac:dyDescent="0.55000000000000004">
      <c r="A537" s="86">
        <v>485</v>
      </c>
      <c r="B537" s="69"/>
      <c r="C537" s="69"/>
      <c r="D537" s="69"/>
      <c r="E537" s="69"/>
      <c r="F537" s="69"/>
      <c r="G537" s="169"/>
    </row>
    <row r="538" spans="1:7" x14ac:dyDescent="0.55000000000000004">
      <c r="A538" s="86">
        <v>486</v>
      </c>
      <c r="B538" s="69"/>
      <c r="C538" s="69"/>
      <c r="D538" s="69"/>
      <c r="E538" s="69"/>
      <c r="F538" s="69"/>
      <c r="G538" s="169"/>
    </row>
    <row r="539" spans="1:7" x14ac:dyDescent="0.55000000000000004">
      <c r="A539" s="86">
        <v>487</v>
      </c>
      <c r="B539" s="69"/>
      <c r="C539" s="69"/>
      <c r="D539" s="69"/>
      <c r="E539" s="69"/>
      <c r="F539" s="69"/>
      <c r="G539" s="169"/>
    </row>
    <row r="540" spans="1:7" x14ac:dyDescent="0.55000000000000004">
      <c r="A540" s="86">
        <v>488</v>
      </c>
      <c r="B540" s="69"/>
      <c r="C540" s="69"/>
      <c r="D540" s="69"/>
      <c r="E540" s="69"/>
      <c r="F540" s="69"/>
      <c r="G540" s="169"/>
    </row>
    <row r="541" spans="1:7" x14ac:dyDescent="0.55000000000000004">
      <c r="A541" s="86">
        <v>489</v>
      </c>
      <c r="B541" s="69"/>
      <c r="C541" s="69"/>
      <c r="D541" s="69"/>
      <c r="E541" s="69"/>
      <c r="F541" s="69"/>
      <c r="G541" s="169"/>
    </row>
    <row r="542" spans="1:7" x14ac:dyDescent="0.55000000000000004">
      <c r="A542" s="86">
        <v>490</v>
      </c>
      <c r="B542" s="69"/>
      <c r="C542" s="69"/>
      <c r="D542" s="69"/>
      <c r="E542" s="69"/>
      <c r="F542" s="69"/>
      <c r="G542" s="169"/>
    </row>
    <row r="543" spans="1:7" x14ac:dyDescent="0.55000000000000004">
      <c r="A543" s="86">
        <v>491</v>
      </c>
      <c r="B543" s="69"/>
      <c r="C543" s="69"/>
      <c r="D543" s="69"/>
      <c r="E543" s="69"/>
      <c r="F543" s="69"/>
      <c r="G543" s="169"/>
    </row>
    <row r="544" spans="1:7" x14ac:dyDescent="0.55000000000000004">
      <c r="A544" s="86">
        <v>492</v>
      </c>
      <c r="B544" s="69"/>
      <c r="C544" s="69"/>
      <c r="D544" s="69"/>
      <c r="E544" s="69"/>
      <c r="F544" s="69"/>
      <c r="G544" s="169"/>
    </row>
    <row r="545" spans="1:7" x14ac:dyDescent="0.55000000000000004">
      <c r="A545" s="86">
        <v>493</v>
      </c>
      <c r="B545" s="69"/>
      <c r="C545" s="69"/>
      <c r="D545" s="69"/>
      <c r="E545" s="69"/>
      <c r="F545" s="69"/>
      <c r="G545" s="169"/>
    </row>
    <row r="546" spans="1:7" x14ac:dyDescent="0.55000000000000004">
      <c r="A546" s="86">
        <v>494</v>
      </c>
      <c r="B546" s="69"/>
      <c r="C546" s="69"/>
      <c r="D546" s="69"/>
      <c r="E546" s="69"/>
      <c r="F546" s="69"/>
      <c r="G546" s="169"/>
    </row>
    <row r="547" spans="1:7" x14ac:dyDescent="0.55000000000000004">
      <c r="A547" s="86">
        <v>495</v>
      </c>
      <c r="B547" s="69"/>
      <c r="C547" s="69"/>
      <c r="D547" s="69"/>
      <c r="E547" s="69"/>
      <c r="F547" s="69"/>
      <c r="G547" s="169"/>
    </row>
    <row r="548" spans="1:7" x14ac:dyDescent="0.55000000000000004">
      <c r="A548" s="86">
        <v>496</v>
      </c>
      <c r="B548" s="69"/>
      <c r="C548" s="69"/>
      <c r="D548" s="69"/>
      <c r="E548" s="69"/>
      <c r="F548" s="69"/>
      <c r="G548" s="169"/>
    </row>
    <row r="549" spans="1:7" x14ac:dyDescent="0.55000000000000004">
      <c r="A549" s="86">
        <v>497</v>
      </c>
      <c r="B549" s="69"/>
      <c r="C549" s="69"/>
      <c r="D549" s="69"/>
      <c r="E549" s="69"/>
      <c r="F549" s="69"/>
      <c r="G549" s="169"/>
    </row>
    <row r="550" spans="1:7" x14ac:dyDescent="0.55000000000000004">
      <c r="A550" s="86">
        <v>498</v>
      </c>
      <c r="B550" s="69"/>
      <c r="C550" s="69"/>
      <c r="D550" s="69"/>
      <c r="E550" s="69"/>
      <c r="F550" s="69"/>
      <c r="G550" s="169"/>
    </row>
    <row r="551" spans="1:7" x14ac:dyDescent="0.55000000000000004">
      <c r="A551" s="86">
        <v>499</v>
      </c>
      <c r="B551" s="69"/>
      <c r="C551" s="69"/>
      <c r="D551" s="69"/>
      <c r="E551" s="69"/>
      <c r="F551" s="69"/>
      <c r="G551" s="169"/>
    </row>
    <row r="552" spans="1:7" x14ac:dyDescent="0.55000000000000004">
      <c r="A552" s="86">
        <v>500</v>
      </c>
      <c r="B552" s="69"/>
      <c r="C552" s="69"/>
      <c r="D552" s="69"/>
      <c r="E552" s="69"/>
      <c r="F552" s="69"/>
      <c r="G552" s="169"/>
    </row>
    <row r="553" spans="1:7" x14ac:dyDescent="0.55000000000000004">
      <c r="A553" s="86">
        <v>501</v>
      </c>
      <c r="B553" s="69"/>
      <c r="C553" s="69"/>
      <c r="D553" s="69"/>
      <c r="E553" s="69"/>
      <c r="F553" s="69"/>
      <c r="G553" s="169"/>
    </row>
    <row r="554" spans="1:7" x14ac:dyDescent="0.55000000000000004">
      <c r="A554" s="86">
        <v>502</v>
      </c>
      <c r="B554" s="69"/>
      <c r="C554" s="69"/>
      <c r="D554" s="69"/>
      <c r="E554" s="69"/>
      <c r="F554" s="69"/>
      <c r="G554" s="169"/>
    </row>
    <row r="555" spans="1:7" x14ac:dyDescent="0.55000000000000004">
      <c r="A555" s="86">
        <v>503</v>
      </c>
      <c r="B555" s="69"/>
      <c r="C555" s="69"/>
      <c r="D555" s="69"/>
      <c r="E555" s="69"/>
      <c r="F555" s="69"/>
      <c r="G555" s="169"/>
    </row>
    <row r="556" spans="1:7" x14ac:dyDescent="0.55000000000000004">
      <c r="A556" s="86">
        <v>504</v>
      </c>
      <c r="B556" s="69"/>
      <c r="C556" s="69"/>
      <c r="D556" s="69"/>
      <c r="E556" s="69"/>
      <c r="F556" s="69"/>
      <c r="G556" s="169"/>
    </row>
    <row r="557" spans="1:7" x14ac:dyDescent="0.55000000000000004">
      <c r="A557" s="86">
        <v>505</v>
      </c>
      <c r="B557" s="69"/>
      <c r="C557" s="69"/>
      <c r="D557" s="69"/>
      <c r="E557" s="69"/>
      <c r="F557" s="69"/>
      <c r="G557" s="169"/>
    </row>
    <row r="558" spans="1:7" x14ac:dyDescent="0.55000000000000004">
      <c r="A558" s="86">
        <v>506</v>
      </c>
      <c r="B558" s="69"/>
      <c r="C558" s="69"/>
      <c r="D558" s="69"/>
      <c r="E558" s="69"/>
      <c r="F558" s="69"/>
      <c r="G558" s="169"/>
    </row>
    <row r="559" spans="1:7" x14ac:dyDescent="0.55000000000000004">
      <c r="A559" s="86">
        <v>507</v>
      </c>
      <c r="B559" s="69"/>
      <c r="C559" s="69"/>
      <c r="D559" s="69"/>
      <c r="E559" s="69"/>
      <c r="F559" s="69"/>
      <c r="G559" s="169"/>
    </row>
    <row r="560" spans="1:7" x14ac:dyDescent="0.55000000000000004">
      <c r="A560" s="86">
        <v>508</v>
      </c>
      <c r="B560" s="69"/>
      <c r="C560" s="69"/>
      <c r="D560" s="69"/>
      <c r="E560" s="69"/>
      <c r="F560" s="69"/>
      <c r="G560" s="169"/>
    </row>
    <row r="561" spans="1:7" x14ac:dyDescent="0.55000000000000004">
      <c r="A561" s="86">
        <v>509</v>
      </c>
      <c r="B561" s="69"/>
      <c r="C561" s="69"/>
      <c r="D561" s="69"/>
      <c r="E561" s="69"/>
      <c r="F561" s="69"/>
      <c r="G561" s="169"/>
    </row>
    <row r="562" spans="1:7" x14ac:dyDescent="0.55000000000000004">
      <c r="A562" s="86">
        <v>510</v>
      </c>
      <c r="B562" s="69"/>
      <c r="C562" s="69"/>
      <c r="D562" s="69"/>
      <c r="E562" s="69"/>
      <c r="F562" s="69"/>
      <c r="G562" s="169"/>
    </row>
    <row r="563" spans="1:7" x14ac:dyDescent="0.55000000000000004">
      <c r="A563" s="86">
        <v>511</v>
      </c>
      <c r="B563" s="69"/>
      <c r="C563" s="69"/>
      <c r="D563" s="69"/>
      <c r="E563" s="69"/>
      <c r="F563" s="69"/>
      <c r="G563" s="169"/>
    </row>
    <row r="564" spans="1:7" x14ac:dyDescent="0.55000000000000004">
      <c r="A564" s="86">
        <v>512</v>
      </c>
      <c r="B564" s="69"/>
      <c r="C564" s="69"/>
      <c r="D564" s="69"/>
      <c r="E564" s="69"/>
      <c r="F564" s="69"/>
      <c r="G564" s="169"/>
    </row>
    <row r="565" spans="1:7" x14ac:dyDescent="0.55000000000000004">
      <c r="A565" s="86">
        <v>513</v>
      </c>
      <c r="B565" s="69"/>
      <c r="C565" s="69"/>
      <c r="D565" s="69"/>
      <c r="E565" s="69"/>
      <c r="F565" s="69"/>
      <c r="G565" s="169"/>
    </row>
    <row r="566" spans="1:7" x14ac:dyDescent="0.55000000000000004">
      <c r="A566" s="86">
        <v>514</v>
      </c>
      <c r="B566" s="69"/>
      <c r="C566" s="69"/>
      <c r="D566" s="69"/>
      <c r="E566" s="69"/>
      <c r="F566" s="69"/>
      <c r="G566" s="169"/>
    </row>
    <row r="567" spans="1:7" x14ac:dyDescent="0.55000000000000004">
      <c r="A567" s="86">
        <v>515</v>
      </c>
      <c r="B567" s="69"/>
      <c r="C567" s="69"/>
      <c r="D567" s="69"/>
      <c r="E567" s="69"/>
      <c r="F567" s="69"/>
      <c r="G567" s="169"/>
    </row>
    <row r="568" spans="1:7" x14ac:dyDescent="0.55000000000000004">
      <c r="A568" s="86">
        <v>516</v>
      </c>
      <c r="B568" s="69"/>
      <c r="C568" s="69"/>
      <c r="D568" s="69"/>
      <c r="E568" s="69"/>
      <c r="F568" s="69"/>
      <c r="G568" s="169"/>
    </row>
    <row r="569" spans="1:7" x14ac:dyDescent="0.55000000000000004">
      <c r="A569" s="86">
        <v>517</v>
      </c>
      <c r="B569" s="69"/>
      <c r="C569" s="69"/>
      <c r="D569" s="69"/>
      <c r="E569" s="69"/>
      <c r="F569" s="69"/>
      <c r="G569" s="169"/>
    </row>
    <row r="570" spans="1:7" x14ac:dyDescent="0.55000000000000004">
      <c r="A570" s="86">
        <v>518</v>
      </c>
      <c r="B570" s="69"/>
      <c r="C570" s="69"/>
      <c r="D570" s="69"/>
      <c r="E570" s="69"/>
      <c r="F570" s="69"/>
      <c r="G570" s="169"/>
    </row>
    <row r="571" spans="1:7" x14ac:dyDescent="0.55000000000000004">
      <c r="A571" s="86">
        <v>519</v>
      </c>
      <c r="B571" s="69"/>
      <c r="C571" s="69"/>
      <c r="D571" s="69"/>
      <c r="E571" s="69"/>
      <c r="F571" s="69"/>
      <c r="G571" s="169"/>
    </row>
    <row r="572" spans="1:7" x14ac:dyDescent="0.55000000000000004">
      <c r="A572" s="86">
        <v>520</v>
      </c>
      <c r="B572" s="69"/>
      <c r="C572" s="69"/>
      <c r="D572" s="69"/>
      <c r="E572" s="69"/>
      <c r="F572" s="69"/>
      <c r="G572" s="169"/>
    </row>
    <row r="573" spans="1:7" x14ac:dyDescent="0.55000000000000004">
      <c r="A573" s="86">
        <v>521</v>
      </c>
      <c r="B573" s="69"/>
      <c r="C573" s="69"/>
      <c r="D573" s="69"/>
      <c r="E573" s="69"/>
      <c r="F573" s="69"/>
      <c r="G573" s="169"/>
    </row>
    <row r="574" spans="1:7" x14ac:dyDescent="0.55000000000000004">
      <c r="A574" s="86">
        <v>522</v>
      </c>
      <c r="B574" s="69"/>
      <c r="C574" s="69"/>
      <c r="D574" s="69"/>
      <c r="E574" s="69"/>
      <c r="F574" s="69"/>
      <c r="G574" s="169"/>
    </row>
    <row r="575" spans="1:7" x14ac:dyDescent="0.55000000000000004">
      <c r="A575" s="86">
        <v>523</v>
      </c>
      <c r="B575" s="69"/>
      <c r="C575" s="69"/>
      <c r="D575" s="69"/>
      <c r="E575" s="69"/>
      <c r="F575" s="69"/>
      <c r="G575" s="169"/>
    </row>
    <row r="576" spans="1:7" x14ac:dyDescent="0.55000000000000004">
      <c r="A576" s="86">
        <v>524</v>
      </c>
      <c r="B576" s="69"/>
      <c r="C576" s="69"/>
      <c r="D576" s="69"/>
      <c r="E576" s="69"/>
      <c r="F576" s="69"/>
      <c r="G576" s="169"/>
    </row>
    <row r="577" spans="1:7" x14ac:dyDescent="0.55000000000000004">
      <c r="A577" s="86">
        <v>525</v>
      </c>
      <c r="B577" s="69"/>
      <c r="C577" s="69"/>
      <c r="D577" s="69"/>
      <c r="E577" s="69"/>
      <c r="F577" s="69"/>
      <c r="G577" s="169"/>
    </row>
    <row r="578" spans="1:7" x14ac:dyDescent="0.55000000000000004">
      <c r="A578" s="86">
        <v>526</v>
      </c>
      <c r="B578" s="69"/>
      <c r="C578" s="69"/>
      <c r="D578" s="69"/>
      <c r="E578" s="69"/>
      <c r="F578" s="69"/>
      <c r="G578" s="169"/>
    </row>
    <row r="579" spans="1:7" x14ac:dyDescent="0.55000000000000004">
      <c r="A579" s="86">
        <v>527</v>
      </c>
      <c r="B579" s="69"/>
      <c r="C579" s="69"/>
      <c r="D579" s="69"/>
      <c r="E579" s="69"/>
      <c r="F579" s="69"/>
      <c r="G579" s="169"/>
    </row>
    <row r="580" spans="1:7" x14ac:dyDescent="0.55000000000000004">
      <c r="A580" s="86">
        <v>528</v>
      </c>
      <c r="B580" s="69"/>
      <c r="C580" s="69"/>
      <c r="D580" s="69"/>
      <c r="E580" s="69"/>
      <c r="F580" s="69"/>
      <c r="G580" s="169"/>
    </row>
    <row r="581" spans="1:7" x14ac:dyDescent="0.55000000000000004">
      <c r="A581" s="86">
        <v>529</v>
      </c>
      <c r="B581" s="69"/>
      <c r="C581" s="69"/>
      <c r="D581" s="69"/>
      <c r="E581" s="69"/>
      <c r="F581" s="69"/>
      <c r="G581" s="169"/>
    </row>
    <row r="582" spans="1:7" x14ac:dyDescent="0.55000000000000004">
      <c r="A582" s="86">
        <v>530</v>
      </c>
      <c r="B582" s="69"/>
      <c r="C582" s="69"/>
      <c r="D582" s="69"/>
      <c r="E582" s="69"/>
      <c r="F582" s="69"/>
      <c r="G582" s="169"/>
    </row>
    <row r="583" spans="1:7" x14ac:dyDescent="0.55000000000000004">
      <c r="A583" s="86">
        <v>531</v>
      </c>
      <c r="B583" s="69"/>
      <c r="C583" s="69"/>
      <c r="D583" s="69"/>
      <c r="E583" s="69"/>
      <c r="F583" s="69"/>
      <c r="G583" s="169"/>
    </row>
    <row r="584" spans="1:7" x14ac:dyDescent="0.55000000000000004">
      <c r="A584" s="86">
        <v>532</v>
      </c>
      <c r="B584" s="69"/>
      <c r="C584" s="69"/>
      <c r="D584" s="69"/>
      <c r="E584" s="69"/>
      <c r="F584" s="69"/>
      <c r="G584" s="169"/>
    </row>
    <row r="585" spans="1:7" x14ac:dyDescent="0.55000000000000004">
      <c r="A585" s="86">
        <v>533</v>
      </c>
      <c r="B585" s="69"/>
      <c r="C585" s="69"/>
      <c r="D585" s="69"/>
      <c r="E585" s="69"/>
      <c r="F585" s="69"/>
      <c r="G585" s="169"/>
    </row>
    <row r="586" spans="1:7" x14ac:dyDescent="0.55000000000000004">
      <c r="A586" s="86">
        <v>534</v>
      </c>
      <c r="B586" s="69"/>
      <c r="C586" s="69"/>
      <c r="D586" s="69"/>
      <c r="E586" s="69"/>
      <c r="F586" s="69"/>
      <c r="G586" s="169"/>
    </row>
    <row r="587" spans="1:7" x14ac:dyDescent="0.55000000000000004">
      <c r="A587" s="86">
        <v>535</v>
      </c>
      <c r="B587" s="69"/>
      <c r="C587" s="69"/>
      <c r="D587" s="69"/>
      <c r="E587" s="69"/>
      <c r="F587" s="69"/>
      <c r="G587" s="169"/>
    </row>
    <row r="588" spans="1:7" x14ac:dyDescent="0.55000000000000004">
      <c r="A588" s="86">
        <v>536</v>
      </c>
      <c r="B588" s="69"/>
      <c r="C588" s="69"/>
      <c r="D588" s="69"/>
      <c r="E588" s="69"/>
      <c r="F588" s="69"/>
      <c r="G588" s="169"/>
    </row>
    <row r="589" spans="1:7" x14ac:dyDescent="0.55000000000000004">
      <c r="A589" s="86">
        <v>537</v>
      </c>
      <c r="B589" s="69"/>
      <c r="C589" s="69"/>
      <c r="D589" s="69"/>
      <c r="E589" s="69"/>
      <c r="F589" s="69"/>
      <c r="G589" s="169"/>
    </row>
    <row r="590" spans="1:7" x14ac:dyDescent="0.55000000000000004">
      <c r="A590" s="86">
        <v>538</v>
      </c>
      <c r="B590" s="69"/>
      <c r="C590" s="69"/>
      <c r="D590" s="69"/>
      <c r="E590" s="69"/>
      <c r="F590" s="69"/>
      <c r="G590" s="169"/>
    </row>
    <row r="591" spans="1:7" x14ac:dyDescent="0.55000000000000004">
      <c r="A591" s="86">
        <v>539</v>
      </c>
      <c r="B591" s="69"/>
      <c r="C591" s="69"/>
      <c r="D591" s="69"/>
      <c r="E591" s="69"/>
      <c r="F591" s="69"/>
      <c r="G591" s="169"/>
    </row>
    <row r="592" spans="1:7" x14ac:dyDescent="0.55000000000000004">
      <c r="A592" s="86">
        <v>540</v>
      </c>
      <c r="B592" s="69"/>
      <c r="C592" s="69"/>
      <c r="D592" s="69"/>
      <c r="E592" s="69"/>
      <c r="F592" s="69"/>
      <c r="G592" s="169"/>
    </row>
    <row r="593" spans="1:7" x14ac:dyDescent="0.55000000000000004">
      <c r="A593" s="86">
        <v>541</v>
      </c>
      <c r="B593" s="69"/>
      <c r="C593" s="69"/>
      <c r="D593" s="69"/>
      <c r="E593" s="69"/>
      <c r="F593" s="69"/>
      <c r="G593" s="169"/>
    </row>
    <row r="594" spans="1:7" x14ac:dyDescent="0.55000000000000004">
      <c r="A594" s="86">
        <v>542</v>
      </c>
      <c r="B594" s="69"/>
      <c r="C594" s="69"/>
      <c r="D594" s="69"/>
      <c r="E594" s="69"/>
      <c r="F594" s="69"/>
      <c r="G594" s="169"/>
    </row>
    <row r="595" spans="1:7" x14ac:dyDescent="0.55000000000000004">
      <c r="A595" s="86">
        <v>543</v>
      </c>
      <c r="B595" s="69"/>
      <c r="C595" s="69"/>
      <c r="D595" s="69"/>
      <c r="E595" s="69"/>
      <c r="F595" s="69"/>
      <c r="G595" s="169"/>
    </row>
    <row r="596" spans="1:7" x14ac:dyDescent="0.55000000000000004">
      <c r="A596" s="86">
        <v>544</v>
      </c>
      <c r="B596" s="69"/>
      <c r="C596" s="69"/>
      <c r="D596" s="69"/>
      <c r="E596" s="69"/>
      <c r="F596" s="69"/>
      <c r="G596" s="169"/>
    </row>
    <row r="597" spans="1:7" x14ac:dyDescent="0.55000000000000004">
      <c r="A597" s="86">
        <v>545</v>
      </c>
      <c r="B597" s="69"/>
      <c r="C597" s="69"/>
      <c r="D597" s="69"/>
      <c r="E597" s="69"/>
      <c r="F597" s="69"/>
      <c r="G597" s="169"/>
    </row>
    <row r="598" spans="1:7" x14ac:dyDescent="0.55000000000000004">
      <c r="A598" s="86">
        <v>546</v>
      </c>
      <c r="B598" s="69"/>
      <c r="C598" s="69"/>
      <c r="D598" s="69"/>
      <c r="E598" s="69"/>
      <c r="F598" s="69"/>
      <c r="G598" s="169"/>
    </row>
    <row r="599" spans="1:7" x14ac:dyDescent="0.55000000000000004">
      <c r="A599" s="86">
        <v>547</v>
      </c>
      <c r="B599" s="69"/>
      <c r="C599" s="69"/>
      <c r="D599" s="69"/>
      <c r="E599" s="69"/>
      <c r="F599" s="69"/>
      <c r="G599" s="169"/>
    </row>
    <row r="600" spans="1:7" x14ac:dyDescent="0.55000000000000004">
      <c r="A600" s="86">
        <v>548</v>
      </c>
      <c r="B600" s="69"/>
      <c r="C600" s="69"/>
      <c r="D600" s="69"/>
      <c r="E600" s="69"/>
      <c r="F600" s="69"/>
      <c r="G600" s="169"/>
    </row>
    <row r="601" spans="1:7" x14ac:dyDescent="0.55000000000000004">
      <c r="A601" s="86">
        <v>549</v>
      </c>
      <c r="B601" s="69"/>
      <c r="C601" s="69"/>
      <c r="D601" s="69"/>
      <c r="E601" s="69"/>
      <c r="F601" s="69"/>
      <c r="G601" s="169"/>
    </row>
    <row r="602" spans="1:7" x14ac:dyDescent="0.55000000000000004">
      <c r="A602" s="86">
        <v>550</v>
      </c>
      <c r="B602" s="69"/>
      <c r="C602" s="69"/>
      <c r="D602" s="69"/>
      <c r="E602" s="69"/>
      <c r="F602" s="69"/>
      <c r="G602" s="169"/>
    </row>
    <row r="603" spans="1:7" x14ac:dyDescent="0.55000000000000004">
      <c r="A603" s="86">
        <v>551</v>
      </c>
      <c r="B603" s="69"/>
      <c r="C603" s="69"/>
      <c r="D603" s="69"/>
      <c r="E603" s="69"/>
      <c r="F603" s="69"/>
      <c r="G603" s="169"/>
    </row>
    <row r="604" spans="1:7" x14ac:dyDescent="0.55000000000000004">
      <c r="A604" s="86">
        <v>552</v>
      </c>
      <c r="B604" s="69"/>
      <c r="C604" s="69"/>
      <c r="D604" s="69"/>
      <c r="E604" s="69"/>
      <c r="F604" s="69"/>
      <c r="G604" s="169"/>
    </row>
    <row r="605" spans="1:7" x14ac:dyDescent="0.55000000000000004">
      <c r="A605" s="86">
        <v>553</v>
      </c>
      <c r="B605" s="69"/>
      <c r="C605" s="69"/>
      <c r="D605" s="69"/>
      <c r="E605" s="69"/>
      <c r="F605" s="69"/>
      <c r="G605" s="169"/>
    </row>
    <row r="606" spans="1:7" x14ac:dyDescent="0.55000000000000004">
      <c r="A606" s="86">
        <v>554</v>
      </c>
      <c r="B606" s="69"/>
      <c r="C606" s="69"/>
      <c r="D606" s="69"/>
      <c r="E606" s="69"/>
      <c r="F606" s="69"/>
      <c r="G606" s="169"/>
    </row>
    <row r="607" spans="1:7" x14ac:dyDescent="0.55000000000000004">
      <c r="A607" s="86">
        <v>555</v>
      </c>
      <c r="B607" s="69"/>
      <c r="C607" s="69"/>
      <c r="D607" s="69"/>
      <c r="E607" s="69"/>
      <c r="F607" s="69"/>
      <c r="G607" s="169"/>
    </row>
    <row r="608" spans="1:7" x14ac:dyDescent="0.55000000000000004">
      <c r="A608" s="86">
        <v>556</v>
      </c>
      <c r="B608" s="69"/>
      <c r="C608" s="69"/>
      <c r="D608" s="69"/>
      <c r="E608" s="69"/>
      <c r="F608" s="69"/>
      <c r="G608" s="169"/>
    </row>
    <row r="609" spans="1:7" x14ac:dyDescent="0.55000000000000004">
      <c r="A609" s="86">
        <v>557</v>
      </c>
      <c r="B609" s="69"/>
      <c r="C609" s="69"/>
      <c r="D609" s="69"/>
      <c r="E609" s="69"/>
      <c r="F609" s="69"/>
      <c r="G609" s="169"/>
    </row>
    <row r="610" spans="1:7" x14ac:dyDescent="0.55000000000000004">
      <c r="A610" s="86">
        <v>558</v>
      </c>
      <c r="B610" s="69"/>
      <c r="C610" s="69"/>
      <c r="D610" s="69"/>
      <c r="E610" s="69"/>
      <c r="F610" s="69"/>
      <c r="G610" s="169"/>
    </row>
    <row r="611" spans="1:7" x14ac:dyDescent="0.55000000000000004">
      <c r="A611" s="86">
        <v>559</v>
      </c>
      <c r="B611" s="69"/>
      <c r="C611" s="69"/>
      <c r="D611" s="69"/>
      <c r="E611" s="69"/>
      <c r="F611" s="69"/>
      <c r="G611" s="169"/>
    </row>
    <row r="612" spans="1:7" x14ac:dyDescent="0.55000000000000004">
      <c r="A612" s="86">
        <v>560</v>
      </c>
      <c r="B612" s="69"/>
      <c r="C612" s="69"/>
      <c r="D612" s="69"/>
      <c r="E612" s="69"/>
      <c r="F612" s="69"/>
      <c r="G612" s="169"/>
    </row>
    <row r="613" spans="1:7" x14ac:dyDescent="0.55000000000000004">
      <c r="A613" s="86">
        <v>561</v>
      </c>
      <c r="B613" s="69"/>
      <c r="C613" s="69"/>
      <c r="D613" s="69"/>
      <c r="E613" s="69"/>
      <c r="F613" s="69"/>
      <c r="G613" s="169"/>
    </row>
    <row r="614" spans="1:7" x14ac:dyDescent="0.55000000000000004">
      <c r="A614" s="86">
        <v>562</v>
      </c>
      <c r="B614" s="69"/>
      <c r="C614" s="69"/>
      <c r="D614" s="69"/>
      <c r="E614" s="69"/>
      <c r="F614" s="69"/>
      <c r="G614" s="169"/>
    </row>
    <row r="615" spans="1:7" x14ac:dyDescent="0.55000000000000004">
      <c r="A615" s="86">
        <v>563</v>
      </c>
      <c r="B615" s="69"/>
      <c r="C615" s="69"/>
      <c r="D615" s="69"/>
      <c r="E615" s="69"/>
      <c r="F615" s="69"/>
      <c r="G615" s="169"/>
    </row>
    <row r="616" spans="1:7" x14ac:dyDescent="0.55000000000000004">
      <c r="A616" s="86">
        <v>564</v>
      </c>
      <c r="B616" s="69"/>
      <c r="C616" s="69"/>
      <c r="D616" s="69"/>
      <c r="E616" s="69"/>
      <c r="F616" s="69"/>
      <c r="G616" s="169"/>
    </row>
    <row r="617" spans="1:7" x14ac:dyDescent="0.55000000000000004">
      <c r="A617" s="86">
        <v>565</v>
      </c>
      <c r="B617" s="69"/>
      <c r="C617" s="69"/>
      <c r="D617" s="69"/>
      <c r="E617" s="69"/>
      <c r="F617" s="69"/>
      <c r="G617" s="169"/>
    </row>
    <row r="618" spans="1:7" x14ac:dyDescent="0.55000000000000004">
      <c r="A618" s="86">
        <v>566</v>
      </c>
      <c r="B618" s="69"/>
      <c r="C618" s="69"/>
      <c r="D618" s="69"/>
      <c r="E618" s="69"/>
      <c r="F618" s="69"/>
      <c r="G618" s="169"/>
    </row>
    <row r="619" spans="1:7" x14ac:dyDescent="0.55000000000000004">
      <c r="A619" s="86">
        <v>567</v>
      </c>
      <c r="B619" s="69"/>
      <c r="C619" s="69"/>
      <c r="D619" s="69"/>
      <c r="E619" s="69"/>
      <c r="F619" s="69"/>
      <c r="G619" s="169"/>
    </row>
    <row r="620" spans="1:7" x14ac:dyDescent="0.55000000000000004">
      <c r="A620" s="86">
        <v>568</v>
      </c>
      <c r="B620" s="69"/>
      <c r="C620" s="69"/>
      <c r="D620" s="69"/>
      <c r="E620" s="69"/>
      <c r="F620" s="69"/>
      <c r="G620" s="169"/>
    </row>
    <row r="621" spans="1:7" x14ac:dyDescent="0.55000000000000004">
      <c r="A621" s="86">
        <v>569</v>
      </c>
      <c r="B621" s="69"/>
      <c r="C621" s="69"/>
      <c r="D621" s="69"/>
      <c r="E621" s="69"/>
      <c r="F621" s="69"/>
      <c r="G621" s="169"/>
    </row>
    <row r="622" spans="1:7" x14ac:dyDescent="0.55000000000000004">
      <c r="A622" s="86">
        <v>570</v>
      </c>
      <c r="B622" s="69"/>
      <c r="C622" s="69"/>
      <c r="D622" s="69"/>
      <c r="E622" s="69"/>
      <c r="F622" s="69"/>
      <c r="G622" s="169"/>
    </row>
    <row r="623" spans="1:7" x14ac:dyDescent="0.55000000000000004">
      <c r="A623" s="86">
        <v>571</v>
      </c>
      <c r="B623" s="69"/>
      <c r="C623" s="69"/>
      <c r="D623" s="69"/>
      <c r="E623" s="69"/>
      <c r="F623" s="69"/>
      <c r="G623" s="169"/>
    </row>
    <row r="624" spans="1:7" x14ac:dyDescent="0.55000000000000004">
      <c r="A624" s="86">
        <v>572</v>
      </c>
      <c r="B624" s="69"/>
      <c r="C624" s="69"/>
      <c r="D624" s="69"/>
      <c r="E624" s="69"/>
      <c r="F624" s="69"/>
      <c r="G624" s="169"/>
    </row>
    <row r="625" spans="1:7" x14ac:dyDescent="0.55000000000000004">
      <c r="A625" s="86">
        <v>573</v>
      </c>
      <c r="B625" s="69"/>
      <c r="C625" s="69"/>
      <c r="D625" s="69"/>
      <c r="E625" s="69"/>
      <c r="F625" s="69"/>
      <c r="G625" s="169"/>
    </row>
    <row r="626" spans="1:7" x14ac:dyDescent="0.55000000000000004">
      <c r="A626" s="86">
        <v>574</v>
      </c>
      <c r="B626" s="69"/>
      <c r="C626" s="69"/>
      <c r="D626" s="69"/>
      <c r="E626" s="69"/>
      <c r="F626" s="69"/>
      <c r="G626" s="169"/>
    </row>
    <row r="627" spans="1:7" x14ac:dyDescent="0.55000000000000004">
      <c r="A627" s="86">
        <v>575</v>
      </c>
      <c r="B627" s="69"/>
      <c r="C627" s="69"/>
      <c r="D627" s="69"/>
      <c r="E627" s="69"/>
      <c r="F627" s="69"/>
      <c r="G627" s="169"/>
    </row>
    <row r="628" spans="1:7" x14ac:dyDescent="0.55000000000000004">
      <c r="A628" s="86">
        <v>576</v>
      </c>
      <c r="B628" s="69"/>
      <c r="C628" s="69"/>
      <c r="D628" s="69"/>
      <c r="E628" s="69"/>
      <c r="F628" s="69"/>
      <c r="G628" s="169"/>
    </row>
    <row r="629" spans="1:7" x14ac:dyDescent="0.55000000000000004">
      <c r="A629" s="86">
        <v>577</v>
      </c>
      <c r="B629" s="69"/>
      <c r="C629" s="69"/>
      <c r="D629" s="69"/>
      <c r="E629" s="69"/>
      <c r="F629" s="69"/>
      <c r="G629" s="169"/>
    </row>
    <row r="630" spans="1:7" x14ac:dyDescent="0.55000000000000004">
      <c r="A630" s="86">
        <v>578</v>
      </c>
      <c r="B630" s="69"/>
      <c r="C630" s="69"/>
      <c r="D630" s="69"/>
      <c r="E630" s="69"/>
      <c r="F630" s="69"/>
      <c r="G630" s="169"/>
    </row>
    <row r="631" spans="1:7" x14ac:dyDescent="0.55000000000000004">
      <c r="A631" s="86">
        <v>579</v>
      </c>
      <c r="B631" s="69"/>
      <c r="C631" s="69"/>
      <c r="D631" s="69"/>
      <c r="E631" s="69"/>
      <c r="F631" s="69"/>
      <c r="G631" s="169"/>
    </row>
    <row r="632" spans="1:7" x14ac:dyDescent="0.55000000000000004">
      <c r="A632" s="86">
        <v>580</v>
      </c>
      <c r="B632" s="69"/>
      <c r="C632" s="69"/>
      <c r="D632" s="69"/>
      <c r="E632" s="69"/>
      <c r="F632" s="69"/>
      <c r="G632" s="169"/>
    </row>
    <row r="633" spans="1:7" x14ac:dyDescent="0.55000000000000004">
      <c r="A633" s="86">
        <v>581</v>
      </c>
      <c r="B633" s="69"/>
      <c r="C633" s="69"/>
      <c r="D633" s="69"/>
      <c r="E633" s="69"/>
      <c r="F633" s="69"/>
      <c r="G633" s="169"/>
    </row>
    <row r="634" spans="1:7" x14ac:dyDescent="0.55000000000000004">
      <c r="A634" s="86">
        <v>582</v>
      </c>
      <c r="B634" s="69"/>
      <c r="C634" s="69"/>
      <c r="D634" s="69"/>
      <c r="E634" s="69"/>
      <c r="F634" s="69"/>
      <c r="G634" s="169"/>
    </row>
    <row r="635" spans="1:7" x14ac:dyDescent="0.55000000000000004">
      <c r="A635" s="86">
        <v>583</v>
      </c>
      <c r="B635" s="69"/>
      <c r="C635" s="69"/>
      <c r="D635" s="69"/>
      <c r="E635" s="69"/>
      <c r="F635" s="69"/>
      <c r="G635" s="169"/>
    </row>
    <row r="636" spans="1:7" x14ac:dyDescent="0.55000000000000004">
      <c r="A636" s="86">
        <v>584</v>
      </c>
      <c r="B636" s="69"/>
      <c r="C636" s="69"/>
      <c r="D636" s="69"/>
      <c r="E636" s="69"/>
      <c r="F636" s="69"/>
      <c r="G636" s="169"/>
    </row>
    <row r="637" spans="1:7" x14ac:dyDescent="0.55000000000000004">
      <c r="A637" s="86">
        <v>585</v>
      </c>
      <c r="B637" s="69"/>
      <c r="C637" s="69"/>
      <c r="D637" s="69"/>
      <c r="E637" s="69"/>
      <c r="F637" s="69"/>
      <c r="G637" s="169"/>
    </row>
    <row r="638" spans="1:7" x14ac:dyDescent="0.55000000000000004">
      <c r="A638" s="86">
        <v>586</v>
      </c>
      <c r="B638" s="69"/>
      <c r="C638" s="69"/>
      <c r="D638" s="69"/>
      <c r="E638" s="69"/>
      <c r="F638" s="69"/>
      <c r="G638" s="169"/>
    </row>
    <row r="639" spans="1:7" x14ac:dyDescent="0.55000000000000004">
      <c r="A639" s="86">
        <v>587</v>
      </c>
      <c r="B639" s="69"/>
      <c r="C639" s="69"/>
      <c r="D639" s="69"/>
      <c r="E639" s="69"/>
      <c r="F639" s="69"/>
      <c r="G639" s="169"/>
    </row>
    <row r="640" spans="1:7" x14ac:dyDescent="0.55000000000000004">
      <c r="A640" s="86">
        <v>588</v>
      </c>
      <c r="B640" s="69"/>
      <c r="C640" s="69"/>
      <c r="D640" s="69"/>
      <c r="E640" s="69"/>
      <c r="F640" s="69"/>
      <c r="G640" s="169"/>
    </row>
    <row r="641" spans="1:7" x14ac:dyDescent="0.55000000000000004">
      <c r="A641" s="86">
        <v>589</v>
      </c>
      <c r="B641" s="69"/>
      <c r="C641" s="69"/>
      <c r="D641" s="69"/>
      <c r="E641" s="69"/>
      <c r="F641" s="69"/>
      <c r="G641" s="169"/>
    </row>
    <row r="642" spans="1:7" x14ac:dyDescent="0.55000000000000004">
      <c r="A642" s="86">
        <v>590</v>
      </c>
      <c r="B642" s="69"/>
      <c r="C642" s="69"/>
      <c r="D642" s="69"/>
      <c r="E642" s="69"/>
      <c r="F642" s="69"/>
      <c r="G642" s="169"/>
    </row>
    <row r="643" spans="1:7" x14ac:dyDescent="0.55000000000000004">
      <c r="A643" s="86">
        <v>591</v>
      </c>
      <c r="B643" s="69"/>
      <c r="C643" s="69"/>
      <c r="D643" s="69"/>
      <c r="E643" s="69"/>
      <c r="F643" s="69"/>
      <c r="G643" s="169"/>
    </row>
    <row r="644" spans="1:7" x14ac:dyDescent="0.55000000000000004">
      <c r="A644" s="86">
        <v>592</v>
      </c>
      <c r="B644" s="69"/>
      <c r="C644" s="69"/>
      <c r="D644" s="69"/>
      <c r="E644" s="69"/>
      <c r="F644" s="69"/>
      <c r="G644" s="169"/>
    </row>
    <row r="645" spans="1:7" x14ac:dyDescent="0.55000000000000004">
      <c r="A645" s="86">
        <v>593</v>
      </c>
      <c r="B645" s="69"/>
      <c r="C645" s="69"/>
      <c r="D645" s="69"/>
      <c r="E645" s="69"/>
      <c r="F645" s="69"/>
      <c r="G645" s="169"/>
    </row>
    <row r="646" spans="1:7" x14ac:dyDescent="0.55000000000000004">
      <c r="A646" s="86">
        <v>594</v>
      </c>
      <c r="B646" s="69"/>
      <c r="C646" s="69"/>
      <c r="D646" s="69"/>
      <c r="E646" s="69"/>
      <c r="F646" s="69"/>
      <c r="G646" s="169"/>
    </row>
    <row r="647" spans="1:7" x14ac:dyDescent="0.55000000000000004">
      <c r="A647" s="86">
        <v>595</v>
      </c>
      <c r="B647" s="69"/>
      <c r="C647" s="69"/>
      <c r="D647" s="69"/>
      <c r="E647" s="69"/>
      <c r="F647" s="69"/>
      <c r="G647" s="169"/>
    </row>
    <row r="648" spans="1:7" x14ac:dyDescent="0.55000000000000004">
      <c r="A648" s="86">
        <v>596</v>
      </c>
      <c r="B648" s="69"/>
      <c r="C648" s="69"/>
      <c r="D648" s="69"/>
      <c r="E648" s="69"/>
      <c r="F648" s="69"/>
      <c r="G648" s="169"/>
    </row>
    <row r="649" spans="1:7" x14ac:dyDescent="0.55000000000000004">
      <c r="A649" s="86">
        <v>597</v>
      </c>
      <c r="B649" s="69"/>
      <c r="C649" s="69"/>
      <c r="D649" s="69"/>
      <c r="E649" s="69"/>
      <c r="F649" s="69"/>
      <c r="G649" s="169"/>
    </row>
    <row r="650" spans="1:7" x14ac:dyDescent="0.55000000000000004">
      <c r="A650" s="86">
        <v>598</v>
      </c>
      <c r="B650" s="69"/>
      <c r="C650" s="69"/>
      <c r="D650" s="69"/>
      <c r="E650" s="69"/>
      <c r="F650" s="69"/>
      <c r="G650" s="169"/>
    </row>
    <row r="651" spans="1:7" x14ac:dyDescent="0.55000000000000004">
      <c r="A651" s="86">
        <v>599</v>
      </c>
      <c r="B651" s="69"/>
      <c r="C651" s="69"/>
      <c r="D651" s="69"/>
      <c r="E651" s="69"/>
      <c r="F651" s="69"/>
      <c r="G651" s="169"/>
    </row>
    <row r="652" spans="1:7" x14ac:dyDescent="0.55000000000000004">
      <c r="A652" s="86">
        <v>600</v>
      </c>
      <c r="B652" s="69"/>
      <c r="C652" s="69"/>
      <c r="D652" s="69"/>
      <c r="E652" s="69"/>
      <c r="F652" s="69"/>
      <c r="G652" s="169"/>
    </row>
    <row r="653" spans="1:7" x14ac:dyDescent="0.55000000000000004">
      <c r="A653" s="86">
        <v>601</v>
      </c>
      <c r="B653" s="69"/>
      <c r="C653" s="69"/>
      <c r="D653" s="69"/>
      <c r="E653" s="69"/>
      <c r="F653" s="69"/>
      <c r="G653" s="169"/>
    </row>
    <row r="654" spans="1:7" x14ac:dyDescent="0.55000000000000004">
      <c r="A654" s="86">
        <v>602</v>
      </c>
      <c r="B654" s="69"/>
      <c r="C654" s="69"/>
      <c r="D654" s="69"/>
      <c r="E654" s="69"/>
      <c r="F654" s="69"/>
      <c r="G654" s="169"/>
    </row>
    <row r="655" spans="1:7" x14ac:dyDescent="0.55000000000000004">
      <c r="A655" s="86">
        <v>603</v>
      </c>
      <c r="B655" s="69"/>
      <c r="C655" s="69"/>
      <c r="D655" s="69"/>
      <c r="E655" s="69"/>
      <c r="F655" s="69"/>
      <c r="G655" s="169"/>
    </row>
    <row r="656" spans="1:7" x14ac:dyDescent="0.55000000000000004">
      <c r="A656" s="86">
        <v>604</v>
      </c>
      <c r="B656" s="69"/>
      <c r="C656" s="69"/>
      <c r="D656" s="69"/>
      <c r="E656" s="69"/>
      <c r="F656" s="69"/>
      <c r="G656" s="169"/>
    </row>
    <row r="657" spans="1:7" x14ac:dyDescent="0.55000000000000004">
      <c r="A657" s="86">
        <v>605</v>
      </c>
      <c r="B657" s="69"/>
      <c r="C657" s="69"/>
      <c r="D657" s="69"/>
      <c r="E657" s="69"/>
      <c r="F657" s="69"/>
      <c r="G657" s="169"/>
    </row>
    <row r="658" spans="1:7" x14ac:dyDescent="0.55000000000000004">
      <c r="A658" s="86">
        <v>606</v>
      </c>
      <c r="B658" s="69"/>
      <c r="C658" s="69"/>
      <c r="D658" s="69"/>
      <c r="E658" s="69"/>
      <c r="F658" s="69"/>
      <c r="G658" s="169"/>
    </row>
    <row r="659" spans="1:7" x14ac:dyDescent="0.55000000000000004">
      <c r="A659" s="86">
        <v>607</v>
      </c>
      <c r="B659" s="69"/>
      <c r="C659" s="69"/>
      <c r="D659" s="69"/>
      <c r="E659" s="69"/>
      <c r="F659" s="69"/>
      <c r="G659" s="169"/>
    </row>
    <row r="660" spans="1:7" x14ac:dyDescent="0.55000000000000004">
      <c r="A660" s="86">
        <v>608</v>
      </c>
      <c r="B660" s="69"/>
      <c r="C660" s="69"/>
      <c r="D660" s="69"/>
      <c r="E660" s="69"/>
      <c r="F660" s="69"/>
      <c r="G660" s="169"/>
    </row>
    <row r="661" spans="1:7" x14ac:dyDescent="0.55000000000000004">
      <c r="A661" s="86">
        <v>609</v>
      </c>
      <c r="B661" s="69"/>
      <c r="C661" s="69"/>
      <c r="D661" s="69"/>
      <c r="E661" s="69"/>
      <c r="F661" s="69"/>
      <c r="G661" s="169"/>
    </row>
    <row r="662" spans="1:7" x14ac:dyDescent="0.55000000000000004">
      <c r="A662" s="86">
        <v>610</v>
      </c>
      <c r="B662" s="69"/>
      <c r="C662" s="69"/>
      <c r="D662" s="69"/>
      <c r="E662" s="69"/>
      <c r="F662" s="69"/>
      <c r="G662" s="169"/>
    </row>
    <row r="663" spans="1:7" x14ac:dyDescent="0.55000000000000004">
      <c r="A663" s="86">
        <v>611</v>
      </c>
      <c r="B663" s="69"/>
      <c r="C663" s="69"/>
      <c r="D663" s="69"/>
      <c r="E663" s="69"/>
      <c r="F663" s="69"/>
      <c r="G663" s="169"/>
    </row>
    <row r="664" spans="1:7" x14ac:dyDescent="0.55000000000000004">
      <c r="A664" s="86">
        <v>612</v>
      </c>
      <c r="B664" s="69"/>
      <c r="C664" s="69"/>
      <c r="D664" s="69"/>
      <c r="E664" s="69"/>
      <c r="F664" s="69"/>
      <c r="G664" s="169"/>
    </row>
    <row r="665" spans="1:7" x14ac:dyDescent="0.55000000000000004">
      <c r="A665" s="86">
        <v>613</v>
      </c>
      <c r="B665" s="69"/>
      <c r="C665" s="69"/>
      <c r="D665" s="69"/>
      <c r="E665" s="69"/>
      <c r="F665" s="69"/>
      <c r="G665" s="169"/>
    </row>
    <row r="666" spans="1:7" x14ac:dyDescent="0.55000000000000004">
      <c r="A666" s="86">
        <v>614</v>
      </c>
      <c r="B666" s="69"/>
      <c r="C666" s="69"/>
      <c r="D666" s="69"/>
      <c r="E666" s="69"/>
      <c r="F666" s="69"/>
      <c r="G666" s="169"/>
    </row>
    <row r="667" spans="1:7" x14ac:dyDescent="0.55000000000000004">
      <c r="A667" s="86">
        <v>615</v>
      </c>
      <c r="B667" s="69"/>
      <c r="C667" s="69"/>
      <c r="D667" s="69"/>
      <c r="E667" s="69"/>
      <c r="F667" s="69"/>
      <c r="G667" s="169"/>
    </row>
    <row r="668" spans="1:7" x14ac:dyDescent="0.55000000000000004">
      <c r="A668" s="86">
        <v>616</v>
      </c>
      <c r="B668" s="69"/>
      <c r="C668" s="69"/>
      <c r="D668" s="69"/>
      <c r="E668" s="69"/>
      <c r="F668" s="69"/>
      <c r="G668" s="169"/>
    </row>
    <row r="669" spans="1:7" x14ac:dyDescent="0.55000000000000004">
      <c r="A669" s="86">
        <v>617</v>
      </c>
      <c r="B669" s="69"/>
      <c r="C669" s="69"/>
      <c r="D669" s="69"/>
      <c r="E669" s="69"/>
      <c r="F669" s="69"/>
      <c r="G669" s="169"/>
    </row>
    <row r="670" spans="1:7" x14ac:dyDescent="0.55000000000000004">
      <c r="A670" s="86">
        <v>618</v>
      </c>
      <c r="B670" s="69"/>
      <c r="C670" s="69"/>
      <c r="D670" s="69"/>
      <c r="E670" s="69"/>
      <c r="F670" s="69"/>
      <c r="G670" s="169"/>
    </row>
    <row r="671" spans="1:7" x14ac:dyDescent="0.55000000000000004">
      <c r="A671" s="86">
        <v>619</v>
      </c>
      <c r="B671" s="69"/>
      <c r="C671" s="69"/>
      <c r="D671" s="69"/>
      <c r="E671" s="69"/>
      <c r="F671" s="69"/>
      <c r="G671" s="169"/>
    </row>
    <row r="672" spans="1:7" x14ac:dyDescent="0.55000000000000004">
      <c r="A672" s="86">
        <v>620</v>
      </c>
      <c r="B672" s="69"/>
      <c r="C672" s="69"/>
      <c r="D672" s="69"/>
      <c r="E672" s="69"/>
      <c r="F672" s="69"/>
      <c r="G672" s="169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1"/>
  <sheetViews>
    <sheetView rightToLeft="1" zoomScale="64" zoomScaleNormal="64" workbookViewId="0">
      <selection activeCell="C10" sqref="C10"/>
    </sheetView>
  </sheetViews>
  <sheetFormatPr defaultRowHeight="31" x14ac:dyDescent="0.7"/>
  <cols>
    <col min="1" max="1" width="5.36328125" bestFit="1" customWidth="1"/>
    <col min="2" max="2" width="34.7265625" style="59" customWidth="1"/>
    <col min="3" max="3" width="6.36328125" style="59" customWidth="1"/>
    <col min="4" max="4" width="17.90625" style="59" bestFit="1" customWidth="1"/>
    <col min="5" max="6" width="23.08984375" style="59" customWidth="1"/>
    <col min="7" max="7" width="31.7265625" style="59" bestFit="1" customWidth="1"/>
    <col min="8" max="8" width="12.7265625" style="59" customWidth="1"/>
  </cols>
  <sheetData>
    <row r="1" spans="1:9" ht="30" customHeight="1" x14ac:dyDescent="0.35">
      <c r="A1" s="26"/>
      <c r="B1" s="262" t="s">
        <v>130</v>
      </c>
      <c r="C1" s="262"/>
      <c r="D1" s="262"/>
      <c r="E1" s="262"/>
      <c r="F1" s="262"/>
      <c r="G1" s="263"/>
      <c r="H1" s="207"/>
    </row>
    <row r="2" spans="1:9" ht="30" customHeight="1" x14ac:dyDescent="0.7">
      <c r="A2" s="26"/>
      <c r="B2" s="262"/>
      <c r="C2" s="262"/>
      <c r="D2" s="262"/>
      <c r="E2" s="262"/>
      <c r="F2" s="262"/>
      <c r="G2" s="263"/>
      <c r="H2" s="207"/>
      <c r="I2" s="59"/>
    </row>
    <row r="3" spans="1:9" ht="14.25" customHeight="1" x14ac:dyDescent="0.35">
      <c r="A3" s="26"/>
      <c r="B3" s="262"/>
      <c r="C3" s="262"/>
      <c r="D3" s="262"/>
      <c r="E3" s="262"/>
      <c r="F3" s="262"/>
      <c r="G3" s="263"/>
      <c r="H3" s="203"/>
    </row>
    <row r="4" spans="1:9" ht="14.25" customHeight="1" x14ac:dyDescent="0.35">
      <c r="A4" s="26"/>
      <c r="B4" s="264"/>
      <c r="C4" s="264"/>
      <c r="D4" s="264"/>
      <c r="E4" s="264"/>
      <c r="F4" s="264"/>
      <c r="G4" s="265"/>
      <c r="H4" s="207"/>
    </row>
    <row r="5" spans="1:9" x14ac:dyDescent="0.35">
      <c r="A5" s="25" t="s">
        <v>0</v>
      </c>
      <c r="B5" s="25" t="s">
        <v>7</v>
      </c>
      <c r="C5" s="25" t="s">
        <v>1</v>
      </c>
      <c r="D5" s="25" t="s">
        <v>4</v>
      </c>
      <c r="E5" s="25" t="s">
        <v>3</v>
      </c>
      <c r="F5" s="25" t="s">
        <v>15</v>
      </c>
      <c r="G5" s="25" t="s">
        <v>25</v>
      </c>
      <c r="H5" s="162" t="s">
        <v>6</v>
      </c>
    </row>
    <row r="6" spans="1:9" s="67" customFormat="1" ht="28.5" x14ac:dyDescent="0.55000000000000004">
      <c r="A6" s="86">
        <v>1</v>
      </c>
      <c r="B6" s="74" t="s">
        <v>260</v>
      </c>
      <c r="C6" s="74" t="s">
        <v>141</v>
      </c>
      <c r="D6" s="74" t="s">
        <v>261</v>
      </c>
      <c r="E6" s="74">
        <v>1112898172</v>
      </c>
      <c r="F6" s="74" t="s">
        <v>232</v>
      </c>
      <c r="G6" s="128" t="s">
        <v>232</v>
      </c>
      <c r="H6" s="208">
        <v>45446</v>
      </c>
    </row>
    <row r="7" spans="1:9" x14ac:dyDescent="0.55000000000000004">
      <c r="A7" s="101">
        <v>2</v>
      </c>
      <c r="B7" s="74" t="s">
        <v>262</v>
      </c>
      <c r="C7" s="89" t="s">
        <v>148</v>
      </c>
      <c r="D7" s="74" t="s">
        <v>212</v>
      </c>
      <c r="E7" s="74">
        <v>1144750702</v>
      </c>
      <c r="F7" s="74" t="s">
        <v>232</v>
      </c>
      <c r="G7" s="128" t="s">
        <v>232</v>
      </c>
      <c r="H7" s="209">
        <v>45446</v>
      </c>
    </row>
    <row r="8" spans="1:9" ht="28.5" x14ac:dyDescent="0.55000000000000004">
      <c r="A8" s="86">
        <v>3</v>
      </c>
      <c r="B8" s="89" t="s">
        <v>180</v>
      </c>
      <c r="C8" s="89" t="s">
        <v>141</v>
      </c>
      <c r="D8" s="74" t="s">
        <v>212</v>
      </c>
      <c r="E8" s="88" t="s">
        <v>134</v>
      </c>
      <c r="F8" s="74" t="s">
        <v>133</v>
      </c>
      <c r="G8" s="88" t="s">
        <v>133</v>
      </c>
      <c r="H8" s="206">
        <v>45451</v>
      </c>
    </row>
    <row r="9" spans="1:9" ht="28.5" x14ac:dyDescent="0.55000000000000004">
      <c r="A9" s="86">
        <v>4</v>
      </c>
      <c r="B9" s="89" t="s">
        <v>415</v>
      </c>
      <c r="C9" s="89" t="s">
        <v>141</v>
      </c>
      <c r="D9" s="74" t="s">
        <v>212</v>
      </c>
      <c r="E9" s="88">
        <v>1123518224</v>
      </c>
      <c r="F9" s="88" t="s">
        <v>135</v>
      </c>
      <c r="G9" s="88" t="s">
        <v>135</v>
      </c>
      <c r="H9" s="206">
        <v>45455</v>
      </c>
    </row>
    <row r="10" spans="1:9" ht="28.5" x14ac:dyDescent="0.55000000000000004">
      <c r="A10" s="86">
        <v>5</v>
      </c>
      <c r="B10" s="89" t="s">
        <v>415</v>
      </c>
      <c r="C10" s="89" t="s">
        <v>148</v>
      </c>
      <c r="D10" s="74" t="s">
        <v>212</v>
      </c>
      <c r="E10" s="88">
        <v>1123518224</v>
      </c>
      <c r="F10" s="88" t="s">
        <v>135</v>
      </c>
      <c r="G10" s="88" t="s">
        <v>135</v>
      </c>
      <c r="H10" s="206">
        <v>45456</v>
      </c>
    </row>
    <row r="11" spans="1:9" x14ac:dyDescent="0.7">
      <c r="A11" s="86">
        <v>6</v>
      </c>
      <c r="B11" s="74"/>
      <c r="C11" s="74"/>
      <c r="D11" s="74"/>
      <c r="F11" s="74"/>
      <c r="G11" s="128"/>
      <c r="H11" s="185"/>
    </row>
    <row r="12" spans="1:9" x14ac:dyDescent="0.7">
      <c r="A12" s="86">
        <v>7</v>
      </c>
      <c r="B12" s="66"/>
      <c r="C12" s="60"/>
      <c r="D12" s="66"/>
      <c r="E12" s="12"/>
      <c r="F12" s="66"/>
      <c r="G12" s="14"/>
      <c r="H12" s="185"/>
    </row>
    <row r="13" spans="1:9" x14ac:dyDescent="0.7">
      <c r="A13" s="86">
        <v>8</v>
      </c>
      <c r="B13" s="66"/>
      <c r="C13" s="66"/>
      <c r="D13" s="66"/>
      <c r="E13" s="66"/>
      <c r="F13" s="66"/>
      <c r="G13" s="14"/>
      <c r="H13" s="185"/>
    </row>
    <row r="14" spans="1:9" x14ac:dyDescent="0.7">
      <c r="A14" s="86">
        <v>9</v>
      </c>
      <c r="B14" s="66"/>
      <c r="C14" s="66"/>
      <c r="D14" s="66"/>
      <c r="E14" s="66"/>
      <c r="F14" s="66"/>
      <c r="G14" s="14"/>
      <c r="H14" s="185"/>
    </row>
    <row r="15" spans="1:9" x14ac:dyDescent="0.7">
      <c r="A15" s="86">
        <v>10</v>
      </c>
      <c r="B15" s="8"/>
      <c r="C15" s="66"/>
      <c r="D15" s="8"/>
      <c r="E15" s="8"/>
      <c r="F15" s="66"/>
      <c r="G15" s="14"/>
      <c r="H15" s="185"/>
    </row>
    <row r="16" spans="1:9" x14ac:dyDescent="0.7">
      <c r="A16" s="86">
        <v>11</v>
      </c>
      <c r="B16" s="66"/>
      <c r="C16" s="8"/>
      <c r="D16" s="8"/>
      <c r="E16" s="8"/>
      <c r="F16" s="8"/>
      <c r="G16" s="14"/>
      <c r="H16" s="185"/>
    </row>
    <row r="17" spans="1:8" x14ac:dyDescent="0.7">
      <c r="A17" s="86">
        <v>12</v>
      </c>
      <c r="B17" s="66"/>
      <c r="C17" s="66"/>
      <c r="D17" s="66"/>
      <c r="E17" s="66"/>
      <c r="F17" s="66"/>
      <c r="G17" s="14"/>
      <c r="H17" s="185"/>
    </row>
    <row r="18" spans="1:8" x14ac:dyDescent="0.7">
      <c r="A18" s="86">
        <v>13</v>
      </c>
      <c r="B18" s="66"/>
      <c r="C18" s="66"/>
      <c r="D18" s="66"/>
      <c r="E18" s="66"/>
      <c r="F18" s="66"/>
      <c r="G18" s="14"/>
      <c r="H18" s="185"/>
    </row>
    <row r="19" spans="1:8" x14ac:dyDescent="0.7">
      <c r="A19" s="86">
        <v>14</v>
      </c>
      <c r="B19" s="66"/>
      <c r="C19" s="66"/>
      <c r="D19" s="66"/>
      <c r="E19" s="66"/>
      <c r="F19" s="66"/>
      <c r="G19" s="14"/>
      <c r="H19" s="185"/>
    </row>
    <row r="20" spans="1:8" x14ac:dyDescent="0.7">
      <c r="A20" s="86">
        <v>15</v>
      </c>
      <c r="B20" s="66"/>
      <c r="C20" s="66"/>
      <c r="D20" s="66"/>
      <c r="E20" s="66"/>
      <c r="F20" s="66"/>
      <c r="G20" s="14"/>
      <c r="H20" s="185"/>
    </row>
    <row r="21" spans="1:8" x14ac:dyDescent="0.7">
      <c r="A21" s="86">
        <v>16</v>
      </c>
      <c r="B21" s="66"/>
      <c r="C21" s="66"/>
      <c r="D21" s="66"/>
      <c r="E21" s="66"/>
      <c r="F21" s="66"/>
      <c r="G21" s="14"/>
      <c r="H21" s="185"/>
    </row>
    <row r="22" spans="1:8" x14ac:dyDescent="0.7">
      <c r="A22" s="86">
        <v>17</v>
      </c>
      <c r="B22" s="66"/>
      <c r="C22" s="66"/>
      <c r="D22" s="66"/>
      <c r="E22" s="66"/>
      <c r="F22" s="66"/>
      <c r="G22" s="14"/>
      <c r="H22" s="185"/>
    </row>
    <row r="23" spans="1:8" x14ac:dyDescent="0.7">
      <c r="A23" s="86">
        <v>18</v>
      </c>
      <c r="B23" s="66"/>
      <c r="C23" s="66"/>
      <c r="D23" s="66"/>
      <c r="E23" s="66"/>
      <c r="F23" s="66"/>
      <c r="G23" s="14"/>
      <c r="H23" s="185"/>
    </row>
    <row r="24" spans="1:8" x14ac:dyDescent="0.7">
      <c r="A24" s="86">
        <v>19</v>
      </c>
      <c r="B24" s="66"/>
      <c r="C24" s="66"/>
      <c r="D24" s="66"/>
      <c r="E24" s="66"/>
      <c r="F24" s="66"/>
      <c r="G24" s="14"/>
      <c r="H24" s="185"/>
    </row>
    <row r="25" spans="1:8" x14ac:dyDescent="0.7">
      <c r="A25" s="86">
        <v>20</v>
      </c>
      <c r="B25" s="66"/>
      <c r="C25" s="66"/>
      <c r="D25" s="66"/>
      <c r="E25" s="66"/>
      <c r="F25" s="66"/>
      <c r="G25" s="14"/>
      <c r="H25" s="185"/>
    </row>
    <row r="26" spans="1:8" x14ac:dyDescent="0.7">
      <c r="A26" s="86">
        <v>21</v>
      </c>
      <c r="B26" s="66"/>
      <c r="C26" s="66"/>
      <c r="D26" s="66"/>
      <c r="E26" s="66"/>
      <c r="F26" s="66"/>
      <c r="G26" s="14"/>
      <c r="H26" s="185"/>
    </row>
    <row r="27" spans="1:8" x14ac:dyDescent="0.7">
      <c r="A27" s="86">
        <v>22</v>
      </c>
      <c r="B27" s="66"/>
      <c r="C27" s="66"/>
      <c r="D27" s="66"/>
      <c r="E27" s="66"/>
      <c r="F27" s="66"/>
      <c r="G27" s="14"/>
      <c r="H27" s="185"/>
    </row>
    <row r="28" spans="1:8" x14ac:dyDescent="0.7">
      <c r="A28" s="86">
        <v>23</v>
      </c>
      <c r="B28" s="66"/>
      <c r="C28" s="66"/>
      <c r="D28" s="66"/>
      <c r="E28" s="66"/>
      <c r="F28" s="66"/>
      <c r="G28" s="14"/>
      <c r="H28" s="185"/>
    </row>
    <row r="29" spans="1:8" x14ac:dyDescent="0.7">
      <c r="A29" s="86">
        <v>24</v>
      </c>
      <c r="B29" s="66"/>
      <c r="C29" s="66"/>
      <c r="D29" s="66"/>
      <c r="E29" s="66"/>
      <c r="F29" s="66"/>
      <c r="G29" s="14"/>
      <c r="H29" s="185"/>
    </row>
    <row r="30" spans="1:8" x14ac:dyDescent="0.7">
      <c r="A30" s="86">
        <v>25</v>
      </c>
      <c r="B30" s="8"/>
      <c r="C30" s="8"/>
      <c r="D30" s="8"/>
      <c r="E30" s="8"/>
      <c r="F30" s="8"/>
      <c r="G30" s="14"/>
      <c r="H30" s="185"/>
    </row>
    <row r="31" spans="1:8" x14ac:dyDescent="0.7">
      <c r="A31" s="86">
        <v>26</v>
      </c>
      <c r="B31" s="8"/>
      <c r="C31" s="8"/>
      <c r="D31" s="8"/>
      <c r="E31" s="8"/>
      <c r="F31" s="8"/>
      <c r="G31" s="14"/>
      <c r="H31" s="185"/>
    </row>
    <row r="32" spans="1:8" x14ac:dyDescent="0.7">
      <c r="A32" s="86">
        <v>27</v>
      </c>
      <c r="B32" s="8"/>
      <c r="C32" s="8"/>
      <c r="D32" s="8"/>
      <c r="E32" s="8"/>
      <c r="F32" s="8"/>
      <c r="G32" s="14"/>
      <c r="H32" s="185"/>
    </row>
    <row r="33" spans="1:8" x14ac:dyDescent="0.7">
      <c r="A33" s="86">
        <v>28</v>
      </c>
      <c r="B33" s="8"/>
      <c r="C33" s="8"/>
      <c r="D33" s="8"/>
      <c r="E33" s="8"/>
      <c r="F33" s="8"/>
      <c r="G33" s="14"/>
      <c r="H33" s="185"/>
    </row>
    <row r="34" spans="1:8" x14ac:dyDescent="0.7">
      <c r="A34" s="86">
        <v>29</v>
      </c>
      <c r="B34" s="8"/>
      <c r="C34" s="8"/>
      <c r="D34" s="8"/>
      <c r="E34" s="8"/>
      <c r="F34" s="8"/>
      <c r="G34" s="14"/>
      <c r="H34" s="185"/>
    </row>
    <row r="35" spans="1:8" x14ac:dyDescent="0.7">
      <c r="A35" s="1"/>
      <c r="B35" s="8"/>
      <c r="C35" s="8"/>
      <c r="D35" s="8"/>
      <c r="E35" s="8"/>
      <c r="F35" s="8"/>
      <c r="G35" s="14"/>
      <c r="H35" s="185"/>
    </row>
    <row r="36" spans="1:8" x14ac:dyDescent="0.7">
      <c r="A36" s="1"/>
      <c r="B36" s="8"/>
      <c r="C36" s="8"/>
      <c r="D36" s="8"/>
      <c r="E36" s="8"/>
      <c r="F36" s="8"/>
      <c r="G36" s="14"/>
      <c r="H36" s="185"/>
    </row>
    <row r="37" spans="1:8" x14ac:dyDescent="0.7">
      <c r="A37" s="1"/>
      <c r="B37" s="8"/>
      <c r="C37" s="8"/>
      <c r="D37" s="8"/>
      <c r="E37" s="8"/>
      <c r="F37" s="8"/>
      <c r="G37" s="14"/>
      <c r="H37" s="185"/>
    </row>
    <row r="38" spans="1:8" x14ac:dyDescent="0.7">
      <c r="A38" s="1"/>
      <c r="B38" s="8"/>
      <c r="C38" s="8"/>
      <c r="D38" s="8"/>
      <c r="E38" s="8"/>
      <c r="F38" s="8"/>
      <c r="G38" s="14"/>
      <c r="H38" s="185"/>
    </row>
    <row r="39" spans="1:8" x14ac:dyDescent="0.7">
      <c r="A39" s="1"/>
      <c r="B39" s="8"/>
      <c r="C39" s="8"/>
      <c r="D39" s="8"/>
      <c r="E39" s="8"/>
      <c r="F39" s="8"/>
      <c r="G39" s="14"/>
      <c r="H39" s="185"/>
    </row>
    <row r="40" spans="1:8" x14ac:dyDescent="0.7">
      <c r="A40" s="1"/>
      <c r="B40" s="8"/>
      <c r="C40" s="8"/>
      <c r="D40" s="8"/>
      <c r="E40" s="8"/>
      <c r="F40" s="8"/>
      <c r="G40" s="14"/>
      <c r="H40" s="185"/>
    </row>
    <row r="41" spans="1:8" x14ac:dyDescent="0.7">
      <c r="A41" s="1"/>
      <c r="B41" s="8"/>
      <c r="C41" s="8"/>
      <c r="D41" s="8"/>
      <c r="E41" s="8"/>
      <c r="F41" s="8"/>
      <c r="G41" s="14"/>
      <c r="H41" s="185"/>
    </row>
    <row r="42" spans="1:8" x14ac:dyDescent="0.7">
      <c r="A42" s="1"/>
      <c r="B42" s="8"/>
      <c r="C42" s="8"/>
      <c r="D42" s="8"/>
      <c r="E42" s="8"/>
      <c r="F42" s="8"/>
      <c r="G42" s="14"/>
      <c r="H42" s="185"/>
    </row>
    <row r="43" spans="1:8" x14ac:dyDescent="0.7">
      <c r="A43" s="1"/>
      <c r="B43" s="8"/>
      <c r="C43" s="8"/>
      <c r="D43" s="8"/>
      <c r="E43" s="8"/>
      <c r="F43" s="8"/>
      <c r="G43" s="14"/>
      <c r="H43" s="185"/>
    </row>
    <row r="44" spans="1:8" x14ac:dyDescent="0.7">
      <c r="A44" s="1"/>
      <c r="B44" s="8"/>
      <c r="C44" s="8"/>
      <c r="D44" s="8"/>
      <c r="E44" s="8"/>
      <c r="F44" s="8"/>
      <c r="G44" s="14"/>
      <c r="H44" s="185"/>
    </row>
    <row r="45" spans="1:8" x14ac:dyDescent="0.7">
      <c r="A45" s="1"/>
      <c r="B45" s="8"/>
      <c r="C45" s="8"/>
      <c r="D45" s="8"/>
      <c r="E45" s="8"/>
      <c r="F45" s="8"/>
      <c r="G45" s="14"/>
      <c r="H45" s="185"/>
    </row>
    <row r="46" spans="1:8" x14ac:dyDescent="0.7">
      <c r="A46" s="1"/>
      <c r="B46" s="8"/>
      <c r="C46" s="8"/>
      <c r="D46" s="8"/>
      <c r="E46" s="8"/>
      <c r="F46" s="8"/>
      <c r="G46" s="14"/>
      <c r="H46" s="185"/>
    </row>
    <row r="47" spans="1:8" x14ac:dyDescent="0.7">
      <c r="A47" s="1"/>
      <c r="B47" s="8"/>
      <c r="C47" s="8"/>
      <c r="D47" s="8"/>
      <c r="E47" s="8"/>
      <c r="F47" s="8"/>
      <c r="G47" s="14"/>
      <c r="H47" s="185"/>
    </row>
    <row r="48" spans="1:8" x14ac:dyDescent="0.7">
      <c r="A48" s="1"/>
      <c r="B48" s="8"/>
      <c r="C48" s="8"/>
      <c r="D48" s="8"/>
      <c r="E48" s="8"/>
      <c r="F48" s="8"/>
      <c r="G48" s="14"/>
      <c r="H48" s="185"/>
    </row>
    <row r="49" spans="1:8" x14ac:dyDescent="0.7">
      <c r="A49" s="1"/>
      <c r="B49" s="8"/>
      <c r="C49" s="8"/>
      <c r="D49" s="8"/>
      <c r="E49" s="8"/>
      <c r="F49" s="8"/>
      <c r="G49" s="14"/>
      <c r="H49" s="185"/>
    </row>
    <row r="50" spans="1:8" x14ac:dyDescent="0.7">
      <c r="A50" s="1"/>
      <c r="B50" s="8"/>
      <c r="C50" s="8"/>
      <c r="D50" s="8"/>
      <c r="E50" s="8"/>
      <c r="F50" s="8"/>
      <c r="G50" s="14"/>
      <c r="H50" s="185"/>
    </row>
    <row r="51" spans="1:8" x14ac:dyDescent="0.7">
      <c r="A51" s="1"/>
      <c r="B51" s="8"/>
      <c r="C51" s="8"/>
      <c r="D51" s="8"/>
      <c r="E51" s="8"/>
      <c r="F51" s="8"/>
      <c r="G51" s="14"/>
      <c r="H51" s="185"/>
    </row>
    <row r="52" spans="1:8" x14ac:dyDescent="0.7">
      <c r="A52" s="1"/>
      <c r="B52" s="8"/>
      <c r="C52" s="8"/>
      <c r="D52" s="8"/>
      <c r="E52" s="8"/>
      <c r="F52" s="8"/>
      <c r="G52" s="14"/>
      <c r="H52" s="185"/>
    </row>
    <row r="53" spans="1:8" x14ac:dyDescent="0.7">
      <c r="A53" s="1"/>
      <c r="B53" s="8"/>
      <c r="C53" s="8"/>
      <c r="D53" s="8"/>
      <c r="E53" s="8"/>
      <c r="F53" s="8"/>
      <c r="G53" s="14"/>
      <c r="H53" s="185"/>
    </row>
    <row r="54" spans="1:8" x14ac:dyDescent="0.7">
      <c r="A54" s="1"/>
      <c r="B54" s="8"/>
      <c r="C54" s="8"/>
      <c r="D54" s="8"/>
      <c r="E54" s="8"/>
      <c r="F54" s="8"/>
      <c r="G54" s="14"/>
      <c r="H54" s="185"/>
    </row>
    <row r="55" spans="1:8" x14ac:dyDescent="0.7">
      <c r="A55" s="1"/>
      <c r="B55" s="8"/>
      <c r="C55" s="8"/>
      <c r="D55" s="8"/>
      <c r="E55" s="8"/>
      <c r="F55" s="8"/>
      <c r="G55" s="14"/>
      <c r="H55" s="185"/>
    </row>
    <row r="56" spans="1:8" x14ac:dyDescent="0.7">
      <c r="A56" s="1"/>
      <c r="B56" s="8"/>
      <c r="C56" s="8"/>
      <c r="D56" s="8"/>
      <c r="E56" s="8"/>
      <c r="F56" s="8"/>
      <c r="G56" s="14"/>
      <c r="H56" s="185"/>
    </row>
    <row r="57" spans="1:8" x14ac:dyDescent="0.7">
      <c r="A57" s="1"/>
      <c r="B57" s="8"/>
      <c r="C57" s="8"/>
      <c r="D57" s="8"/>
      <c r="E57" s="8"/>
      <c r="F57" s="8"/>
      <c r="G57" s="14"/>
      <c r="H57" s="185"/>
    </row>
    <row r="58" spans="1:8" x14ac:dyDescent="0.7">
      <c r="A58" s="1"/>
      <c r="B58" s="8"/>
      <c r="C58" s="8"/>
      <c r="D58" s="8"/>
      <c r="E58" s="8"/>
      <c r="F58" s="8"/>
      <c r="G58" s="14"/>
      <c r="H58" s="185"/>
    </row>
    <row r="59" spans="1:8" x14ac:dyDescent="0.7">
      <c r="A59" s="1"/>
      <c r="B59" s="8"/>
      <c r="C59" s="8"/>
      <c r="D59" s="8"/>
      <c r="E59" s="8"/>
      <c r="F59" s="8"/>
      <c r="G59" s="14"/>
      <c r="H59" s="185"/>
    </row>
    <row r="60" spans="1:8" x14ac:dyDescent="0.7">
      <c r="A60" s="1"/>
      <c r="B60" s="8"/>
      <c r="C60" s="8"/>
      <c r="D60" s="8"/>
      <c r="E60" s="8"/>
      <c r="F60" s="8"/>
      <c r="G60" s="14"/>
      <c r="H60" s="185"/>
    </row>
    <row r="61" spans="1:8" x14ac:dyDescent="0.7">
      <c r="A61" s="1"/>
      <c r="B61" s="8"/>
      <c r="C61" s="8"/>
      <c r="D61" s="8"/>
      <c r="E61" s="8"/>
      <c r="F61" s="8"/>
      <c r="G61" s="14"/>
      <c r="H61" s="185"/>
    </row>
    <row r="62" spans="1:8" x14ac:dyDescent="0.7">
      <c r="A62" s="1"/>
      <c r="B62" s="8"/>
      <c r="C62" s="8"/>
      <c r="D62" s="8"/>
      <c r="E62" s="8"/>
      <c r="F62" s="8"/>
      <c r="G62" s="14"/>
      <c r="H62" s="185"/>
    </row>
    <row r="63" spans="1:8" x14ac:dyDescent="0.7">
      <c r="A63" s="1"/>
      <c r="B63" s="8"/>
      <c r="C63" s="8"/>
      <c r="D63" s="8"/>
      <c r="E63" s="8"/>
      <c r="F63" s="8"/>
      <c r="G63" s="14"/>
      <c r="H63" s="185"/>
    </row>
    <row r="64" spans="1:8" x14ac:dyDescent="0.7">
      <c r="A64" s="1"/>
      <c r="B64" s="8"/>
      <c r="C64" s="8"/>
      <c r="D64" s="8"/>
      <c r="E64" s="8"/>
      <c r="F64" s="8"/>
      <c r="G64" s="14"/>
      <c r="H64" s="185"/>
    </row>
    <row r="65" spans="1:8" x14ac:dyDescent="0.7">
      <c r="A65" s="1"/>
      <c r="B65" s="8"/>
      <c r="C65" s="8"/>
      <c r="D65" s="8"/>
      <c r="E65" s="8"/>
      <c r="F65" s="8"/>
      <c r="G65" s="14"/>
      <c r="H65" s="185"/>
    </row>
    <row r="66" spans="1:8" x14ac:dyDescent="0.7">
      <c r="A66" s="1"/>
      <c r="B66" s="8"/>
      <c r="C66" s="8"/>
      <c r="D66" s="8"/>
      <c r="E66" s="8"/>
      <c r="F66" s="8"/>
      <c r="G66" s="14"/>
      <c r="H66" s="185"/>
    </row>
    <row r="67" spans="1:8" x14ac:dyDescent="0.7">
      <c r="A67" s="1"/>
      <c r="B67" s="8"/>
      <c r="C67" s="8"/>
      <c r="D67" s="8"/>
      <c r="E67" s="8"/>
      <c r="F67" s="8"/>
      <c r="G67" s="14"/>
      <c r="H67" s="185"/>
    </row>
    <row r="68" spans="1:8" x14ac:dyDescent="0.7">
      <c r="A68" s="1"/>
      <c r="B68" s="8"/>
      <c r="C68" s="8"/>
      <c r="D68" s="8"/>
      <c r="E68" s="8"/>
      <c r="F68" s="8"/>
      <c r="G68" s="14"/>
      <c r="H68" s="185"/>
    </row>
    <row r="69" spans="1:8" x14ac:dyDescent="0.7">
      <c r="A69" s="1"/>
      <c r="B69" s="8"/>
      <c r="C69" s="8"/>
      <c r="D69" s="8"/>
      <c r="E69" s="8"/>
      <c r="F69" s="8"/>
      <c r="G69" s="14"/>
      <c r="H69" s="185"/>
    </row>
    <row r="70" spans="1:8" x14ac:dyDescent="0.7">
      <c r="A70" s="1"/>
      <c r="B70" s="8"/>
      <c r="C70" s="8"/>
      <c r="D70" s="8"/>
      <c r="E70" s="8"/>
      <c r="F70" s="8"/>
      <c r="G70" s="14"/>
      <c r="H70" s="185"/>
    </row>
    <row r="71" spans="1:8" x14ac:dyDescent="0.7">
      <c r="A71" s="1"/>
      <c r="B71" s="8"/>
      <c r="C71" s="8"/>
      <c r="D71" s="8"/>
      <c r="E71" s="8"/>
      <c r="F71" s="8"/>
      <c r="G71" s="14"/>
      <c r="H71" s="185"/>
    </row>
    <row r="72" spans="1:8" x14ac:dyDescent="0.7">
      <c r="A72" s="1"/>
      <c r="B72" s="8"/>
      <c r="C72" s="8"/>
      <c r="D72" s="8"/>
      <c r="E72" s="8"/>
      <c r="F72" s="8"/>
      <c r="G72" s="14"/>
      <c r="H72" s="185"/>
    </row>
    <row r="73" spans="1:8" x14ac:dyDescent="0.7">
      <c r="A73" s="1"/>
      <c r="B73" s="8"/>
      <c r="C73" s="8"/>
      <c r="D73" s="8"/>
      <c r="E73" s="8"/>
      <c r="F73" s="8"/>
      <c r="G73" s="14"/>
      <c r="H73" s="185"/>
    </row>
    <row r="74" spans="1:8" x14ac:dyDescent="0.7">
      <c r="A74" s="1"/>
      <c r="B74" s="8"/>
      <c r="C74" s="8"/>
      <c r="D74" s="8"/>
      <c r="E74" s="8"/>
      <c r="F74" s="8"/>
      <c r="G74" s="14"/>
      <c r="H74" s="185"/>
    </row>
    <row r="75" spans="1:8" x14ac:dyDescent="0.7">
      <c r="A75" s="1"/>
      <c r="B75" s="8"/>
      <c r="C75" s="8"/>
      <c r="D75" s="8"/>
      <c r="E75" s="8"/>
      <c r="F75" s="8"/>
      <c r="G75" s="14"/>
      <c r="H75" s="185"/>
    </row>
    <row r="76" spans="1:8" x14ac:dyDescent="0.7">
      <c r="A76" s="1"/>
      <c r="B76" s="8"/>
      <c r="C76" s="8"/>
      <c r="D76" s="8"/>
      <c r="E76" s="8"/>
      <c r="F76" s="8"/>
      <c r="G76" s="14"/>
      <c r="H76" s="185"/>
    </row>
    <row r="77" spans="1:8" x14ac:dyDescent="0.7">
      <c r="A77" s="1"/>
      <c r="B77" s="8"/>
      <c r="C77" s="8"/>
      <c r="D77" s="8"/>
      <c r="E77" s="8"/>
      <c r="F77" s="8"/>
      <c r="G77" s="14"/>
      <c r="H77" s="185"/>
    </row>
    <row r="78" spans="1:8" x14ac:dyDescent="0.7">
      <c r="A78" s="1"/>
      <c r="B78" s="8"/>
      <c r="C78" s="8"/>
      <c r="D78" s="8"/>
      <c r="E78" s="8"/>
      <c r="F78" s="8"/>
      <c r="G78" s="14"/>
      <c r="H78" s="185"/>
    </row>
    <row r="79" spans="1:8" x14ac:dyDescent="0.7">
      <c r="A79" s="1"/>
      <c r="B79" s="8"/>
      <c r="C79" s="8"/>
      <c r="D79" s="8"/>
      <c r="E79" s="8"/>
      <c r="F79" s="8"/>
      <c r="G79" s="14"/>
      <c r="H79" s="185"/>
    </row>
    <row r="80" spans="1:8" x14ac:dyDescent="0.7">
      <c r="A80" s="1"/>
      <c r="B80" s="8"/>
      <c r="C80" s="8"/>
      <c r="D80" s="8"/>
      <c r="E80" s="8"/>
      <c r="F80" s="8"/>
      <c r="G80" s="14"/>
      <c r="H80" s="185"/>
    </row>
    <row r="81" spans="1:8" x14ac:dyDescent="0.7">
      <c r="A81" s="1"/>
      <c r="B81" s="8"/>
      <c r="C81" s="8"/>
      <c r="D81" s="8"/>
      <c r="E81" s="8"/>
      <c r="F81" s="8"/>
      <c r="G81" s="14"/>
      <c r="H81" s="185"/>
    </row>
    <row r="82" spans="1:8" x14ac:dyDescent="0.7">
      <c r="A82" s="1"/>
      <c r="B82" s="8"/>
      <c r="C82" s="8"/>
      <c r="D82" s="8"/>
      <c r="E82" s="8"/>
      <c r="F82" s="8"/>
      <c r="G82" s="14"/>
      <c r="H82" s="185"/>
    </row>
    <row r="83" spans="1:8" x14ac:dyDescent="0.7">
      <c r="A83" s="1"/>
      <c r="B83" s="8"/>
      <c r="C83" s="8"/>
      <c r="D83" s="8"/>
      <c r="E83" s="8"/>
      <c r="F83" s="8"/>
      <c r="G83" s="14"/>
      <c r="H83" s="185"/>
    </row>
    <row r="84" spans="1:8" x14ac:dyDescent="0.7">
      <c r="A84" s="1"/>
      <c r="B84" s="8"/>
      <c r="C84" s="8"/>
      <c r="D84" s="8"/>
      <c r="E84" s="8"/>
      <c r="F84" s="8"/>
      <c r="G84" s="14"/>
      <c r="H84" s="185"/>
    </row>
    <row r="85" spans="1:8" x14ac:dyDescent="0.7">
      <c r="A85" s="1"/>
      <c r="B85" s="8"/>
      <c r="C85" s="8"/>
      <c r="D85" s="8"/>
      <c r="E85" s="8"/>
      <c r="F85" s="8"/>
      <c r="G85" s="14"/>
      <c r="H85" s="185"/>
    </row>
    <row r="86" spans="1:8" x14ac:dyDescent="0.7">
      <c r="A86" s="1"/>
      <c r="B86" s="8"/>
      <c r="C86" s="8"/>
      <c r="D86" s="8"/>
      <c r="E86" s="8"/>
      <c r="F86" s="8"/>
      <c r="G86" s="14"/>
      <c r="H86" s="185"/>
    </row>
    <row r="87" spans="1:8" x14ac:dyDescent="0.7">
      <c r="A87" s="1"/>
      <c r="B87" s="8"/>
      <c r="C87" s="8"/>
      <c r="D87" s="8"/>
      <c r="E87" s="8"/>
      <c r="F87" s="8"/>
      <c r="G87" s="14"/>
      <c r="H87" s="185"/>
    </row>
    <row r="88" spans="1:8" x14ac:dyDescent="0.7">
      <c r="A88" s="1"/>
      <c r="B88" s="8"/>
      <c r="C88" s="8"/>
      <c r="D88" s="8"/>
      <c r="E88" s="8"/>
      <c r="F88" s="8"/>
      <c r="G88" s="14"/>
      <c r="H88" s="185"/>
    </row>
    <row r="89" spans="1:8" x14ac:dyDescent="0.7">
      <c r="A89" s="1"/>
      <c r="B89" s="8"/>
      <c r="C89" s="8"/>
      <c r="D89" s="8"/>
      <c r="E89" s="8"/>
      <c r="F89" s="8"/>
      <c r="G89" s="14"/>
      <c r="H89" s="185"/>
    </row>
    <row r="90" spans="1:8" x14ac:dyDescent="0.7">
      <c r="A90" s="1"/>
      <c r="B90" s="8"/>
      <c r="C90" s="8"/>
      <c r="D90" s="8"/>
      <c r="E90" s="8"/>
      <c r="F90" s="8"/>
      <c r="G90" s="14"/>
      <c r="H90" s="185"/>
    </row>
    <row r="91" spans="1:8" x14ac:dyDescent="0.7">
      <c r="A91" s="1"/>
      <c r="B91" s="8"/>
      <c r="C91" s="8"/>
      <c r="D91" s="8"/>
      <c r="E91" s="8"/>
      <c r="F91" s="8"/>
      <c r="G91" s="14"/>
      <c r="H91" s="185"/>
    </row>
    <row r="92" spans="1:8" x14ac:dyDescent="0.7">
      <c r="A92" s="1"/>
      <c r="B92" s="8"/>
      <c r="C92" s="8"/>
      <c r="D92" s="8"/>
      <c r="E92" s="8"/>
      <c r="F92" s="8"/>
      <c r="G92" s="14"/>
      <c r="H92" s="185"/>
    </row>
    <row r="93" spans="1:8" x14ac:dyDescent="0.7">
      <c r="A93" s="1"/>
      <c r="B93" s="8"/>
      <c r="C93" s="8"/>
      <c r="D93" s="8"/>
      <c r="E93" s="8"/>
      <c r="F93" s="8"/>
      <c r="G93" s="14"/>
      <c r="H93" s="185"/>
    </row>
    <row r="94" spans="1:8" x14ac:dyDescent="0.7">
      <c r="A94" s="1"/>
      <c r="B94" s="8"/>
      <c r="C94" s="8"/>
      <c r="D94" s="8"/>
      <c r="E94" s="8"/>
      <c r="F94" s="8"/>
      <c r="G94" s="14"/>
      <c r="H94" s="185"/>
    </row>
    <row r="95" spans="1:8" x14ac:dyDescent="0.7">
      <c r="A95" s="1"/>
      <c r="B95" s="8"/>
      <c r="C95" s="8"/>
      <c r="D95" s="8"/>
      <c r="E95" s="8"/>
      <c r="F95" s="8"/>
      <c r="G95" s="14"/>
      <c r="H95" s="185"/>
    </row>
    <row r="96" spans="1:8" x14ac:dyDescent="0.7">
      <c r="A96" s="1"/>
      <c r="B96" s="8"/>
      <c r="C96" s="8"/>
      <c r="D96" s="8"/>
      <c r="E96" s="8"/>
      <c r="F96" s="8"/>
      <c r="G96" s="14"/>
      <c r="H96" s="185"/>
    </row>
    <row r="97" spans="1:8" x14ac:dyDescent="0.7">
      <c r="A97" s="1"/>
      <c r="B97" s="8"/>
      <c r="C97" s="8"/>
      <c r="D97" s="8"/>
      <c r="E97" s="8"/>
      <c r="F97" s="8"/>
      <c r="G97" s="14"/>
      <c r="H97" s="185"/>
    </row>
    <row r="98" spans="1:8" x14ac:dyDescent="0.7">
      <c r="A98" s="1"/>
      <c r="B98" s="8"/>
      <c r="C98" s="8"/>
      <c r="D98" s="8"/>
      <c r="E98" s="8"/>
      <c r="F98" s="8"/>
      <c r="G98" s="14"/>
      <c r="H98" s="185"/>
    </row>
    <row r="99" spans="1:8" x14ac:dyDescent="0.7">
      <c r="A99" s="1"/>
      <c r="B99" s="8"/>
      <c r="C99" s="8"/>
      <c r="D99" s="8"/>
      <c r="E99" s="8"/>
      <c r="F99" s="8"/>
      <c r="G99" s="14"/>
      <c r="H99" s="185"/>
    </row>
    <row r="100" spans="1:8" x14ac:dyDescent="0.7">
      <c r="A100" s="1"/>
      <c r="B100" s="8"/>
      <c r="C100" s="8"/>
      <c r="D100" s="8"/>
      <c r="E100" s="8"/>
      <c r="F100" s="8"/>
      <c r="G100" s="14"/>
      <c r="H100" s="185"/>
    </row>
    <row r="101" spans="1:8" x14ac:dyDescent="0.7">
      <c r="A101" s="1"/>
      <c r="B101" s="8"/>
      <c r="C101" s="8"/>
      <c r="D101" s="8"/>
      <c r="E101" s="8"/>
      <c r="F101" s="8"/>
      <c r="G101" s="14"/>
      <c r="H101" s="185"/>
    </row>
    <row r="102" spans="1:8" x14ac:dyDescent="0.7">
      <c r="A102" s="1"/>
      <c r="B102" s="8"/>
      <c r="C102" s="8"/>
      <c r="D102" s="8"/>
      <c r="E102" s="8"/>
      <c r="F102" s="8"/>
      <c r="G102" s="14"/>
      <c r="H102" s="185"/>
    </row>
    <row r="103" spans="1:8" x14ac:dyDescent="0.7">
      <c r="A103" s="1"/>
      <c r="B103" s="8"/>
      <c r="C103" s="8"/>
      <c r="D103" s="8"/>
      <c r="E103" s="8"/>
      <c r="F103" s="8"/>
      <c r="G103" s="14"/>
      <c r="H103" s="185"/>
    </row>
    <row r="104" spans="1:8" x14ac:dyDescent="0.7">
      <c r="A104" s="1"/>
      <c r="B104" s="8"/>
      <c r="C104" s="8"/>
      <c r="D104" s="8"/>
      <c r="E104" s="8"/>
      <c r="F104" s="8"/>
      <c r="G104" s="14"/>
      <c r="H104" s="185"/>
    </row>
    <row r="105" spans="1:8" x14ac:dyDescent="0.7">
      <c r="A105" s="1"/>
      <c r="B105" s="8"/>
      <c r="C105" s="8"/>
      <c r="D105" s="8"/>
      <c r="E105" s="8"/>
      <c r="F105" s="8"/>
      <c r="G105" s="14"/>
      <c r="H105" s="185"/>
    </row>
    <row r="106" spans="1:8" x14ac:dyDescent="0.7">
      <c r="A106" s="1"/>
      <c r="B106" s="8"/>
      <c r="C106" s="8"/>
      <c r="D106" s="8"/>
      <c r="E106" s="8"/>
      <c r="F106" s="8"/>
      <c r="G106" s="14"/>
      <c r="H106" s="185"/>
    </row>
    <row r="107" spans="1:8" x14ac:dyDescent="0.7">
      <c r="A107" s="1"/>
      <c r="B107" s="8"/>
      <c r="C107" s="8"/>
      <c r="D107" s="8"/>
      <c r="E107" s="8"/>
      <c r="F107" s="8"/>
      <c r="G107" s="14"/>
      <c r="H107" s="185"/>
    </row>
    <row r="108" spans="1:8" x14ac:dyDescent="0.7">
      <c r="A108" s="1"/>
      <c r="B108" s="8"/>
      <c r="C108" s="8"/>
      <c r="D108" s="8"/>
      <c r="E108" s="8"/>
      <c r="F108" s="8"/>
      <c r="G108" s="14"/>
      <c r="H108" s="185"/>
    </row>
    <row r="109" spans="1:8" x14ac:dyDescent="0.7">
      <c r="A109" s="1"/>
      <c r="B109" s="8"/>
      <c r="C109" s="8"/>
      <c r="D109" s="8"/>
      <c r="E109" s="8"/>
      <c r="F109" s="8"/>
      <c r="G109" s="14"/>
      <c r="H109" s="185"/>
    </row>
    <row r="110" spans="1:8" x14ac:dyDescent="0.7">
      <c r="A110" s="1"/>
      <c r="B110" s="8"/>
      <c r="C110" s="8"/>
      <c r="D110" s="8"/>
      <c r="E110" s="8"/>
      <c r="F110" s="8"/>
      <c r="G110" s="14"/>
      <c r="H110" s="185"/>
    </row>
    <row r="111" spans="1:8" x14ac:dyDescent="0.7">
      <c r="A111" s="1"/>
      <c r="B111" s="8"/>
      <c r="C111" s="8"/>
      <c r="D111" s="8"/>
      <c r="E111" s="8"/>
      <c r="F111" s="8"/>
      <c r="G111" s="14"/>
      <c r="H111" s="185"/>
    </row>
    <row r="112" spans="1:8" x14ac:dyDescent="0.7">
      <c r="A112" s="1"/>
      <c r="B112" s="8"/>
      <c r="C112" s="8"/>
      <c r="D112" s="8"/>
      <c r="E112" s="8"/>
      <c r="F112" s="8"/>
      <c r="G112" s="14"/>
      <c r="H112" s="185"/>
    </row>
    <row r="113" spans="1:8" x14ac:dyDescent="0.7">
      <c r="A113" s="1"/>
      <c r="B113" s="8"/>
      <c r="C113" s="8"/>
      <c r="D113" s="8"/>
      <c r="E113" s="8"/>
      <c r="F113" s="8"/>
      <c r="G113" s="14"/>
      <c r="H113" s="185"/>
    </row>
    <row r="114" spans="1:8" x14ac:dyDescent="0.7">
      <c r="A114" s="1"/>
      <c r="B114" s="8"/>
      <c r="C114" s="8"/>
      <c r="D114" s="8"/>
      <c r="E114" s="8"/>
      <c r="F114" s="8"/>
      <c r="G114" s="14"/>
      <c r="H114" s="185"/>
    </row>
    <row r="115" spans="1:8" x14ac:dyDescent="0.7">
      <c r="A115" s="1"/>
      <c r="B115" s="8"/>
      <c r="C115" s="8"/>
      <c r="D115" s="8"/>
      <c r="E115" s="8"/>
      <c r="F115" s="8"/>
      <c r="G115" s="14"/>
      <c r="H115" s="185"/>
    </row>
    <row r="116" spans="1:8" x14ac:dyDescent="0.7">
      <c r="A116" s="1"/>
      <c r="B116" s="8"/>
      <c r="C116" s="8"/>
      <c r="D116" s="8"/>
      <c r="E116" s="8"/>
      <c r="F116" s="8"/>
      <c r="G116" s="14"/>
      <c r="H116" s="185"/>
    </row>
    <row r="117" spans="1:8" x14ac:dyDescent="0.7">
      <c r="A117" s="1"/>
      <c r="B117" s="8"/>
      <c r="C117" s="8"/>
      <c r="D117" s="8"/>
      <c r="E117" s="8"/>
      <c r="F117" s="8"/>
      <c r="G117" s="14"/>
      <c r="H117" s="185"/>
    </row>
    <row r="118" spans="1:8" x14ac:dyDescent="0.7">
      <c r="A118" s="1"/>
      <c r="B118" s="8"/>
      <c r="C118" s="8"/>
      <c r="D118" s="8"/>
      <c r="E118" s="8"/>
      <c r="F118" s="8"/>
      <c r="G118" s="14"/>
      <c r="H118" s="185"/>
    </row>
    <row r="119" spans="1:8" x14ac:dyDescent="0.7">
      <c r="A119" s="1"/>
      <c r="B119" s="8"/>
      <c r="C119" s="8"/>
      <c r="D119" s="8"/>
      <c r="E119" s="8"/>
      <c r="F119" s="8"/>
      <c r="G119" s="14"/>
      <c r="H119" s="185"/>
    </row>
    <row r="120" spans="1:8" x14ac:dyDescent="0.7">
      <c r="A120" s="1"/>
      <c r="B120" s="8"/>
      <c r="C120" s="8"/>
      <c r="D120" s="8"/>
      <c r="E120" s="8"/>
      <c r="F120" s="8"/>
      <c r="G120" s="14"/>
      <c r="H120" s="185"/>
    </row>
    <row r="121" spans="1:8" x14ac:dyDescent="0.7">
      <c r="A121" s="1"/>
      <c r="B121" s="8"/>
      <c r="C121" s="8"/>
      <c r="D121" s="8"/>
      <c r="E121" s="8"/>
      <c r="F121" s="8"/>
      <c r="G121" s="14"/>
      <c r="H121" s="185"/>
    </row>
    <row r="122" spans="1:8" x14ac:dyDescent="0.7">
      <c r="A122" s="1"/>
      <c r="B122" s="8"/>
      <c r="C122" s="8"/>
      <c r="D122" s="8"/>
      <c r="E122" s="8"/>
      <c r="F122" s="8"/>
      <c r="G122" s="14"/>
      <c r="H122" s="185"/>
    </row>
    <row r="123" spans="1:8" x14ac:dyDescent="0.7">
      <c r="A123" s="1"/>
      <c r="B123" s="8"/>
      <c r="C123" s="8"/>
      <c r="D123" s="8"/>
      <c r="E123" s="8"/>
      <c r="F123" s="8"/>
      <c r="G123" s="14"/>
      <c r="H123" s="185"/>
    </row>
    <row r="124" spans="1:8" x14ac:dyDescent="0.7">
      <c r="A124" s="1"/>
      <c r="B124" s="8"/>
      <c r="C124" s="8"/>
      <c r="D124" s="8"/>
      <c r="E124" s="8"/>
      <c r="F124" s="8"/>
      <c r="G124" s="14"/>
      <c r="H124" s="185"/>
    </row>
    <row r="125" spans="1:8" x14ac:dyDescent="0.7">
      <c r="A125" s="1"/>
      <c r="B125" s="8"/>
      <c r="C125" s="8"/>
      <c r="D125" s="8"/>
      <c r="E125" s="8"/>
      <c r="F125" s="8"/>
      <c r="G125" s="14"/>
      <c r="H125" s="185"/>
    </row>
    <row r="126" spans="1:8" x14ac:dyDescent="0.7">
      <c r="A126" s="1"/>
      <c r="B126" s="8"/>
      <c r="C126" s="8"/>
      <c r="D126" s="8"/>
      <c r="E126" s="8"/>
      <c r="F126" s="8"/>
      <c r="G126" s="14"/>
      <c r="H126" s="185"/>
    </row>
    <row r="127" spans="1:8" x14ac:dyDescent="0.7">
      <c r="A127" s="1"/>
      <c r="B127" s="8"/>
      <c r="C127" s="8"/>
      <c r="D127" s="8"/>
      <c r="E127" s="8"/>
      <c r="F127" s="8"/>
      <c r="G127" s="14"/>
      <c r="H127" s="185"/>
    </row>
    <row r="128" spans="1:8" x14ac:dyDescent="0.7">
      <c r="A128" s="1"/>
      <c r="B128" s="8"/>
      <c r="C128" s="8"/>
      <c r="D128" s="8"/>
      <c r="E128" s="8"/>
      <c r="F128" s="8"/>
      <c r="G128" s="14"/>
      <c r="H128" s="185"/>
    </row>
    <row r="129" spans="1:8" x14ac:dyDescent="0.7">
      <c r="A129" s="1"/>
      <c r="B129" s="8"/>
      <c r="C129" s="8"/>
      <c r="D129" s="8"/>
      <c r="E129" s="8"/>
      <c r="F129" s="8"/>
      <c r="G129" s="14"/>
      <c r="H129" s="185"/>
    </row>
    <row r="130" spans="1:8" x14ac:dyDescent="0.7">
      <c r="A130" s="1"/>
      <c r="B130" s="8"/>
      <c r="C130" s="8"/>
      <c r="D130" s="8"/>
      <c r="E130" s="8"/>
      <c r="F130" s="8"/>
      <c r="G130" s="14"/>
      <c r="H130" s="185"/>
    </row>
    <row r="131" spans="1:8" x14ac:dyDescent="0.7">
      <c r="A131" s="1"/>
      <c r="B131" s="8"/>
      <c r="C131" s="8"/>
      <c r="D131" s="8"/>
      <c r="E131" s="8"/>
      <c r="F131" s="8"/>
      <c r="G131" s="14"/>
      <c r="H131" s="185"/>
    </row>
    <row r="132" spans="1:8" x14ac:dyDescent="0.7">
      <c r="A132" s="1"/>
      <c r="B132" s="8"/>
      <c r="C132" s="8"/>
      <c r="D132" s="8"/>
      <c r="E132" s="8"/>
      <c r="F132" s="8"/>
      <c r="G132" s="14"/>
      <c r="H132" s="185"/>
    </row>
    <row r="133" spans="1:8" x14ac:dyDescent="0.7">
      <c r="A133" s="1"/>
      <c r="B133" s="8"/>
      <c r="C133" s="8"/>
      <c r="D133" s="8"/>
      <c r="E133" s="8"/>
      <c r="F133" s="8"/>
      <c r="G133" s="14"/>
      <c r="H133" s="185"/>
    </row>
    <row r="134" spans="1:8" x14ac:dyDescent="0.7">
      <c r="A134" s="1"/>
      <c r="B134" s="8"/>
      <c r="C134" s="8"/>
      <c r="D134" s="8"/>
      <c r="E134" s="8"/>
      <c r="F134" s="8"/>
      <c r="G134" s="14"/>
      <c r="H134" s="185"/>
    </row>
    <row r="135" spans="1:8" x14ac:dyDescent="0.7">
      <c r="A135" s="1"/>
      <c r="B135" s="8"/>
      <c r="C135" s="8"/>
      <c r="D135" s="8"/>
      <c r="E135" s="8"/>
      <c r="F135" s="8"/>
      <c r="G135" s="14"/>
      <c r="H135" s="185"/>
    </row>
    <row r="136" spans="1:8" x14ac:dyDescent="0.7">
      <c r="A136" s="1"/>
      <c r="B136" s="8"/>
      <c r="C136" s="8"/>
      <c r="D136" s="8"/>
      <c r="E136" s="8"/>
      <c r="F136" s="8"/>
      <c r="G136" s="14"/>
      <c r="H136" s="185"/>
    </row>
    <row r="137" spans="1:8" x14ac:dyDescent="0.7">
      <c r="A137" s="1"/>
      <c r="B137" s="8"/>
      <c r="C137" s="8"/>
      <c r="D137" s="8"/>
      <c r="E137" s="8"/>
      <c r="F137" s="8"/>
      <c r="G137" s="14"/>
      <c r="H137" s="185"/>
    </row>
    <row r="138" spans="1:8" x14ac:dyDescent="0.7">
      <c r="A138" s="1"/>
      <c r="B138" s="8"/>
      <c r="C138" s="8"/>
      <c r="D138" s="8"/>
      <c r="E138" s="8"/>
      <c r="F138" s="8"/>
      <c r="G138" s="14"/>
      <c r="H138" s="185"/>
    </row>
    <row r="139" spans="1:8" x14ac:dyDescent="0.7">
      <c r="A139" s="1"/>
      <c r="B139" s="8"/>
      <c r="C139" s="8"/>
      <c r="D139" s="8"/>
      <c r="E139" s="8"/>
      <c r="F139" s="8"/>
      <c r="G139" s="14"/>
      <c r="H139" s="185"/>
    </row>
    <row r="140" spans="1:8" x14ac:dyDescent="0.7">
      <c r="A140" s="1"/>
      <c r="B140" s="8"/>
      <c r="C140" s="8"/>
      <c r="D140" s="8"/>
      <c r="E140" s="8"/>
      <c r="F140" s="8"/>
      <c r="G140" s="14"/>
      <c r="H140" s="185"/>
    </row>
    <row r="141" spans="1:8" x14ac:dyDescent="0.7">
      <c r="A141" s="1"/>
      <c r="B141" s="8"/>
      <c r="C141" s="8"/>
      <c r="D141" s="8"/>
      <c r="E141" s="8"/>
      <c r="F141" s="8"/>
      <c r="G141" s="14"/>
      <c r="H141" s="185"/>
    </row>
    <row r="142" spans="1:8" x14ac:dyDescent="0.7">
      <c r="A142" s="1"/>
      <c r="B142" s="8"/>
      <c r="C142" s="8"/>
      <c r="D142" s="8"/>
      <c r="E142" s="8"/>
      <c r="F142" s="8"/>
      <c r="G142" s="14"/>
      <c r="H142" s="185"/>
    </row>
    <row r="143" spans="1:8" x14ac:dyDescent="0.7">
      <c r="A143" s="1"/>
      <c r="B143" s="8"/>
      <c r="C143" s="8"/>
      <c r="D143" s="8"/>
      <c r="E143" s="8"/>
      <c r="F143" s="8"/>
      <c r="G143" s="14"/>
      <c r="H143" s="185"/>
    </row>
    <row r="144" spans="1:8" x14ac:dyDescent="0.7">
      <c r="A144" s="1"/>
      <c r="B144" s="8"/>
      <c r="C144" s="8"/>
      <c r="D144" s="8"/>
      <c r="E144" s="8"/>
      <c r="F144" s="8"/>
      <c r="G144" s="14"/>
      <c r="H144" s="185"/>
    </row>
    <row r="145" spans="1:8" x14ac:dyDescent="0.7">
      <c r="A145" s="1"/>
      <c r="B145" s="8"/>
      <c r="C145" s="8"/>
      <c r="D145" s="8"/>
      <c r="E145" s="8"/>
      <c r="F145" s="8"/>
      <c r="G145" s="14"/>
      <c r="H145" s="185"/>
    </row>
    <row r="146" spans="1:8" x14ac:dyDescent="0.7">
      <c r="A146" s="1"/>
      <c r="B146" s="8"/>
      <c r="C146" s="8"/>
      <c r="D146" s="8"/>
      <c r="E146" s="8"/>
      <c r="F146" s="8"/>
      <c r="G146" s="14"/>
      <c r="H146" s="185"/>
    </row>
    <row r="147" spans="1:8" x14ac:dyDescent="0.7">
      <c r="A147" s="1"/>
      <c r="B147" s="8"/>
      <c r="C147" s="8"/>
      <c r="D147" s="8"/>
      <c r="E147" s="8"/>
      <c r="F147" s="8"/>
      <c r="G147" s="14"/>
      <c r="H147" s="185"/>
    </row>
    <row r="148" spans="1:8" x14ac:dyDescent="0.7">
      <c r="A148" s="1"/>
      <c r="B148" s="8"/>
      <c r="C148" s="8"/>
      <c r="D148" s="8"/>
      <c r="E148" s="8"/>
      <c r="F148" s="8"/>
      <c r="G148" s="14"/>
      <c r="H148" s="185"/>
    </row>
    <row r="149" spans="1:8" x14ac:dyDescent="0.7">
      <c r="A149" s="1"/>
      <c r="B149" s="8"/>
      <c r="C149" s="8"/>
      <c r="D149" s="8"/>
      <c r="E149" s="8"/>
      <c r="F149" s="8"/>
      <c r="G149" s="14"/>
      <c r="H149" s="185"/>
    </row>
    <row r="150" spans="1:8" x14ac:dyDescent="0.7">
      <c r="A150" s="1"/>
      <c r="B150" s="8"/>
      <c r="C150" s="8"/>
      <c r="D150" s="8"/>
      <c r="E150" s="8"/>
      <c r="F150" s="8"/>
      <c r="G150" s="14"/>
      <c r="H150" s="185"/>
    </row>
    <row r="151" spans="1:8" x14ac:dyDescent="0.7">
      <c r="A151" s="1"/>
      <c r="B151" s="8"/>
      <c r="C151" s="8"/>
      <c r="D151" s="8"/>
      <c r="E151" s="8"/>
      <c r="F151" s="8"/>
      <c r="G151" s="14"/>
      <c r="H151" s="185"/>
    </row>
    <row r="152" spans="1:8" x14ac:dyDescent="0.7">
      <c r="A152" s="1"/>
      <c r="B152" s="8"/>
      <c r="C152" s="8"/>
      <c r="D152" s="8"/>
      <c r="E152" s="8"/>
      <c r="F152" s="8"/>
      <c r="G152" s="14"/>
      <c r="H152" s="185"/>
    </row>
    <row r="153" spans="1:8" x14ac:dyDescent="0.7">
      <c r="A153" s="1"/>
      <c r="B153" s="8"/>
      <c r="C153" s="8"/>
      <c r="D153" s="8"/>
      <c r="E153" s="8"/>
      <c r="F153" s="8"/>
      <c r="G153" s="14"/>
      <c r="H153" s="185"/>
    </row>
    <row r="154" spans="1:8" x14ac:dyDescent="0.7">
      <c r="A154" s="1"/>
      <c r="B154" s="8"/>
      <c r="C154" s="8"/>
      <c r="D154" s="8"/>
      <c r="E154" s="8"/>
      <c r="F154" s="8"/>
      <c r="G154" s="14"/>
      <c r="H154" s="185"/>
    </row>
    <row r="155" spans="1:8" x14ac:dyDescent="0.7">
      <c r="A155" s="1"/>
      <c r="B155" s="8"/>
      <c r="C155" s="8"/>
      <c r="D155" s="8"/>
      <c r="E155" s="8"/>
      <c r="F155" s="8"/>
      <c r="G155" s="14"/>
      <c r="H155" s="185"/>
    </row>
    <row r="156" spans="1:8" x14ac:dyDescent="0.7">
      <c r="A156" s="1"/>
      <c r="B156" s="8"/>
      <c r="C156" s="8"/>
      <c r="D156" s="8"/>
      <c r="E156" s="8"/>
      <c r="F156" s="8"/>
      <c r="G156" s="14"/>
      <c r="H156" s="185"/>
    </row>
    <row r="157" spans="1:8" x14ac:dyDescent="0.7">
      <c r="A157" s="1"/>
      <c r="B157" s="8"/>
      <c r="C157" s="8"/>
      <c r="D157" s="8"/>
      <c r="E157" s="8"/>
      <c r="F157" s="8"/>
      <c r="G157" s="14"/>
      <c r="H157" s="185"/>
    </row>
    <row r="158" spans="1:8" x14ac:dyDescent="0.7">
      <c r="A158" s="1"/>
      <c r="B158" s="8"/>
      <c r="C158" s="8"/>
      <c r="D158" s="8"/>
      <c r="E158" s="8"/>
      <c r="F158" s="8"/>
      <c r="G158" s="14"/>
      <c r="H158" s="185"/>
    </row>
    <row r="159" spans="1:8" x14ac:dyDescent="0.7">
      <c r="A159" s="1"/>
      <c r="B159" s="8"/>
      <c r="C159" s="8"/>
      <c r="D159" s="8"/>
      <c r="E159" s="8"/>
      <c r="F159" s="8"/>
      <c r="G159" s="14"/>
      <c r="H159" s="185"/>
    </row>
    <row r="160" spans="1:8" x14ac:dyDescent="0.7">
      <c r="A160" s="1"/>
      <c r="B160" s="8"/>
      <c r="C160" s="8"/>
      <c r="D160" s="8"/>
      <c r="E160" s="8"/>
      <c r="F160" s="8"/>
      <c r="G160" s="14"/>
      <c r="H160" s="185"/>
    </row>
    <row r="161" spans="1:8" x14ac:dyDescent="0.7">
      <c r="A161" s="1"/>
      <c r="B161" s="8"/>
      <c r="C161" s="8"/>
      <c r="D161" s="8"/>
      <c r="E161" s="8"/>
      <c r="F161" s="8"/>
      <c r="G161" s="14"/>
      <c r="H161" s="185"/>
    </row>
    <row r="162" spans="1:8" x14ac:dyDescent="0.7">
      <c r="A162" s="1"/>
      <c r="B162" s="8"/>
      <c r="C162" s="8"/>
      <c r="D162" s="8"/>
      <c r="E162" s="8"/>
      <c r="F162" s="8"/>
      <c r="G162" s="14"/>
      <c r="H162" s="185"/>
    </row>
    <row r="163" spans="1:8" x14ac:dyDescent="0.7">
      <c r="A163" s="1"/>
      <c r="B163" s="8"/>
      <c r="C163" s="8"/>
      <c r="D163" s="8"/>
      <c r="E163" s="8"/>
      <c r="F163" s="8"/>
      <c r="G163" s="14"/>
      <c r="H163" s="185"/>
    </row>
    <row r="164" spans="1:8" x14ac:dyDescent="0.7">
      <c r="A164" s="1"/>
      <c r="B164" s="8"/>
      <c r="C164" s="8"/>
      <c r="D164" s="8"/>
      <c r="E164" s="8"/>
      <c r="F164" s="8"/>
      <c r="G164" s="14"/>
      <c r="H164" s="185"/>
    </row>
    <row r="165" spans="1:8" x14ac:dyDescent="0.7">
      <c r="A165" s="1"/>
      <c r="B165" s="8"/>
      <c r="C165" s="8"/>
      <c r="D165" s="8"/>
      <c r="E165" s="8"/>
      <c r="F165" s="8"/>
      <c r="G165" s="14"/>
      <c r="H165" s="185"/>
    </row>
    <row r="166" spans="1:8" x14ac:dyDescent="0.7">
      <c r="A166" s="1"/>
      <c r="B166" s="8"/>
      <c r="C166" s="8"/>
      <c r="D166" s="8"/>
      <c r="E166" s="8"/>
      <c r="F166" s="8"/>
      <c r="G166" s="14"/>
      <c r="H166" s="185"/>
    </row>
    <row r="167" spans="1:8" x14ac:dyDescent="0.7">
      <c r="A167" s="1"/>
      <c r="B167" s="8"/>
      <c r="C167" s="8"/>
      <c r="D167" s="8"/>
      <c r="E167" s="8"/>
      <c r="F167" s="8"/>
      <c r="G167" s="14"/>
      <c r="H167" s="185"/>
    </row>
    <row r="168" spans="1:8" x14ac:dyDescent="0.7">
      <c r="A168" s="1"/>
      <c r="B168" s="8"/>
      <c r="C168" s="8"/>
      <c r="D168" s="8"/>
      <c r="E168" s="8"/>
      <c r="F168" s="8"/>
      <c r="G168" s="14"/>
      <c r="H168" s="185"/>
    </row>
    <row r="169" spans="1:8" x14ac:dyDescent="0.7">
      <c r="A169" s="1"/>
      <c r="B169" s="8"/>
      <c r="C169" s="8"/>
      <c r="D169" s="8"/>
      <c r="E169" s="8"/>
      <c r="F169" s="8"/>
      <c r="G169" s="14"/>
      <c r="H169" s="185"/>
    </row>
    <row r="170" spans="1:8" x14ac:dyDescent="0.7">
      <c r="A170" s="1"/>
      <c r="B170" s="8"/>
      <c r="C170" s="8"/>
      <c r="D170" s="8"/>
      <c r="E170" s="8"/>
      <c r="F170" s="8"/>
      <c r="G170" s="14"/>
      <c r="H170" s="185"/>
    </row>
    <row r="171" spans="1:8" x14ac:dyDescent="0.7">
      <c r="A171" s="1"/>
      <c r="B171" s="8"/>
      <c r="C171" s="8"/>
      <c r="D171" s="8"/>
      <c r="E171" s="8"/>
      <c r="F171" s="8"/>
      <c r="G171" s="14"/>
      <c r="H171" s="185"/>
    </row>
  </sheetData>
  <mergeCells count="1">
    <mergeCell ref="B1:G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Q177"/>
  <sheetViews>
    <sheetView rightToLeft="1" zoomScale="80" zoomScaleNormal="80" workbookViewId="0">
      <selection activeCell="O34" sqref="O34"/>
    </sheetView>
  </sheetViews>
  <sheetFormatPr defaultRowHeight="15.5" x14ac:dyDescent="0.35"/>
  <cols>
    <col min="1" max="1" width="12.7265625" style="39" customWidth="1"/>
    <col min="2" max="2" width="12.36328125" style="39" bestFit="1" customWidth="1"/>
    <col min="3" max="3" width="11.36328125" customWidth="1"/>
    <col min="4" max="4" width="10.54296875" bestFit="1" customWidth="1"/>
    <col min="5" max="5" width="8.7265625" customWidth="1"/>
    <col min="6" max="6" width="15.90625" customWidth="1"/>
    <col min="7" max="7" width="7" customWidth="1"/>
    <col min="8" max="8" width="8.7265625" customWidth="1"/>
    <col min="9" max="9" width="9.6328125" customWidth="1"/>
    <col min="10" max="10" width="7.08984375" customWidth="1"/>
    <col min="11" max="11" width="11.36328125" customWidth="1"/>
    <col min="12" max="12" width="12.26953125" customWidth="1"/>
    <col min="13" max="13" width="8" customWidth="1"/>
    <col min="14" max="14" width="6.36328125" customWidth="1"/>
    <col min="15" max="15" width="10.90625" customWidth="1"/>
    <col min="16" max="16" width="18.90625" customWidth="1"/>
    <col min="17" max="17" width="15.453125" customWidth="1"/>
    <col min="18" max="18" width="12.26953125" customWidth="1"/>
    <col min="19" max="19" width="10.90625" customWidth="1"/>
    <col min="20" max="20" width="22.90625" customWidth="1"/>
    <col min="21" max="21" width="14.90625" customWidth="1"/>
    <col min="22" max="22" width="17.6328125" customWidth="1"/>
    <col min="23" max="23" width="10.36328125" customWidth="1"/>
    <col min="24" max="24" width="23.26953125" bestFit="1" customWidth="1"/>
    <col min="25" max="25" width="16" customWidth="1"/>
    <col min="26" max="26" width="9.26953125" customWidth="1"/>
    <col min="27" max="27" width="10" customWidth="1"/>
    <col min="28" max="28" width="16.453125" customWidth="1"/>
    <col min="29" max="29" width="19.7265625" customWidth="1"/>
    <col min="30" max="30" width="14.6328125" customWidth="1"/>
    <col min="31" max="31" width="10.08984375" customWidth="1"/>
    <col min="32" max="32" width="9.7265625" customWidth="1"/>
    <col min="33" max="33" width="11.26953125" customWidth="1"/>
    <col min="34" max="34" width="10.36328125" customWidth="1"/>
    <col min="35" max="35" width="10.6328125" bestFit="1" customWidth="1"/>
    <col min="36" max="36" width="15.08984375" customWidth="1"/>
    <col min="37" max="37" width="10.453125" customWidth="1"/>
    <col min="38" max="38" width="20.453125" customWidth="1"/>
    <col min="39" max="39" width="11.6328125" customWidth="1"/>
    <col min="40" max="40" width="9" customWidth="1"/>
    <col min="41" max="41" width="9.6328125" customWidth="1"/>
    <col min="42" max="42" width="13.08984375" customWidth="1"/>
    <col min="43" max="43" width="12.90625" customWidth="1"/>
    <col min="44" max="44" width="6.36328125" customWidth="1"/>
    <col min="45" max="45" width="8.90625" customWidth="1"/>
    <col min="46" max="46" width="12.36328125" customWidth="1"/>
    <col min="47" max="47" width="13.7265625" customWidth="1"/>
    <col min="48" max="48" width="11.26953125" customWidth="1"/>
    <col min="49" max="49" width="5.7265625" customWidth="1"/>
    <col min="50" max="50" width="13.90625" customWidth="1"/>
    <col min="51" max="51" width="13.36328125" customWidth="1"/>
    <col min="52" max="52" width="10.453125" customWidth="1"/>
    <col min="53" max="53" width="13.90625" customWidth="1"/>
    <col min="54" max="54" width="14.90625" customWidth="1"/>
    <col min="55" max="55" width="10.7265625" customWidth="1"/>
    <col min="57" max="57" width="14.36328125" customWidth="1"/>
    <col min="58" max="58" width="14.6328125" customWidth="1"/>
    <col min="59" max="59" width="14.36328125" customWidth="1"/>
    <col min="60" max="60" width="10.7265625" customWidth="1"/>
    <col min="61" max="61" width="13.36328125" customWidth="1"/>
    <col min="62" max="62" width="10.453125" customWidth="1"/>
    <col min="65" max="65" width="12.26953125" customWidth="1"/>
    <col min="66" max="66" width="18.453125" customWidth="1"/>
    <col min="67" max="67" width="10.453125" customWidth="1"/>
    <col min="69" max="69" width="11" customWidth="1"/>
    <col min="71" max="71" width="11.36328125" customWidth="1"/>
    <col min="73" max="73" width="9.7265625" customWidth="1"/>
    <col min="74" max="74" width="13.36328125" customWidth="1"/>
    <col min="81" max="81" width="8.36328125" customWidth="1"/>
    <col min="88" max="88" width="9.36328125" customWidth="1"/>
    <col min="94" max="94" width="12.26953125" customWidth="1"/>
  </cols>
  <sheetData>
    <row r="1" spans="1:95" x14ac:dyDescent="0.35">
      <c r="A1" s="210" t="s">
        <v>26</v>
      </c>
      <c r="B1" s="236" t="s">
        <v>20</v>
      </c>
      <c r="C1" s="18" t="s">
        <v>27</v>
      </c>
      <c r="D1" s="245" t="s">
        <v>11</v>
      </c>
      <c r="E1" s="18" t="s">
        <v>28</v>
      </c>
      <c r="F1" s="18" t="s">
        <v>38</v>
      </c>
      <c r="G1" s="18" t="s">
        <v>12</v>
      </c>
      <c r="H1" s="18" t="s">
        <v>55</v>
      </c>
      <c r="I1" s="18" t="s">
        <v>13</v>
      </c>
      <c r="J1" s="18" t="s">
        <v>14</v>
      </c>
      <c r="K1" s="18" t="s">
        <v>41</v>
      </c>
      <c r="L1" s="18" t="s">
        <v>29</v>
      </c>
      <c r="M1" s="18" t="s">
        <v>10</v>
      </c>
      <c r="N1" s="18" t="s">
        <v>30</v>
      </c>
      <c r="O1" s="18" t="s">
        <v>31</v>
      </c>
      <c r="P1" s="18" t="s">
        <v>32</v>
      </c>
      <c r="Q1" s="18" t="s">
        <v>33</v>
      </c>
      <c r="R1" s="18" t="s">
        <v>34</v>
      </c>
      <c r="S1" s="22" t="s">
        <v>35</v>
      </c>
      <c r="T1" s="18" t="s">
        <v>77</v>
      </c>
      <c r="U1" s="18" t="s">
        <v>36</v>
      </c>
      <c r="V1" s="18" t="s">
        <v>67</v>
      </c>
      <c r="W1" s="18" t="s">
        <v>68</v>
      </c>
      <c r="X1" s="23" t="s">
        <v>71</v>
      </c>
      <c r="Y1" s="23" t="s">
        <v>72</v>
      </c>
      <c r="Z1" s="18" t="s">
        <v>37</v>
      </c>
      <c r="AA1" s="18" t="s">
        <v>66</v>
      </c>
      <c r="AB1" s="18" t="s">
        <v>81</v>
      </c>
      <c r="AC1" s="18" t="s">
        <v>59</v>
      </c>
      <c r="AD1" s="1" t="s">
        <v>57</v>
      </c>
      <c r="AE1" s="18" t="s">
        <v>48</v>
      </c>
      <c r="AF1" s="18" t="s">
        <v>60</v>
      </c>
      <c r="AG1" s="1" t="s">
        <v>44</v>
      </c>
      <c r="AH1" s="1" t="s">
        <v>45</v>
      </c>
      <c r="AI1" s="47" t="s">
        <v>40</v>
      </c>
      <c r="AJ1" s="47" t="s">
        <v>42</v>
      </c>
      <c r="AK1" s="1" t="s">
        <v>43</v>
      </c>
      <c r="AL1" s="47" t="s">
        <v>53</v>
      </c>
      <c r="AM1" s="47" t="s">
        <v>85</v>
      </c>
      <c r="AN1" s="47" t="s">
        <v>64</v>
      </c>
      <c r="AO1" s="47" t="s">
        <v>46</v>
      </c>
      <c r="AP1" s="47" t="s">
        <v>47</v>
      </c>
      <c r="AQ1" s="47" t="s">
        <v>73</v>
      </c>
      <c r="AR1" s="47" t="s">
        <v>51</v>
      </c>
      <c r="AS1" s="47" t="s">
        <v>49</v>
      </c>
      <c r="AT1" s="47" t="s">
        <v>50</v>
      </c>
      <c r="AU1" s="47" t="s">
        <v>52</v>
      </c>
      <c r="AV1" s="47" t="s">
        <v>54</v>
      </c>
      <c r="AW1" s="47" t="s">
        <v>56</v>
      </c>
      <c r="AX1" s="47" t="s">
        <v>65</v>
      </c>
      <c r="AY1" s="47" t="s">
        <v>61</v>
      </c>
      <c r="AZ1" s="47" t="s">
        <v>86</v>
      </c>
      <c r="BA1" s="47" t="s">
        <v>62</v>
      </c>
      <c r="BB1" s="47" t="s">
        <v>63</v>
      </c>
      <c r="BC1" s="47" t="s">
        <v>74</v>
      </c>
      <c r="BD1" s="47" t="s">
        <v>75</v>
      </c>
      <c r="BE1" s="47" t="s">
        <v>98</v>
      </c>
      <c r="BF1" s="47" t="s">
        <v>76</v>
      </c>
      <c r="BG1" s="47" t="s">
        <v>78</v>
      </c>
      <c r="BH1" s="47" t="s">
        <v>79</v>
      </c>
      <c r="BI1" s="47" t="s">
        <v>80</v>
      </c>
      <c r="BJ1" s="47" t="s">
        <v>82</v>
      </c>
      <c r="BK1" s="47" t="s">
        <v>83</v>
      </c>
      <c r="BL1" s="47" t="s">
        <v>84</v>
      </c>
      <c r="BM1" s="47" t="s">
        <v>87</v>
      </c>
      <c r="BN1" s="47" t="s">
        <v>88</v>
      </c>
      <c r="BO1" s="47" t="s">
        <v>89</v>
      </c>
      <c r="BP1" s="47" t="s">
        <v>91</v>
      </c>
      <c r="BQ1" s="47" t="s">
        <v>92</v>
      </c>
      <c r="BR1" s="47" t="s">
        <v>93</v>
      </c>
      <c r="BS1" s="47" t="s">
        <v>94</v>
      </c>
      <c r="BT1" s="47" t="s">
        <v>95</v>
      </c>
      <c r="BU1" s="47" t="s">
        <v>96</v>
      </c>
      <c r="BV1" s="47" t="s">
        <v>97</v>
      </c>
      <c r="BW1" s="47" t="s">
        <v>102</v>
      </c>
      <c r="BX1" s="47" t="s">
        <v>103</v>
      </c>
      <c r="BY1" s="47" t="s">
        <v>104</v>
      </c>
      <c r="BZ1" s="47" t="s">
        <v>105</v>
      </c>
      <c r="CA1" s="47" t="s">
        <v>106</v>
      </c>
      <c r="CB1" s="47" t="s">
        <v>107</v>
      </c>
      <c r="CC1" s="47" t="s">
        <v>108</v>
      </c>
      <c r="CD1" s="47" t="s">
        <v>111</v>
      </c>
      <c r="CE1" s="47" t="s">
        <v>112</v>
      </c>
      <c r="CF1" s="47" t="s">
        <v>113</v>
      </c>
      <c r="CG1" s="47" t="s">
        <v>114</v>
      </c>
      <c r="CH1" s="47" t="s">
        <v>115</v>
      </c>
      <c r="CI1" s="47" t="s">
        <v>116</v>
      </c>
      <c r="CJ1" s="47" t="s">
        <v>117</v>
      </c>
      <c r="CK1" s="47" t="s">
        <v>118</v>
      </c>
      <c r="CL1" s="47" t="s">
        <v>119</v>
      </c>
      <c r="CM1" s="47" t="s">
        <v>120</v>
      </c>
      <c r="CN1" s="47" t="s">
        <v>121</v>
      </c>
      <c r="CO1" s="47" t="s">
        <v>122</v>
      </c>
      <c r="CP1" s="47" t="s">
        <v>123</v>
      </c>
      <c r="CQ1" s="47" t="s">
        <v>124</v>
      </c>
    </row>
    <row r="2" spans="1:95" x14ac:dyDescent="0.35">
      <c r="A2" s="211"/>
      <c r="B2" s="235"/>
      <c r="C2" s="42"/>
      <c r="D2" s="246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0"/>
      <c r="T2" s="40"/>
      <c r="U2" s="40"/>
      <c r="V2" s="40"/>
      <c r="W2" s="40"/>
      <c r="X2" s="41"/>
      <c r="Y2" s="41"/>
      <c r="Z2" s="40"/>
      <c r="AA2" s="40"/>
      <c r="AB2" s="40"/>
      <c r="AC2" s="40"/>
      <c r="AD2" s="40"/>
      <c r="AE2" s="40"/>
      <c r="AF2" s="40"/>
      <c r="AG2" s="40"/>
      <c r="AH2" s="40">
        <v>1</v>
      </c>
      <c r="AI2" s="40"/>
      <c r="AJ2" s="40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</row>
    <row r="3" spans="1:95" x14ac:dyDescent="0.35">
      <c r="A3" s="211"/>
      <c r="B3" s="235"/>
      <c r="C3" s="55"/>
      <c r="D3" s="247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20"/>
      <c r="Y3" s="20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spans="1:95" x14ac:dyDescent="0.35">
      <c r="A4" s="211"/>
      <c r="B4" s="235"/>
      <c r="C4" s="55"/>
      <c r="D4" s="247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20"/>
      <c r="Y4" s="20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  <row r="5" spans="1:95" x14ac:dyDescent="0.35">
      <c r="A5" s="211"/>
      <c r="B5" s="235"/>
      <c r="C5" s="55"/>
      <c r="D5" s="247"/>
      <c r="E5" s="55"/>
      <c r="F5" s="55"/>
      <c r="G5" s="55"/>
      <c r="H5" s="55"/>
      <c r="I5" s="55"/>
      <c r="J5" s="55"/>
      <c r="K5" s="55"/>
      <c r="L5" s="55"/>
      <c r="M5" s="55"/>
      <c r="N5" s="61"/>
      <c r="O5" s="55"/>
      <c r="P5" s="55"/>
      <c r="Q5" s="55"/>
      <c r="R5" s="55"/>
      <c r="S5" s="1"/>
      <c r="T5" s="1"/>
      <c r="U5" s="1"/>
      <c r="V5" s="1"/>
      <c r="W5" s="1"/>
      <c r="X5" s="20"/>
      <c r="Y5" s="20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</row>
    <row r="6" spans="1:95" x14ac:dyDescent="0.35">
      <c r="A6" s="211"/>
      <c r="B6" s="235"/>
      <c r="C6" s="55"/>
      <c r="D6" s="247"/>
      <c r="E6" s="55"/>
      <c r="F6" s="55"/>
      <c r="G6" s="55"/>
      <c r="H6" s="55"/>
      <c r="I6" s="55"/>
      <c r="J6" s="55"/>
      <c r="K6" s="55"/>
      <c r="L6" s="55"/>
      <c r="M6" s="55"/>
      <c r="N6" s="61"/>
      <c r="O6" s="55"/>
      <c r="P6" s="55"/>
      <c r="Q6" s="55"/>
      <c r="R6" s="55"/>
      <c r="S6" s="1"/>
      <c r="T6" s="1"/>
      <c r="U6" s="1"/>
      <c r="V6" s="1"/>
      <c r="W6" s="1"/>
      <c r="X6" s="20"/>
      <c r="Y6" s="20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</row>
    <row r="7" spans="1:95" x14ac:dyDescent="0.35">
      <c r="A7" s="211"/>
      <c r="B7" s="235"/>
      <c r="C7" s="55"/>
      <c r="D7" s="247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1"/>
      <c r="T7" s="1"/>
      <c r="U7" s="1"/>
      <c r="V7" s="1"/>
      <c r="W7" s="1"/>
      <c r="X7" s="20"/>
      <c r="Y7" s="20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95" x14ac:dyDescent="0.35">
      <c r="A8" s="211"/>
      <c r="B8" s="235"/>
      <c r="C8" s="55"/>
      <c r="D8" s="247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1"/>
      <c r="T8" s="1"/>
      <c r="U8" s="1"/>
      <c r="V8" s="1"/>
      <c r="W8" s="1"/>
      <c r="X8" s="20"/>
      <c r="Y8" s="20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</row>
    <row r="9" spans="1:95" x14ac:dyDescent="0.35">
      <c r="A9" s="211"/>
      <c r="B9" s="235"/>
      <c r="C9" s="18"/>
      <c r="D9" s="245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23"/>
      <c r="Y9" s="23"/>
      <c r="Z9" s="18"/>
      <c r="AA9" s="18"/>
      <c r="AB9" s="18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</row>
    <row r="10" spans="1:95" x14ac:dyDescent="0.35">
      <c r="A10" s="211"/>
      <c r="B10" s="235"/>
      <c r="C10" s="18"/>
      <c r="D10" s="245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23"/>
      <c r="Y10" s="23"/>
      <c r="Z10" s="18"/>
      <c r="AA10" s="18"/>
      <c r="AB10" s="18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>
        <v>1</v>
      </c>
      <c r="CM10" s="1"/>
      <c r="CN10" s="1"/>
      <c r="CO10" s="1"/>
      <c r="CP10" s="1"/>
      <c r="CQ10" s="1"/>
    </row>
    <row r="11" spans="1:95" x14ac:dyDescent="0.35">
      <c r="A11" s="211"/>
      <c r="B11" s="235"/>
      <c r="C11" s="1"/>
      <c r="D11" s="22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0"/>
      <c r="Y11" s="20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</row>
    <row r="12" spans="1:95" x14ac:dyDescent="0.35">
      <c r="A12" s="211"/>
      <c r="B12" s="235"/>
      <c r="C12" s="1"/>
      <c r="D12" s="22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0"/>
      <c r="Y12" s="20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</row>
    <row r="13" spans="1:95" x14ac:dyDescent="0.35">
      <c r="A13" s="211"/>
      <c r="B13" s="235"/>
      <c r="C13" s="1"/>
      <c r="D13" s="22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0"/>
      <c r="Y13" s="20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</row>
    <row r="14" spans="1:95" x14ac:dyDescent="0.35">
      <c r="A14" s="211"/>
      <c r="B14" s="235"/>
      <c r="C14" s="1"/>
      <c r="D14" s="22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0"/>
      <c r="Y14" s="20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</row>
    <row r="15" spans="1:95" x14ac:dyDescent="0.35">
      <c r="A15" s="211"/>
      <c r="B15" s="237"/>
      <c r="C15" s="1"/>
      <c r="D15" s="2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0"/>
      <c r="Y15" s="20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</row>
    <row r="16" spans="1:95" ht="18.5" x14ac:dyDescent="0.35">
      <c r="A16" s="211"/>
      <c r="B16" s="238"/>
      <c r="C16" s="1"/>
      <c r="D16" s="2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0"/>
      <c r="Y16" s="20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</row>
    <row r="17" spans="1:95" ht="18.5" x14ac:dyDescent="0.35">
      <c r="A17" s="211"/>
      <c r="B17" s="238"/>
      <c r="C17" s="1"/>
      <c r="D17" s="22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0"/>
      <c r="Y17" s="20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</row>
    <row r="18" spans="1:95" x14ac:dyDescent="0.35">
      <c r="A18" s="211"/>
      <c r="B18" s="235"/>
      <c r="C18" s="1"/>
      <c r="D18" s="22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0"/>
      <c r="Y18" s="20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</row>
    <row r="19" spans="1:95" x14ac:dyDescent="0.35">
      <c r="A19" s="211"/>
      <c r="B19" s="236"/>
      <c r="C19" s="1"/>
      <c r="D19" s="22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0"/>
      <c r="Y19" s="20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</row>
    <row r="20" spans="1:95" x14ac:dyDescent="0.35">
      <c r="A20" s="211"/>
      <c r="B20" s="236"/>
      <c r="C20" s="1"/>
      <c r="D20" s="22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0"/>
      <c r="Y20" s="20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</row>
    <row r="21" spans="1:95" x14ac:dyDescent="0.35">
      <c r="A21" s="211"/>
      <c r="B21" s="236"/>
      <c r="C21" s="1"/>
      <c r="D21" s="22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0"/>
      <c r="Y21" s="20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</row>
    <row r="22" spans="1:95" x14ac:dyDescent="0.35">
      <c r="A22" s="211"/>
      <c r="B22" s="239"/>
      <c r="C22" s="1"/>
      <c r="D22" s="2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0"/>
      <c r="Y22" s="20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</row>
    <row r="23" spans="1:95" x14ac:dyDescent="0.35">
      <c r="A23" s="211"/>
      <c r="B23" s="236"/>
      <c r="C23" s="1"/>
      <c r="D23" s="22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0"/>
      <c r="Y23" s="20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</row>
    <row r="24" spans="1:95" x14ac:dyDescent="0.35">
      <c r="A24" s="211"/>
      <c r="B24" s="235"/>
      <c r="C24" s="1"/>
      <c r="D24" s="22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0"/>
      <c r="Y24" s="20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</row>
    <row r="25" spans="1:95" x14ac:dyDescent="0.35">
      <c r="A25" s="210"/>
      <c r="B25" s="235"/>
      <c r="C25" s="1"/>
      <c r="D25" s="22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0"/>
      <c r="Y25" s="20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</row>
    <row r="26" spans="1:95" x14ac:dyDescent="0.35">
      <c r="A26" s="210"/>
      <c r="B26" s="240"/>
      <c r="C26" s="1"/>
      <c r="D26" s="22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0"/>
      <c r="Y26" s="20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</row>
    <row r="27" spans="1:95" x14ac:dyDescent="0.35">
      <c r="A27" s="210"/>
      <c r="B27" s="236"/>
      <c r="C27" s="1"/>
      <c r="D27" s="2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0"/>
      <c r="Y27" s="20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</row>
    <row r="28" spans="1:95" x14ac:dyDescent="0.35">
      <c r="A28" s="210"/>
      <c r="B28" s="241"/>
      <c r="C28" s="1"/>
      <c r="D28" s="22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0"/>
      <c r="Y28" s="20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</row>
    <row r="29" spans="1:95" x14ac:dyDescent="0.35">
      <c r="A29" s="210"/>
      <c r="B29" s="236"/>
      <c r="C29" s="1"/>
      <c r="D29" s="2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0"/>
      <c r="Y29" s="20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</row>
    <row r="30" spans="1:95" x14ac:dyDescent="0.35">
      <c r="A30" s="210"/>
      <c r="B30" s="236"/>
      <c r="C30" s="1"/>
      <c r="D30" s="22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0"/>
      <c r="Y30" s="20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 spans="1:95" x14ac:dyDescent="0.35">
      <c r="A31" s="210"/>
      <c r="B31" s="236"/>
      <c r="C31" s="55"/>
      <c r="D31" s="2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0"/>
      <c r="Y31" s="20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 spans="1:95" x14ac:dyDescent="0.35">
      <c r="A32" s="210"/>
      <c r="B32" s="236"/>
      <c r="C32" s="1"/>
      <c r="D32" s="22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0"/>
      <c r="Y32" s="20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 spans="1:95" x14ac:dyDescent="0.35">
      <c r="A33" s="210"/>
      <c r="B33" s="236"/>
      <c r="C33" s="1"/>
      <c r="D33" s="22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0"/>
      <c r="Y33" s="20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</row>
    <row r="34" spans="1:95" x14ac:dyDescent="0.35">
      <c r="A34" s="210"/>
      <c r="B34" s="236"/>
      <c r="C34" s="1"/>
      <c r="D34" s="22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0"/>
      <c r="Y34" s="20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 spans="1:95" x14ac:dyDescent="0.35">
      <c r="A35" s="210"/>
      <c r="B35" s="236"/>
      <c r="C35" s="1"/>
      <c r="D35" s="22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0"/>
      <c r="Y35" s="20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 spans="1:95" x14ac:dyDescent="0.35">
      <c r="A36" s="210"/>
      <c r="B36" s="236"/>
      <c r="C36" s="1"/>
      <c r="D36" s="22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0"/>
      <c r="Y36" s="20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 spans="1:95" x14ac:dyDescent="0.35">
      <c r="A37" s="210"/>
      <c r="B37" s="236"/>
      <c r="C37" s="1"/>
      <c r="D37" s="22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0"/>
      <c r="Y37" s="20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 spans="1:95" x14ac:dyDescent="0.35">
      <c r="A38" s="210"/>
      <c r="B38" s="236"/>
      <c r="C38" s="1"/>
      <c r="D38" s="22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0"/>
      <c r="Y38" s="20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 spans="1:95" x14ac:dyDescent="0.35">
      <c r="A39" s="210"/>
      <c r="B39" s="236"/>
      <c r="C39" s="1"/>
      <c r="D39" s="2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0"/>
      <c r="Y39" s="20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 spans="1:95" x14ac:dyDescent="0.35">
      <c r="A40" s="210"/>
      <c r="B40" s="242"/>
      <c r="C40" s="1"/>
      <c r="D40" s="223"/>
      <c r="E40" s="1"/>
      <c r="F40" s="1"/>
      <c r="G40" s="1"/>
      <c r="H40" s="1"/>
      <c r="I40" s="1"/>
      <c r="J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0"/>
      <c r="Y40" s="20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 spans="1:95" x14ac:dyDescent="0.35">
      <c r="A41" s="210"/>
      <c r="B41" s="242"/>
      <c r="C41" s="1"/>
      <c r="D41" s="22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0"/>
      <c r="Y41" s="20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 spans="1:95" x14ac:dyDescent="0.35">
      <c r="A42" s="210"/>
      <c r="B42" s="242"/>
      <c r="C42" s="1"/>
      <c r="D42" s="22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0"/>
      <c r="Y42" s="20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 spans="1:95" x14ac:dyDescent="0.35">
      <c r="A43" s="210"/>
      <c r="B43" s="236"/>
      <c r="C43" s="1"/>
      <c r="D43" s="223"/>
      <c r="E43" s="1"/>
      <c r="F43" s="1"/>
      <c r="G43" s="1"/>
      <c r="H43" s="1"/>
      <c r="I43" s="2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0"/>
      <c r="Y43" s="20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 spans="1:95" x14ac:dyDescent="0.35">
      <c r="A44" s="210"/>
      <c r="B44" s="236"/>
      <c r="C44" s="1"/>
      <c r="D44" s="223"/>
      <c r="E44" s="1"/>
      <c r="F44" s="1"/>
      <c r="G44" s="1"/>
      <c r="H44" s="1"/>
      <c r="I44" s="1"/>
      <c r="J44" s="6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0"/>
      <c r="Y44" s="20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 spans="1:95" x14ac:dyDescent="0.35">
      <c r="A45" s="210"/>
      <c r="B45" s="236"/>
      <c r="C45" s="1"/>
      <c r="D45" s="223"/>
      <c r="E45" s="1"/>
      <c r="F45" s="1"/>
      <c r="G45" s="1"/>
      <c r="H45" s="1"/>
      <c r="I45" s="2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0"/>
      <c r="Y45" s="20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 spans="1:95" x14ac:dyDescent="0.35">
      <c r="A46" s="210"/>
      <c r="B46" s="236"/>
      <c r="C46" s="1"/>
      <c r="D46" s="2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0"/>
      <c r="Y46" s="20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 spans="1:95" x14ac:dyDescent="0.35">
      <c r="A47" s="210"/>
      <c r="B47" s="236"/>
      <c r="C47" s="1"/>
      <c r="D47" s="22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0"/>
      <c r="Y47" s="20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 spans="1:95" x14ac:dyDescent="0.35">
      <c r="A48" s="210"/>
      <c r="B48" s="236"/>
      <c r="C48" s="40"/>
      <c r="D48" s="248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1"/>
      <c r="Y48" s="41"/>
      <c r="Z48" s="40"/>
      <c r="AA48" s="40"/>
      <c r="AB48" s="40"/>
      <c r="AC48" s="40"/>
      <c r="AD48" s="40"/>
      <c r="AE48" s="40"/>
      <c r="AF48" s="40"/>
      <c r="AG48" s="40"/>
      <c r="AH48" s="40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 spans="1:95" x14ac:dyDescent="0.35">
      <c r="A49" s="210"/>
      <c r="B49" s="243"/>
      <c r="C49" s="42"/>
      <c r="D49" s="246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0"/>
      <c r="T49" s="40"/>
      <c r="U49" s="40"/>
      <c r="V49" s="40"/>
      <c r="W49" s="40"/>
      <c r="X49" s="41"/>
      <c r="Y49" s="41"/>
      <c r="Z49" s="40"/>
      <c r="AA49" s="40"/>
      <c r="AB49" s="40"/>
      <c r="AC49" s="40"/>
      <c r="AD49" s="40"/>
      <c r="AE49" s="40"/>
      <c r="AF49" s="40"/>
      <c r="AG49" s="40"/>
      <c r="AH49" s="40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 spans="1:95" x14ac:dyDescent="0.35">
      <c r="A50" s="210"/>
      <c r="B50" s="243"/>
      <c r="C50" s="42"/>
      <c r="D50" s="246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0"/>
      <c r="T50" s="40"/>
      <c r="U50" s="40"/>
      <c r="V50" s="40"/>
      <c r="W50" s="40"/>
      <c r="X50" s="41"/>
      <c r="Y50" s="41"/>
      <c r="Z50" s="40"/>
      <c r="AA50" s="40"/>
      <c r="AB50" s="40"/>
      <c r="AC50" s="40"/>
      <c r="AD50" s="40"/>
      <c r="AE50" s="40"/>
      <c r="AF50" s="40"/>
      <c r="AG50" s="40"/>
      <c r="AH50" s="40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 spans="1:95" x14ac:dyDescent="0.35">
      <c r="A51" s="210"/>
      <c r="B51" s="243"/>
      <c r="C51" s="45"/>
      <c r="D51" s="249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0"/>
      <c r="T51" s="40"/>
      <c r="U51" s="40"/>
      <c r="V51" s="40"/>
      <c r="W51" s="40"/>
      <c r="X51" s="41"/>
      <c r="Y51" s="41"/>
      <c r="Z51" s="40"/>
      <c r="AA51" s="40"/>
      <c r="AB51" s="40"/>
      <c r="AC51" s="40"/>
      <c r="AD51" s="40"/>
      <c r="AE51" s="40"/>
      <c r="AF51" s="40"/>
      <c r="AG51" s="40"/>
      <c r="AH51" s="40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 spans="1:95" x14ac:dyDescent="0.35">
      <c r="A52" s="210"/>
      <c r="B52" s="236"/>
      <c r="C52" s="44"/>
      <c r="D52" s="250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1"/>
      <c r="T52" s="1"/>
      <c r="U52" s="1"/>
      <c r="V52" s="1"/>
      <c r="W52" s="1"/>
      <c r="X52" s="20"/>
      <c r="Y52" s="20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 spans="1:95" x14ac:dyDescent="0.35">
      <c r="A53" s="210"/>
      <c r="B53" s="243"/>
      <c r="C53" s="45"/>
      <c r="D53" s="249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0"/>
      <c r="T53" s="40"/>
      <c r="U53" s="40"/>
      <c r="V53" s="40"/>
      <c r="W53" s="40"/>
      <c r="X53" s="41"/>
      <c r="Y53" s="41"/>
      <c r="Z53" s="40"/>
      <c r="AA53" s="40"/>
      <c r="AB53" s="40"/>
      <c r="AC53" s="40"/>
      <c r="AD53" s="40"/>
      <c r="AE53" s="40"/>
      <c r="AF53" s="40"/>
      <c r="AG53" s="40"/>
      <c r="AH53" s="40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 spans="1:95" x14ac:dyDescent="0.35">
      <c r="A54" s="210"/>
      <c r="B54" s="243"/>
      <c r="C54" s="45"/>
      <c r="D54" s="249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0"/>
      <c r="T54" s="40"/>
      <c r="U54" s="40"/>
      <c r="V54" s="40"/>
      <c r="W54" s="40"/>
      <c r="X54" s="41"/>
      <c r="Y54" s="41"/>
      <c r="Z54" s="40"/>
      <c r="AA54" s="40"/>
      <c r="AB54" s="40"/>
      <c r="AC54" s="40"/>
      <c r="AD54" s="40"/>
      <c r="AE54" s="40"/>
      <c r="AF54" s="40"/>
      <c r="AG54" s="40"/>
      <c r="AH54" s="40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 spans="1:95" x14ac:dyDescent="0.35">
      <c r="A55" s="210"/>
      <c r="B55" s="243"/>
      <c r="C55" s="45"/>
      <c r="D55" s="249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0"/>
      <c r="T55" s="40"/>
      <c r="U55" s="40"/>
      <c r="V55" s="40"/>
      <c r="W55" s="40"/>
      <c r="X55" s="41"/>
      <c r="Y55" s="41"/>
      <c r="Z55" s="40"/>
      <c r="AA55" s="40"/>
      <c r="AB55" s="40"/>
      <c r="AC55" s="40"/>
      <c r="AD55" s="40"/>
      <c r="AE55" s="40"/>
      <c r="AF55" s="40"/>
      <c r="AG55" s="1"/>
      <c r="AH55" s="40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 spans="1:95" x14ac:dyDescent="0.35">
      <c r="A56" s="210"/>
      <c r="B56" s="236"/>
      <c r="C56" s="44"/>
      <c r="D56" s="250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1"/>
      <c r="T56" s="1"/>
      <c r="U56" s="1"/>
      <c r="V56" s="1"/>
      <c r="W56" s="1"/>
      <c r="X56" s="20"/>
      <c r="Y56" s="20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 spans="1:95" x14ac:dyDescent="0.35">
      <c r="A57" s="210"/>
      <c r="B57" s="236"/>
      <c r="C57" s="44"/>
      <c r="D57" s="250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1"/>
      <c r="T57" s="1"/>
      <c r="U57" s="1"/>
      <c r="V57" s="1"/>
      <c r="W57" s="1"/>
      <c r="X57" s="20"/>
      <c r="Y57" s="20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 spans="1:95" x14ac:dyDescent="0.35">
      <c r="A58" s="210"/>
      <c r="B58" s="236"/>
      <c r="C58" s="44"/>
      <c r="D58" s="250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1"/>
      <c r="T58" s="1"/>
      <c r="U58" s="1"/>
      <c r="V58" s="1"/>
      <c r="W58" s="1"/>
      <c r="X58" s="20"/>
      <c r="Y58" s="20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 spans="1:95" x14ac:dyDescent="0.35">
      <c r="A59" s="210"/>
      <c r="B59" s="236"/>
      <c r="C59" s="61"/>
      <c r="D59" s="250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1"/>
      <c r="T59" s="1"/>
      <c r="U59" s="1"/>
      <c r="V59" s="1"/>
      <c r="W59" s="1"/>
      <c r="X59" s="20"/>
      <c r="Y59" s="20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 spans="1:95" x14ac:dyDescent="0.35">
      <c r="A60" s="210"/>
      <c r="B60" s="236"/>
      <c r="C60" s="44"/>
      <c r="D60" s="250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1"/>
      <c r="T60" s="1"/>
      <c r="U60" s="1"/>
      <c r="V60" s="1"/>
      <c r="W60" s="1"/>
      <c r="X60" s="20"/>
      <c r="Y60" s="20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 spans="1:95" x14ac:dyDescent="0.35">
      <c r="A61" s="210"/>
      <c r="B61" s="236"/>
      <c r="C61" s="44"/>
      <c r="D61" s="250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1"/>
      <c r="T61" s="1"/>
      <c r="U61" s="1"/>
      <c r="V61" s="1"/>
      <c r="W61" s="1"/>
      <c r="X61" s="20"/>
      <c r="Y61" s="20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 spans="1:95" x14ac:dyDescent="0.35">
      <c r="A62" s="210"/>
      <c r="B62" s="236"/>
      <c r="C62" s="44"/>
      <c r="D62" s="250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1"/>
      <c r="T62" s="1"/>
      <c r="U62" s="1"/>
      <c r="V62" s="1"/>
      <c r="W62" s="1"/>
      <c r="X62" s="20"/>
      <c r="Y62" s="20"/>
      <c r="Z62" s="1"/>
      <c r="AA62" s="1"/>
      <c r="AB62" s="1"/>
      <c r="AC62" s="1"/>
      <c r="AD62" s="1"/>
      <c r="AE62" s="1"/>
      <c r="AF62" s="1"/>
      <c r="AG62" s="1"/>
      <c r="AH62" s="1"/>
      <c r="AI62" s="40"/>
      <c r="AJ62" s="40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 spans="1:95" x14ac:dyDescent="0.35">
      <c r="A63" s="210"/>
      <c r="B63" s="243"/>
      <c r="C63" s="45"/>
      <c r="D63" s="249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0"/>
      <c r="T63" s="40"/>
      <c r="U63" s="40"/>
      <c r="V63" s="40"/>
      <c r="W63" s="40"/>
      <c r="X63" s="41"/>
      <c r="Y63" s="41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 spans="1:95" x14ac:dyDescent="0.35">
      <c r="A64" s="210"/>
      <c r="B64" s="243"/>
      <c r="C64" s="45"/>
      <c r="D64" s="249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0"/>
      <c r="T64" s="40"/>
      <c r="U64" s="40"/>
      <c r="V64" s="40"/>
      <c r="W64" s="40"/>
      <c r="X64" s="41"/>
      <c r="Y64" s="41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 spans="1:95" x14ac:dyDescent="0.35">
      <c r="A65" s="210"/>
      <c r="B65" s="243"/>
      <c r="C65" s="79"/>
      <c r="D65" s="251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1"/>
      <c r="T65" s="1"/>
      <c r="U65" s="1"/>
      <c r="V65" s="1"/>
      <c r="W65" s="1"/>
      <c r="X65" s="20"/>
      <c r="Y65" s="20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 spans="1:95" x14ac:dyDescent="0.35">
      <c r="A66" s="210"/>
      <c r="B66" s="243"/>
      <c r="C66" s="45"/>
      <c r="D66" s="249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0"/>
      <c r="T66" s="40"/>
      <c r="U66" s="40"/>
      <c r="V66" s="40"/>
      <c r="W66" s="40"/>
      <c r="X66" s="41"/>
      <c r="Y66" s="41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 spans="1:95" x14ac:dyDescent="0.35">
      <c r="A67" s="210"/>
      <c r="B67" s="243"/>
      <c r="C67" s="45"/>
      <c r="D67" s="249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0"/>
      <c r="T67" s="40"/>
      <c r="U67" s="40"/>
      <c r="V67" s="40"/>
      <c r="W67" s="40"/>
      <c r="X67" s="41"/>
      <c r="Y67" s="41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 spans="1:95" x14ac:dyDescent="0.35">
      <c r="A68" s="212"/>
      <c r="B68" s="243"/>
      <c r="C68" s="45"/>
      <c r="D68" s="249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0"/>
      <c r="T68" s="40"/>
      <c r="U68" s="40"/>
      <c r="V68" s="40"/>
      <c r="W68" s="40"/>
      <c r="X68" s="41"/>
      <c r="Y68" s="41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 spans="1:95" x14ac:dyDescent="0.35">
      <c r="A69" s="210"/>
      <c r="B69" s="243"/>
      <c r="C69" s="45"/>
      <c r="D69" s="249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0"/>
      <c r="T69" s="40"/>
      <c r="U69" s="40"/>
      <c r="V69" s="40"/>
      <c r="W69" s="40"/>
      <c r="X69" s="41"/>
      <c r="Y69" s="41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 spans="1:95" x14ac:dyDescent="0.35">
      <c r="A70" s="210"/>
      <c r="B70" s="243"/>
      <c r="C70" s="45"/>
      <c r="D70" s="249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0"/>
      <c r="T70" s="40"/>
      <c r="U70" s="40"/>
      <c r="V70" s="40"/>
      <c r="W70" s="40"/>
      <c r="X70" s="41"/>
      <c r="Y70" s="41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 spans="1:95" x14ac:dyDescent="0.35">
      <c r="A71" s="210"/>
      <c r="B71" s="243"/>
      <c r="C71" s="45"/>
      <c r="D71" s="249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0"/>
      <c r="T71" s="40"/>
      <c r="U71" s="40"/>
      <c r="V71" s="40"/>
      <c r="W71" s="40"/>
      <c r="X71" s="41"/>
      <c r="Y71" s="41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 spans="1:95" x14ac:dyDescent="0.35">
      <c r="A72" s="210"/>
      <c r="B72" s="243"/>
      <c r="C72" s="45"/>
      <c r="D72" s="249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0"/>
      <c r="T72" s="40"/>
      <c r="U72" s="40"/>
      <c r="V72" s="40"/>
      <c r="W72" s="40"/>
      <c r="X72" s="41"/>
      <c r="Y72" s="41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 spans="1:95" x14ac:dyDescent="0.35">
      <c r="A73" s="210"/>
      <c r="B73" s="243"/>
      <c r="C73" s="45"/>
      <c r="D73" s="249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0"/>
      <c r="T73" s="40"/>
      <c r="U73" s="40"/>
      <c r="V73" s="40"/>
      <c r="W73" s="40"/>
      <c r="X73" s="41"/>
      <c r="Y73" s="41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 spans="1:95" x14ac:dyDescent="0.35">
      <c r="A74" s="210"/>
      <c r="B74" s="243"/>
      <c r="C74" s="42"/>
      <c r="D74" s="246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0"/>
      <c r="T74" s="40"/>
      <c r="U74" s="40"/>
      <c r="V74" s="40"/>
      <c r="W74" s="40"/>
      <c r="X74" s="41"/>
      <c r="Y74" s="41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 spans="1:95" x14ac:dyDescent="0.35">
      <c r="A75" s="210"/>
      <c r="B75" s="243"/>
      <c r="C75" s="42"/>
      <c r="D75" s="246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0"/>
      <c r="T75" s="40"/>
      <c r="U75" s="40"/>
      <c r="V75" s="40"/>
      <c r="W75" s="40"/>
      <c r="X75" s="41"/>
      <c r="Y75" s="41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 spans="1:95" x14ac:dyDescent="0.35">
      <c r="A76" s="210"/>
      <c r="B76" s="243"/>
      <c r="C76" s="42"/>
      <c r="D76" s="246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0"/>
      <c r="T76" s="40"/>
      <c r="U76" s="40"/>
      <c r="V76" s="40"/>
      <c r="W76" s="40"/>
      <c r="X76" s="41"/>
      <c r="Y76" s="41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 spans="1:95" x14ac:dyDescent="0.35">
      <c r="A77" s="210"/>
      <c r="B77" s="243"/>
      <c r="C77" s="42"/>
      <c r="D77" s="246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0"/>
      <c r="T77" s="40"/>
      <c r="U77" s="40"/>
      <c r="V77" s="40"/>
      <c r="W77" s="40"/>
      <c r="X77" s="41"/>
      <c r="Y77" s="41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 spans="1:95" x14ac:dyDescent="0.35">
      <c r="A78" s="210"/>
      <c r="B78" s="236"/>
      <c r="C78" s="55"/>
      <c r="D78" s="247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1"/>
      <c r="T78" s="1"/>
      <c r="U78" s="1"/>
      <c r="V78" s="1"/>
      <c r="W78" s="1"/>
      <c r="X78" s="20"/>
      <c r="Y78" s="20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 spans="1:95" x14ac:dyDescent="0.35">
      <c r="A79" s="210"/>
      <c r="B79" s="236"/>
      <c r="C79" s="55"/>
      <c r="D79" s="247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1"/>
      <c r="T79" s="1"/>
      <c r="U79" s="1"/>
      <c r="V79" s="1"/>
      <c r="W79" s="1"/>
      <c r="X79" s="20"/>
      <c r="Y79" s="20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 spans="1:95" x14ac:dyDescent="0.35">
      <c r="A80" s="210"/>
      <c r="B80" s="236"/>
      <c r="C80" s="55"/>
      <c r="D80" s="247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1"/>
      <c r="T80" s="1"/>
      <c r="U80" s="1"/>
      <c r="V80" s="1"/>
      <c r="W80" s="1"/>
      <c r="X80" s="20"/>
      <c r="Y80" s="20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 spans="1:95" x14ac:dyDescent="0.35">
      <c r="A81" s="210"/>
      <c r="B81" s="236"/>
      <c r="C81" s="55"/>
      <c r="D81" s="247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1"/>
      <c r="T81" s="1"/>
      <c r="U81" s="1"/>
      <c r="V81" s="1"/>
      <c r="W81" s="1"/>
      <c r="X81" s="20"/>
      <c r="Y81" s="20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 spans="1:95" x14ac:dyDescent="0.35">
      <c r="A82" s="210"/>
      <c r="B82" s="236"/>
      <c r="C82" s="55"/>
      <c r="D82" s="247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1"/>
      <c r="T82" s="1"/>
      <c r="U82" s="1"/>
      <c r="V82" s="1"/>
      <c r="W82" s="1"/>
      <c r="X82" s="20"/>
      <c r="Y82" s="20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 spans="1:95" x14ac:dyDescent="0.35">
      <c r="A83" s="210"/>
      <c r="B83" s="236"/>
      <c r="C83" s="55"/>
      <c r="D83" s="247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1"/>
      <c r="T83" s="1"/>
      <c r="U83" s="1"/>
      <c r="V83" s="1"/>
      <c r="W83" s="1"/>
      <c r="X83" s="20"/>
      <c r="Y83" s="20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 spans="1:95" x14ac:dyDescent="0.35">
      <c r="A84" s="210"/>
      <c r="B84" s="236"/>
      <c r="C84" s="44"/>
      <c r="D84" s="250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1"/>
      <c r="T84" s="1"/>
      <c r="U84" s="1"/>
      <c r="V84" s="1"/>
      <c r="W84" s="1"/>
      <c r="X84" s="20"/>
      <c r="Y84" s="20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40"/>
      <c r="AL84" s="40"/>
      <c r="AM84" s="40"/>
      <c r="AN84" s="40"/>
      <c r="AO84" s="40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 spans="1:95" x14ac:dyDescent="0.35">
      <c r="A85" s="210"/>
      <c r="B85" s="243"/>
      <c r="C85" s="54"/>
      <c r="D85" s="252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40"/>
      <c r="T85" s="40"/>
      <c r="U85" s="40"/>
      <c r="V85" s="40"/>
      <c r="W85" s="40"/>
      <c r="X85" s="41"/>
      <c r="Y85" s="41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 spans="1:95" x14ac:dyDescent="0.35">
      <c r="A86" s="210"/>
      <c r="B86" s="243"/>
      <c r="C86" s="54"/>
      <c r="D86" s="252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40"/>
      <c r="T86" s="40"/>
      <c r="U86" s="40"/>
      <c r="V86" s="40"/>
      <c r="W86" s="40"/>
      <c r="X86" s="41"/>
      <c r="Y86" s="41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 spans="1:95" x14ac:dyDescent="0.35">
      <c r="A87" s="210"/>
      <c r="B87" s="243"/>
      <c r="C87" s="54"/>
      <c r="D87" s="252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40"/>
      <c r="T87" s="40"/>
      <c r="U87" s="40"/>
      <c r="V87" s="40"/>
      <c r="W87" s="40"/>
      <c r="X87" s="41"/>
      <c r="Y87" s="41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 spans="1:95" x14ac:dyDescent="0.35">
      <c r="A88" s="210"/>
      <c r="B88" s="243"/>
      <c r="C88" s="54"/>
      <c r="D88" s="252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40"/>
      <c r="T88" s="40"/>
      <c r="U88" s="40"/>
      <c r="V88" s="40"/>
      <c r="W88" s="40"/>
      <c r="X88" s="41"/>
      <c r="Y88" s="41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 spans="1:95" x14ac:dyDescent="0.35">
      <c r="A89" s="211"/>
      <c r="B89" s="243"/>
      <c r="C89" s="54"/>
      <c r="D89" s="252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40"/>
      <c r="T89" s="40"/>
      <c r="U89" s="40"/>
      <c r="V89" s="40"/>
      <c r="W89" s="40"/>
      <c r="X89" s="41"/>
      <c r="Y89" s="41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 spans="1:95" x14ac:dyDescent="0.35">
      <c r="A90" s="211"/>
      <c r="B90" s="243"/>
      <c r="C90" s="54"/>
      <c r="D90" s="252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40"/>
      <c r="T90" s="40"/>
      <c r="U90" s="40"/>
      <c r="V90" s="40"/>
      <c r="W90" s="40"/>
      <c r="X90" s="41"/>
      <c r="Y90" s="41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 spans="1:95" x14ac:dyDescent="0.35">
      <c r="A91" s="211"/>
      <c r="B91" s="243"/>
      <c r="C91" s="54"/>
      <c r="D91" s="252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40"/>
      <c r="T91" s="40"/>
      <c r="U91" s="40"/>
      <c r="V91" s="40"/>
      <c r="W91" s="40"/>
      <c r="X91" s="41"/>
      <c r="Y91" s="41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 spans="1:95" x14ac:dyDescent="0.35">
      <c r="A92" s="211"/>
      <c r="B92" s="243"/>
      <c r="C92" s="54"/>
      <c r="D92" s="252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40"/>
      <c r="T92" s="40"/>
      <c r="U92" s="40"/>
      <c r="V92" s="40"/>
      <c r="W92" s="40"/>
      <c r="X92" s="41"/>
      <c r="Y92" s="41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 spans="1:95" x14ac:dyDescent="0.35">
      <c r="A93" s="211"/>
      <c r="B93" s="243"/>
      <c r="C93" s="54"/>
      <c r="D93" s="252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40"/>
      <c r="T93" s="40"/>
      <c r="U93" s="40"/>
      <c r="V93" s="40"/>
      <c r="W93" s="40"/>
      <c r="X93" s="41"/>
      <c r="Y93" s="41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 spans="1:95" x14ac:dyDescent="0.35">
      <c r="A94" s="211"/>
      <c r="B94" s="243"/>
      <c r="C94" s="54"/>
      <c r="D94" s="252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40"/>
      <c r="T94" s="40"/>
      <c r="U94" s="40"/>
      <c r="V94" s="40"/>
      <c r="W94" s="40"/>
      <c r="X94" s="41"/>
      <c r="Y94" s="41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 spans="1:95" x14ac:dyDescent="0.35">
      <c r="A95" s="211"/>
      <c r="B95" s="243"/>
      <c r="C95" s="54"/>
      <c r="D95" s="252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40"/>
      <c r="T95" s="40"/>
      <c r="U95" s="40"/>
      <c r="V95" s="40"/>
      <c r="W95" s="40"/>
      <c r="X95" s="41"/>
      <c r="Y95" s="41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</row>
    <row r="96" spans="1:95" x14ac:dyDescent="0.35">
      <c r="A96" s="211"/>
      <c r="B96" s="243"/>
      <c r="C96" s="54"/>
      <c r="D96" s="252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40"/>
      <c r="T96" s="40"/>
      <c r="U96" s="40"/>
      <c r="V96" s="40"/>
      <c r="W96" s="40"/>
      <c r="X96" s="41"/>
      <c r="Y96" s="41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</row>
    <row r="97" spans="1:95" x14ac:dyDescent="0.35">
      <c r="A97" s="211"/>
      <c r="B97" s="243"/>
      <c r="C97" s="54"/>
      <c r="D97" s="252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40"/>
      <c r="T97" s="40"/>
      <c r="U97" s="40"/>
      <c r="V97" s="40"/>
      <c r="W97" s="40"/>
      <c r="X97" s="41"/>
      <c r="Y97" s="41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</row>
    <row r="98" spans="1:95" x14ac:dyDescent="0.35">
      <c r="A98" s="211"/>
      <c r="B98" s="243"/>
      <c r="C98" s="54"/>
      <c r="D98" s="252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40"/>
      <c r="T98" s="40"/>
      <c r="U98" s="40"/>
      <c r="V98" s="40"/>
      <c r="W98" s="40"/>
      <c r="X98" s="41"/>
      <c r="Y98" s="41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</row>
    <row r="99" spans="1:95" x14ac:dyDescent="0.35">
      <c r="A99" s="211"/>
      <c r="B99" s="243"/>
      <c r="C99" s="54"/>
      <c r="D99" s="252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40"/>
      <c r="T99" s="40"/>
      <c r="U99" s="40"/>
      <c r="V99" s="40"/>
      <c r="W99" s="40"/>
      <c r="X99" s="41"/>
      <c r="Y99" s="41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</row>
    <row r="100" spans="1:95" x14ac:dyDescent="0.35">
      <c r="A100" s="211"/>
      <c r="B100" s="243"/>
      <c r="C100" s="54"/>
      <c r="D100" s="252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40"/>
      <c r="T100" s="40"/>
      <c r="U100" s="40"/>
      <c r="V100" s="40"/>
      <c r="W100" s="40"/>
      <c r="X100" s="41"/>
      <c r="Y100" s="41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</row>
    <row r="101" spans="1:95" x14ac:dyDescent="0.35">
      <c r="A101" s="211"/>
      <c r="B101" s="243"/>
      <c r="C101" s="54"/>
      <c r="D101" s="252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40"/>
      <c r="T101" s="40"/>
      <c r="U101" s="40"/>
      <c r="V101" s="40"/>
      <c r="W101" s="40"/>
      <c r="X101" s="41"/>
      <c r="Y101" s="41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</row>
    <row r="102" spans="1:95" x14ac:dyDescent="0.35">
      <c r="A102" s="211"/>
      <c r="B102" s="243"/>
      <c r="C102" s="54"/>
      <c r="D102" s="252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40"/>
      <c r="T102" s="40"/>
      <c r="U102" s="40"/>
      <c r="V102" s="40"/>
      <c r="W102" s="40"/>
      <c r="X102" s="41"/>
      <c r="Y102" s="41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</row>
    <row r="103" spans="1:95" x14ac:dyDescent="0.35">
      <c r="A103" s="213"/>
      <c r="B103" s="243"/>
      <c r="C103" s="54"/>
      <c r="D103" s="252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40"/>
      <c r="T103" s="40"/>
      <c r="U103" s="40"/>
      <c r="V103" s="40"/>
      <c r="W103" s="40"/>
      <c r="X103" s="41"/>
      <c r="Y103" s="41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</row>
    <row r="104" spans="1:95" x14ac:dyDescent="0.35">
      <c r="A104" s="213"/>
      <c r="B104" s="243"/>
      <c r="C104" s="54"/>
      <c r="D104" s="252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40"/>
      <c r="T104" s="40"/>
      <c r="U104" s="40"/>
      <c r="V104" s="40"/>
      <c r="W104" s="40"/>
      <c r="X104" s="41"/>
      <c r="Y104" s="41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</row>
    <row r="105" spans="1:95" x14ac:dyDescent="0.35">
      <c r="A105" s="213"/>
      <c r="B105" s="244"/>
      <c r="C105" s="54"/>
      <c r="D105" s="252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40"/>
      <c r="T105" s="40"/>
      <c r="U105" s="40"/>
      <c r="V105" s="40"/>
      <c r="W105" s="40"/>
      <c r="X105" s="41"/>
      <c r="Y105" s="41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</row>
    <row r="106" spans="1:95" x14ac:dyDescent="0.35">
      <c r="A106" s="210"/>
      <c r="B106" s="236"/>
      <c r="C106" s="1"/>
      <c r="D106" s="22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0"/>
      <c r="Z106" s="20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95" x14ac:dyDescent="0.35">
      <c r="A107" s="210"/>
      <c r="B107" s="236"/>
      <c r="C107" s="1"/>
      <c r="D107" s="2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0"/>
      <c r="Z107" s="20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95" x14ac:dyDescent="0.35">
      <c r="A108" s="210"/>
      <c r="B108" s="236"/>
      <c r="C108" s="1"/>
      <c r="D108" s="2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0"/>
      <c r="Z108" s="20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95" x14ac:dyDescent="0.35">
      <c r="A109" s="210"/>
      <c r="B109" s="236"/>
      <c r="C109" s="1"/>
      <c r="D109" s="2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0"/>
      <c r="Z109" s="20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95" x14ac:dyDescent="0.35">
      <c r="A110" s="210"/>
      <c r="B110" s="236"/>
      <c r="C110" s="1"/>
      <c r="D110" s="22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0"/>
      <c r="Z110" s="20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95" x14ac:dyDescent="0.35">
      <c r="A111" s="210"/>
      <c r="B111" s="236"/>
      <c r="C111" s="1"/>
      <c r="D111" s="22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0"/>
      <c r="Z111" s="20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95" x14ac:dyDescent="0.35">
      <c r="A112" s="210"/>
      <c r="B112" s="236"/>
      <c r="C112" s="1"/>
      <c r="D112" s="22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0"/>
      <c r="Z112" s="20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35">
      <c r="A113" s="210"/>
      <c r="B113" s="236"/>
      <c r="C113" s="1"/>
      <c r="D113" s="22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0"/>
      <c r="Z113" s="20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35">
      <c r="A114" s="210"/>
      <c r="B114" s="236"/>
      <c r="C114" s="1"/>
      <c r="D114" s="22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0"/>
      <c r="Z114" s="20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35">
      <c r="A115" s="210"/>
      <c r="B115" s="236"/>
      <c r="C115" s="1"/>
      <c r="D115" s="22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0"/>
      <c r="Z115" s="20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35">
      <c r="A116" s="210"/>
      <c r="B116" s="236"/>
      <c r="C116" s="1"/>
      <c r="D116" s="22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0"/>
      <c r="Z116" s="20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35">
      <c r="A117" s="210"/>
      <c r="B117" s="236"/>
      <c r="C117" s="1"/>
      <c r="D117" s="22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0"/>
      <c r="Z117" s="20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35">
      <c r="A118" s="210"/>
      <c r="B118" s="236"/>
      <c r="C118" s="1"/>
      <c r="D118" s="22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0"/>
      <c r="Z118" s="20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35">
      <c r="A119" s="210"/>
      <c r="B119" s="236"/>
      <c r="C119" s="1"/>
      <c r="D119" s="22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0"/>
      <c r="Z119" s="20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35">
      <c r="A120" s="210"/>
      <c r="B120" s="236"/>
      <c r="C120" s="1"/>
      <c r="D120" s="22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0"/>
      <c r="Z120" s="20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35">
      <c r="A121" s="210"/>
      <c r="B121" s="236"/>
      <c r="C121" s="1"/>
      <c r="D121" s="22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0"/>
      <c r="Z121" s="20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35">
      <c r="A122" s="210"/>
      <c r="B122" s="236"/>
      <c r="C122" s="1"/>
      <c r="D122" s="22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0"/>
      <c r="Z122" s="20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35">
      <c r="A123" s="210"/>
      <c r="B123" s="236"/>
      <c r="C123" s="1"/>
      <c r="D123" s="22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0"/>
      <c r="Z123" s="20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35">
      <c r="A124" s="210"/>
      <c r="B124" s="236"/>
      <c r="C124" s="1"/>
      <c r="D124" s="22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0"/>
      <c r="Z124" s="20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35">
      <c r="A125" s="210"/>
      <c r="B125" s="236"/>
      <c r="C125" s="1"/>
      <c r="D125" s="22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0"/>
      <c r="Z125" s="20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35">
      <c r="A126" s="210"/>
      <c r="B126" s="236"/>
      <c r="C126" s="1"/>
      <c r="D126" s="22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0"/>
      <c r="Z126" s="20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35">
      <c r="A127" s="210"/>
      <c r="B127" s="236"/>
      <c r="C127" s="1"/>
      <c r="D127" s="22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0"/>
      <c r="Z127" s="20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35">
      <c r="A128" s="210"/>
      <c r="B128" s="236"/>
      <c r="C128" s="1"/>
      <c r="D128" s="22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0"/>
      <c r="Z128" s="20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35">
      <c r="A129" s="210"/>
      <c r="B129" s="236"/>
      <c r="C129" s="1"/>
      <c r="D129" s="22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0"/>
      <c r="Z129" s="20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35">
      <c r="A130" s="210"/>
      <c r="B130" s="236"/>
      <c r="C130" s="1"/>
      <c r="D130" s="2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20"/>
      <c r="Z130" s="20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35">
      <c r="A131" s="210"/>
      <c r="B131" s="236"/>
      <c r="C131" s="1"/>
      <c r="D131" s="2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20"/>
      <c r="Z131" s="20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35">
      <c r="A132" s="210"/>
      <c r="B132" s="236"/>
      <c r="C132" s="1"/>
      <c r="D132" s="22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20"/>
      <c r="Z132" s="20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35">
      <c r="A133" s="210"/>
      <c r="B133" s="236"/>
      <c r="C133" s="1"/>
      <c r="D133" s="22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20"/>
      <c r="Z133" s="20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35">
      <c r="A134" s="210"/>
      <c r="B134" s="236"/>
      <c r="C134" s="1"/>
      <c r="D134" s="22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20"/>
      <c r="Z134" s="20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35">
      <c r="A135" s="210"/>
      <c r="B135" s="236"/>
      <c r="C135" s="1"/>
      <c r="D135" s="22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20"/>
      <c r="Z135" s="20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35">
      <c r="A136" s="210"/>
      <c r="B136" s="236"/>
      <c r="C136" s="1"/>
      <c r="D136" s="22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20"/>
      <c r="Z136" s="20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35">
      <c r="A137" s="210"/>
      <c r="B137" s="236"/>
      <c r="C137" s="1"/>
      <c r="D137" s="22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0"/>
      <c r="Z137" s="20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35">
      <c r="A138" s="210"/>
      <c r="B138" s="236"/>
      <c r="C138" s="1"/>
      <c r="D138" s="22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0"/>
      <c r="Z138" s="20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35">
      <c r="A139" s="210"/>
      <c r="B139" s="236"/>
      <c r="C139" s="1"/>
      <c r="D139" s="22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20"/>
      <c r="Z139" s="20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35">
      <c r="A140" s="210"/>
      <c r="B140" s="236"/>
      <c r="C140" s="1"/>
      <c r="D140" s="22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20"/>
      <c r="Z140" s="20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35">
      <c r="A141" s="210"/>
      <c r="B141" s="236"/>
      <c r="C141" s="1"/>
      <c r="D141" s="22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20"/>
      <c r="Z141" s="20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35">
      <c r="A142" s="210"/>
      <c r="B142" s="236"/>
      <c r="C142" s="1"/>
      <c r="D142" s="2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20"/>
      <c r="Z142" s="20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35">
      <c r="A143" s="210"/>
      <c r="B143" s="236"/>
      <c r="C143" s="1"/>
      <c r="D143" s="2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20"/>
      <c r="Z143" s="20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35">
      <c r="A144" s="210"/>
      <c r="B144" s="236"/>
      <c r="C144" s="1"/>
      <c r="D144" s="2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20"/>
      <c r="Z144" s="20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35">
      <c r="A145" s="210"/>
      <c r="B145" s="236"/>
      <c r="C145" s="1"/>
      <c r="D145" s="22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20"/>
      <c r="Z145" s="20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35">
      <c r="A146" s="210"/>
      <c r="B146" s="236"/>
      <c r="C146" s="1"/>
      <c r="D146" s="2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20"/>
      <c r="Z146" s="20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35">
      <c r="A147" s="210"/>
      <c r="B147" s="236"/>
      <c r="C147" s="1"/>
      <c r="D147" s="22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20"/>
      <c r="Z147" s="20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35">
      <c r="A148" s="210"/>
      <c r="B148" s="236"/>
      <c r="C148" s="1"/>
      <c r="D148" s="22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20"/>
      <c r="Z148" s="20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35">
      <c r="A149" s="210"/>
      <c r="B149" s="236"/>
      <c r="C149" s="1"/>
      <c r="D149" s="2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20"/>
      <c r="Z149" s="20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35">
      <c r="A150" s="210"/>
      <c r="B150" s="236"/>
      <c r="C150" s="1"/>
      <c r="D150" s="2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20"/>
      <c r="Z150" s="20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35">
      <c r="A151" s="210"/>
      <c r="B151" s="236"/>
      <c r="C151" s="1"/>
      <c r="D151" s="22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20"/>
      <c r="Z151" s="20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35">
      <c r="A152" s="210"/>
      <c r="B152" s="236"/>
      <c r="C152" s="1"/>
      <c r="D152" s="22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0"/>
      <c r="Z152" s="20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35">
      <c r="A153" s="210"/>
      <c r="B153" s="236"/>
      <c r="C153" s="1"/>
      <c r="D153" s="22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20"/>
      <c r="Z153" s="20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35">
      <c r="A154" s="210"/>
      <c r="B154" s="236"/>
      <c r="C154" s="1"/>
      <c r="D154" s="2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20"/>
      <c r="Z154" s="20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35">
      <c r="A155" s="210"/>
      <c r="B155" s="236"/>
      <c r="C155" s="1"/>
      <c r="D155" s="22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20"/>
      <c r="Z155" s="20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35">
      <c r="A156" s="210"/>
      <c r="B156" s="236"/>
      <c r="C156" s="1"/>
      <c r="D156" s="22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20"/>
      <c r="Z156" s="20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35">
      <c r="A157" s="210"/>
      <c r="B157" s="236"/>
      <c r="C157" s="1"/>
      <c r="D157" s="22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0"/>
      <c r="Z157" s="20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35">
      <c r="A158" s="210"/>
      <c r="B158" s="236"/>
      <c r="C158" s="1"/>
      <c r="D158" s="2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0"/>
      <c r="Z158" s="20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35">
      <c r="A159" s="210"/>
      <c r="B159" s="236"/>
      <c r="C159" s="1"/>
      <c r="D159" s="22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20"/>
      <c r="Z159" s="20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35">
      <c r="A160" s="210"/>
      <c r="B160" s="236"/>
      <c r="C160" s="1"/>
      <c r="D160" s="22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20"/>
      <c r="Z160" s="20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35">
      <c r="A161" s="210"/>
      <c r="B161" s="236"/>
      <c r="C161" s="1"/>
      <c r="D161" s="22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20"/>
      <c r="Z161" s="20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35">
      <c r="A162" s="210"/>
      <c r="B162" s="236"/>
      <c r="C162" s="1"/>
      <c r="D162" s="22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20"/>
      <c r="Z162" s="20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35">
      <c r="A163" s="210"/>
      <c r="B163" s="236"/>
      <c r="C163" s="1"/>
      <c r="D163" s="22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20"/>
      <c r="Z163" s="20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35">
      <c r="A164" s="210"/>
      <c r="B164" s="236"/>
      <c r="C164" s="1"/>
      <c r="D164" s="22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20"/>
      <c r="Z164" s="20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35">
      <c r="A165" s="210"/>
      <c r="B165" s="236"/>
      <c r="C165" s="1"/>
      <c r="D165" s="2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20"/>
      <c r="Z165" s="20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35">
      <c r="A166" s="210"/>
      <c r="B166" s="236"/>
      <c r="C166" s="1"/>
      <c r="D166" s="2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20"/>
      <c r="Z166" s="20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35">
      <c r="A167" s="210"/>
      <c r="B167" s="236"/>
      <c r="C167" s="1"/>
      <c r="D167" s="22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20"/>
      <c r="Z167" s="20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35">
      <c r="A168" s="210"/>
      <c r="B168" s="236"/>
      <c r="C168" s="1"/>
      <c r="D168" s="22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20"/>
      <c r="Z168" s="20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35">
      <c r="A169" s="210"/>
      <c r="B169" s="236"/>
      <c r="C169" s="1"/>
      <c r="D169" s="2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20"/>
      <c r="Z169" s="20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35">
      <c r="A170" s="210"/>
      <c r="B170" s="236"/>
      <c r="C170" s="1"/>
      <c r="D170" s="22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20"/>
      <c r="Z170" s="20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35">
      <c r="A171" s="210"/>
      <c r="B171" s="236"/>
      <c r="C171" s="1"/>
      <c r="D171" s="22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0"/>
      <c r="Z171" s="20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35">
      <c r="A172" s="210"/>
      <c r="B172" s="236"/>
      <c r="C172" s="1"/>
      <c r="D172" s="22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0"/>
      <c r="Z172" s="20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35">
      <c r="A173" s="210"/>
      <c r="B173" s="236"/>
      <c r="C173" s="1"/>
      <c r="D173" s="22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0"/>
      <c r="Z173" s="20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35">
      <c r="A174" s="210"/>
      <c r="B174" s="236"/>
      <c r="C174" s="1"/>
      <c r="D174" s="22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0"/>
      <c r="Z174" s="20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35">
      <c r="A175" s="210"/>
      <c r="B175" s="236"/>
      <c r="C175" s="1"/>
      <c r="D175" s="22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0"/>
      <c r="Z175" s="20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35">
      <c r="A176" s="210"/>
      <c r="B176" s="236"/>
      <c r="C176" s="1"/>
      <c r="D176" s="22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0"/>
      <c r="Z176" s="20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35">
      <c r="A177" s="210"/>
      <c r="B177" s="236"/>
      <c r="C177" s="1"/>
      <c r="D177" s="22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0"/>
      <c r="Z177" s="20"/>
      <c r="AA177" s="1"/>
      <c r="AB177" s="1"/>
      <c r="AC177" s="1"/>
      <c r="AD177" s="1"/>
      <c r="AE177" s="1"/>
      <c r="AF177" s="1"/>
      <c r="AG177" s="1"/>
      <c r="AH177" s="1"/>
      <c r="AI177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9"/>
  <sheetViews>
    <sheetView rightToLeft="1" workbookViewId="0">
      <selection activeCell="G10" sqref="G10"/>
    </sheetView>
  </sheetViews>
  <sheetFormatPr defaultColWidth="9" defaultRowHeight="31" x14ac:dyDescent="0.7"/>
  <cols>
    <col min="1" max="1" width="9" style="67"/>
    <col min="2" max="2" width="8.08984375" style="67" customWidth="1"/>
    <col min="3" max="3" width="34.26953125" style="78" customWidth="1"/>
    <col min="4" max="4" width="38.453125" style="78" customWidth="1"/>
    <col min="5" max="5" width="17.36328125" style="78" customWidth="1"/>
    <col min="6" max="6" width="20.6328125" style="78" customWidth="1"/>
    <col min="7" max="7" width="12.7265625" style="78" customWidth="1"/>
    <col min="8" max="10" width="9" style="67"/>
    <col min="11" max="11" width="9.90625" style="67" bestFit="1" customWidth="1"/>
    <col min="12" max="16384" width="9" style="67"/>
  </cols>
  <sheetData>
    <row r="1" spans="1:11" ht="30" customHeight="1" x14ac:dyDescent="0.7">
      <c r="A1" s="59"/>
      <c r="B1" s="59"/>
      <c r="C1" s="59"/>
    </row>
    <row r="2" spans="1:11" ht="34.5" customHeight="1" x14ac:dyDescent="0.8">
      <c r="D2" s="260" t="s">
        <v>126</v>
      </c>
      <c r="E2" s="260"/>
      <c r="F2" s="81"/>
      <c r="G2" s="203"/>
    </row>
    <row r="3" spans="1:11" ht="34.5" customHeight="1" x14ac:dyDescent="0.8">
      <c r="D3" s="80" t="s">
        <v>23</v>
      </c>
      <c r="E3" s="80"/>
      <c r="G3" s="203"/>
    </row>
    <row r="4" spans="1:11" x14ac:dyDescent="0.7">
      <c r="G4" s="203"/>
    </row>
    <row r="5" spans="1:11" ht="33.5" x14ac:dyDescent="0.35">
      <c r="B5" s="90" t="s">
        <v>0</v>
      </c>
      <c r="C5" s="91" t="s">
        <v>7</v>
      </c>
      <c r="D5" s="91" t="s">
        <v>24</v>
      </c>
      <c r="E5" s="91" t="s">
        <v>4</v>
      </c>
      <c r="F5" s="91" t="s">
        <v>3</v>
      </c>
      <c r="G5" s="202" t="s">
        <v>6</v>
      </c>
    </row>
    <row r="6" spans="1:11" x14ac:dyDescent="0.7">
      <c r="B6" s="92">
        <v>1</v>
      </c>
      <c r="C6" s="93" t="s">
        <v>297</v>
      </c>
      <c r="D6" s="93" t="s">
        <v>298</v>
      </c>
      <c r="E6" s="93" t="s">
        <v>212</v>
      </c>
      <c r="F6" s="93">
        <v>1098554296</v>
      </c>
      <c r="G6" s="204">
        <v>45449</v>
      </c>
    </row>
    <row r="7" spans="1:11" x14ac:dyDescent="0.7">
      <c r="B7" s="92">
        <v>2</v>
      </c>
      <c r="C7" s="93" t="s">
        <v>508</v>
      </c>
      <c r="D7" s="93" t="s">
        <v>509</v>
      </c>
      <c r="E7" s="93" t="s">
        <v>212</v>
      </c>
      <c r="F7" s="93">
        <v>1008989207</v>
      </c>
      <c r="G7" s="204">
        <v>45463</v>
      </c>
    </row>
    <row r="8" spans="1:11" x14ac:dyDescent="0.7">
      <c r="B8" s="92">
        <v>3</v>
      </c>
      <c r="C8" s="94" t="s">
        <v>635</v>
      </c>
      <c r="D8" s="93" t="s">
        <v>636</v>
      </c>
      <c r="E8" s="93" t="s">
        <v>212</v>
      </c>
      <c r="F8" s="93">
        <v>1000300958</v>
      </c>
      <c r="G8" s="204">
        <v>45472</v>
      </c>
    </row>
    <row r="9" spans="1:11" x14ac:dyDescent="0.7">
      <c r="B9" s="92">
        <v>4</v>
      </c>
      <c r="C9" s="93" t="s">
        <v>637</v>
      </c>
      <c r="D9" s="93" t="s">
        <v>636</v>
      </c>
      <c r="E9" s="93" t="s">
        <v>212</v>
      </c>
      <c r="F9" s="93">
        <v>1002119430</v>
      </c>
      <c r="G9" s="204">
        <v>45472</v>
      </c>
    </row>
    <row r="10" spans="1:11" x14ac:dyDescent="0.7">
      <c r="B10" s="92">
        <v>5</v>
      </c>
      <c r="C10" s="93" t="s">
        <v>638</v>
      </c>
      <c r="D10" s="93" t="s">
        <v>639</v>
      </c>
      <c r="E10" s="93" t="s">
        <v>640</v>
      </c>
      <c r="F10" s="93">
        <v>1270810516</v>
      </c>
      <c r="G10" s="204">
        <v>45472</v>
      </c>
    </row>
    <row r="11" spans="1:11" x14ac:dyDescent="0.7">
      <c r="B11" s="92">
        <v>6</v>
      </c>
      <c r="C11" s="93"/>
      <c r="D11" s="93"/>
      <c r="E11" s="93"/>
      <c r="F11" s="93"/>
      <c r="G11" s="204"/>
      <c r="K11" s="118"/>
    </row>
    <row r="12" spans="1:11" x14ac:dyDescent="0.7">
      <c r="B12" s="92">
        <v>7</v>
      </c>
      <c r="C12" s="93"/>
      <c r="D12" s="93"/>
      <c r="E12" s="93"/>
      <c r="F12" s="93"/>
      <c r="G12" s="204"/>
      <c r="K12" s="118"/>
    </row>
    <row r="13" spans="1:11" x14ac:dyDescent="0.7">
      <c r="B13" s="92">
        <v>8</v>
      </c>
      <c r="C13" s="93"/>
      <c r="D13" s="93"/>
      <c r="E13" s="93"/>
      <c r="F13" s="93"/>
      <c r="G13" s="204"/>
    </row>
    <row r="14" spans="1:11" x14ac:dyDescent="0.7">
      <c r="B14" s="92">
        <v>9</v>
      </c>
      <c r="C14" s="93"/>
      <c r="D14" s="93"/>
      <c r="E14" s="93"/>
      <c r="F14" s="93"/>
      <c r="G14" s="204"/>
    </row>
    <row r="15" spans="1:11" x14ac:dyDescent="0.7">
      <c r="B15" s="92">
        <v>10</v>
      </c>
      <c r="C15" s="93"/>
      <c r="D15" s="93"/>
      <c r="E15" s="93"/>
      <c r="F15" s="93"/>
      <c r="G15" s="204"/>
    </row>
    <row r="16" spans="1:11" x14ac:dyDescent="0.7">
      <c r="B16" s="92">
        <v>11</v>
      </c>
      <c r="C16" s="93"/>
      <c r="D16" s="93"/>
      <c r="E16" s="93"/>
      <c r="F16" s="93"/>
      <c r="G16" s="204"/>
    </row>
    <row r="17" spans="2:8" x14ac:dyDescent="0.7">
      <c r="B17" s="92">
        <v>12</v>
      </c>
      <c r="C17" s="93"/>
      <c r="D17" s="93"/>
      <c r="E17" s="93"/>
      <c r="F17" s="93"/>
      <c r="G17" s="204"/>
    </row>
    <row r="18" spans="2:8" x14ac:dyDescent="0.7">
      <c r="B18" s="92">
        <v>13</v>
      </c>
      <c r="C18" s="93"/>
      <c r="D18" s="93"/>
      <c r="E18" s="93"/>
      <c r="F18" s="93"/>
      <c r="G18" s="204"/>
      <c r="H18" s="37"/>
    </row>
    <row r="19" spans="2:8" x14ac:dyDescent="0.7">
      <c r="B19" s="92">
        <v>14</v>
      </c>
      <c r="C19" s="93"/>
      <c r="D19" s="93"/>
      <c r="E19" s="93"/>
      <c r="F19" s="93"/>
      <c r="G19" s="204"/>
      <c r="H19" s="37"/>
    </row>
    <row r="20" spans="2:8" x14ac:dyDescent="0.7">
      <c r="B20" s="92">
        <v>15</v>
      </c>
      <c r="C20" s="93"/>
      <c r="D20" s="93"/>
      <c r="E20" s="93"/>
      <c r="F20" s="93"/>
      <c r="G20" s="204"/>
    </row>
    <row r="21" spans="2:8" x14ac:dyDescent="0.7">
      <c r="B21" s="92">
        <v>16</v>
      </c>
      <c r="C21" s="93"/>
      <c r="D21" s="93"/>
      <c r="E21" s="93"/>
      <c r="F21" s="93"/>
      <c r="G21" s="204"/>
    </row>
    <row r="22" spans="2:8" x14ac:dyDescent="0.7">
      <c r="B22" s="92">
        <v>17</v>
      </c>
      <c r="C22" s="93"/>
      <c r="D22" s="93"/>
      <c r="E22" s="93"/>
      <c r="F22" s="93"/>
      <c r="G22" s="204"/>
    </row>
    <row r="23" spans="2:8" x14ac:dyDescent="0.7">
      <c r="B23" s="92">
        <v>18</v>
      </c>
      <c r="C23" s="93"/>
      <c r="D23" s="93"/>
      <c r="E23" s="93"/>
      <c r="F23" s="93"/>
      <c r="G23" s="204"/>
    </row>
    <row r="24" spans="2:8" x14ac:dyDescent="0.7">
      <c r="B24" s="92">
        <v>19</v>
      </c>
      <c r="C24" s="93"/>
      <c r="D24" s="93"/>
      <c r="E24" s="93"/>
      <c r="F24" s="93"/>
      <c r="G24" s="204"/>
    </row>
    <row r="25" spans="2:8" x14ac:dyDescent="0.7">
      <c r="B25" s="92">
        <v>20</v>
      </c>
      <c r="C25" s="93"/>
      <c r="D25" s="93"/>
      <c r="E25" s="93"/>
      <c r="F25" s="93"/>
      <c r="G25" s="204"/>
    </row>
    <row r="26" spans="2:8" x14ac:dyDescent="0.7">
      <c r="B26" s="92">
        <v>21</v>
      </c>
      <c r="C26" s="93"/>
      <c r="D26" s="93"/>
      <c r="E26" s="93"/>
      <c r="F26" s="93"/>
      <c r="G26" s="204"/>
    </row>
    <row r="27" spans="2:8" x14ac:dyDescent="0.7">
      <c r="B27" s="92">
        <v>22</v>
      </c>
      <c r="C27" s="93"/>
      <c r="D27" s="93"/>
      <c r="E27" s="93"/>
      <c r="F27" s="93"/>
      <c r="G27" s="204"/>
    </row>
    <row r="28" spans="2:8" x14ac:dyDescent="0.7">
      <c r="B28" s="92">
        <v>23</v>
      </c>
      <c r="C28" s="93"/>
      <c r="D28" s="93"/>
      <c r="E28" s="93"/>
      <c r="F28" s="93"/>
      <c r="G28" s="204"/>
    </row>
    <row r="29" spans="2:8" x14ac:dyDescent="0.7">
      <c r="B29" s="92">
        <v>24</v>
      </c>
      <c r="C29" s="93"/>
      <c r="D29" s="93"/>
      <c r="E29" s="93"/>
      <c r="F29" s="93"/>
      <c r="G29" s="204"/>
    </row>
    <row r="30" spans="2:8" x14ac:dyDescent="0.7">
      <c r="B30" s="92">
        <v>25</v>
      </c>
      <c r="C30" s="95"/>
      <c r="D30" s="93"/>
      <c r="E30" s="93"/>
      <c r="F30" s="93"/>
      <c r="G30" s="204"/>
    </row>
    <row r="31" spans="2:8" x14ac:dyDescent="0.7">
      <c r="B31" s="92">
        <v>26</v>
      </c>
      <c r="C31" s="93"/>
      <c r="D31" s="93"/>
      <c r="E31" s="96"/>
      <c r="F31" s="97"/>
      <c r="G31" s="204"/>
    </row>
    <row r="32" spans="2:8" x14ac:dyDescent="0.7">
      <c r="B32" s="92">
        <v>27</v>
      </c>
      <c r="C32" s="93"/>
      <c r="D32" s="93"/>
      <c r="E32" s="96"/>
      <c r="F32" s="97"/>
      <c r="G32" s="204"/>
    </row>
    <row r="33" spans="2:7" x14ac:dyDescent="0.7">
      <c r="B33" s="92">
        <v>28</v>
      </c>
      <c r="C33" s="93"/>
      <c r="D33" s="93"/>
      <c r="E33" s="95"/>
      <c r="F33" s="98"/>
      <c r="G33" s="204"/>
    </row>
    <row r="34" spans="2:7" x14ac:dyDescent="0.7">
      <c r="B34" s="92">
        <v>29</v>
      </c>
      <c r="C34" s="99"/>
      <c r="D34" s="93"/>
      <c r="E34" s="99"/>
      <c r="F34" s="99"/>
      <c r="G34" s="204"/>
    </row>
    <row r="35" spans="2:7" x14ac:dyDescent="0.7">
      <c r="B35" s="92">
        <v>30</v>
      </c>
      <c r="C35" s="93"/>
      <c r="D35" s="93"/>
      <c r="E35" s="99"/>
      <c r="F35" s="99"/>
      <c r="G35" s="204"/>
    </row>
    <row r="36" spans="2:7" x14ac:dyDescent="0.7">
      <c r="B36" s="92">
        <v>31</v>
      </c>
      <c r="C36" s="93"/>
      <c r="D36" s="93"/>
      <c r="E36" s="93"/>
      <c r="F36" s="93"/>
      <c r="G36" s="204"/>
    </row>
    <row r="37" spans="2:7" x14ac:dyDescent="0.7">
      <c r="B37" s="92">
        <v>32</v>
      </c>
      <c r="C37" s="93"/>
      <c r="D37" s="93"/>
      <c r="E37" s="93"/>
      <c r="F37" s="93"/>
      <c r="G37" s="204"/>
    </row>
    <row r="38" spans="2:7" x14ac:dyDescent="0.7">
      <c r="B38" s="92">
        <v>34</v>
      </c>
      <c r="C38" s="93"/>
      <c r="D38" s="93"/>
      <c r="E38" s="93"/>
      <c r="F38" s="93"/>
      <c r="G38" s="204"/>
    </row>
    <row r="39" spans="2:7" x14ac:dyDescent="0.7">
      <c r="B39" s="92">
        <v>35</v>
      </c>
      <c r="C39" s="93"/>
      <c r="D39" s="93"/>
      <c r="E39" s="93"/>
      <c r="F39" s="93"/>
      <c r="G39" s="204"/>
    </row>
    <row r="40" spans="2:7" x14ac:dyDescent="0.7">
      <c r="B40" s="92">
        <v>36</v>
      </c>
      <c r="C40" s="99"/>
      <c r="D40" s="93"/>
      <c r="E40" s="99"/>
      <c r="F40" s="99"/>
      <c r="G40" s="204"/>
    </row>
    <row r="41" spans="2:7" x14ac:dyDescent="0.7">
      <c r="B41" s="92">
        <v>37</v>
      </c>
      <c r="C41" s="93"/>
      <c r="D41" s="93"/>
      <c r="E41" s="93"/>
      <c r="F41" s="93"/>
      <c r="G41" s="205"/>
    </row>
    <row r="42" spans="2:7" x14ac:dyDescent="0.7">
      <c r="B42" s="92">
        <v>38</v>
      </c>
      <c r="C42" s="99"/>
      <c r="D42" s="93"/>
      <c r="E42" s="99"/>
      <c r="F42" s="99"/>
      <c r="G42" s="205"/>
    </row>
    <row r="43" spans="2:7" x14ac:dyDescent="0.7">
      <c r="B43" s="92">
        <v>39</v>
      </c>
      <c r="C43" s="93"/>
      <c r="D43" s="93"/>
      <c r="E43" s="93"/>
      <c r="F43" s="93"/>
      <c r="G43" s="205"/>
    </row>
    <row r="44" spans="2:7" x14ac:dyDescent="0.7">
      <c r="B44" s="92">
        <v>40</v>
      </c>
      <c r="C44" s="93"/>
      <c r="D44" s="93"/>
      <c r="E44" s="93"/>
      <c r="F44" s="93"/>
      <c r="G44" s="205"/>
    </row>
    <row r="45" spans="2:7" x14ac:dyDescent="0.7">
      <c r="B45" s="92">
        <v>41</v>
      </c>
      <c r="C45" s="93"/>
      <c r="D45" s="93"/>
      <c r="E45" s="93"/>
      <c r="F45" s="93"/>
      <c r="G45" s="205"/>
    </row>
    <row r="46" spans="2:7" x14ac:dyDescent="0.7">
      <c r="B46" s="92">
        <v>42</v>
      </c>
      <c r="C46" s="95"/>
      <c r="D46" s="93"/>
      <c r="E46" s="95"/>
      <c r="F46" s="95"/>
      <c r="G46" s="205"/>
    </row>
    <row r="47" spans="2:7" x14ac:dyDescent="0.7">
      <c r="B47" s="92">
        <v>43</v>
      </c>
      <c r="C47" s="95"/>
      <c r="D47" s="95"/>
      <c r="E47" s="95"/>
      <c r="F47" s="95"/>
      <c r="G47" s="205"/>
    </row>
    <row r="48" spans="2:7" x14ac:dyDescent="0.7">
      <c r="B48" s="92">
        <v>44</v>
      </c>
      <c r="C48" s="92"/>
      <c r="D48" s="92"/>
      <c r="E48" s="92"/>
      <c r="F48" s="95"/>
      <c r="G48" s="205"/>
    </row>
    <row r="49" spans="2:7" x14ac:dyDescent="0.7">
      <c r="B49" s="92">
        <v>45</v>
      </c>
      <c r="C49" s="92"/>
      <c r="D49" s="92"/>
      <c r="E49" s="92"/>
      <c r="F49" s="92"/>
      <c r="G49" s="205"/>
    </row>
    <row r="50" spans="2:7" x14ac:dyDescent="0.7">
      <c r="B50" s="92">
        <v>46</v>
      </c>
      <c r="C50" s="92"/>
      <c r="D50" s="92"/>
      <c r="E50" s="92"/>
      <c r="F50" s="95"/>
      <c r="G50" s="205"/>
    </row>
    <row r="51" spans="2:7" x14ac:dyDescent="0.7">
      <c r="B51" s="92">
        <v>47</v>
      </c>
      <c r="C51" s="92"/>
      <c r="D51" s="92"/>
      <c r="E51" s="92"/>
      <c r="F51" s="95"/>
      <c r="G51" s="205"/>
    </row>
    <row r="52" spans="2:7" x14ac:dyDescent="0.7">
      <c r="B52" s="92">
        <v>48</v>
      </c>
      <c r="C52" s="92"/>
      <c r="D52" s="92"/>
      <c r="E52" s="92"/>
      <c r="F52" s="97"/>
      <c r="G52" s="205"/>
    </row>
    <row r="53" spans="2:7" x14ac:dyDescent="0.7">
      <c r="B53" s="92">
        <v>49</v>
      </c>
      <c r="C53" s="92"/>
      <c r="D53" s="92"/>
      <c r="E53" s="93"/>
      <c r="F53" s="92"/>
      <c r="G53" s="205"/>
    </row>
    <row r="54" spans="2:7" x14ac:dyDescent="0.7">
      <c r="B54" s="92">
        <v>50</v>
      </c>
      <c r="C54" s="93"/>
      <c r="D54" s="93"/>
      <c r="E54" s="93"/>
      <c r="F54" s="93"/>
      <c r="G54" s="204"/>
    </row>
    <row r="55" spans="2:7" x14ac:dyDescent="0.7">
      <c r="B55" s="92">
        <v>51</v>
      </c>
      <c r="C55" s="93"/>
      <c r="D55" s="93"/>
      <c r="E55" s="93"/>
      <c r="F55" s="93"/>
      <c r="G55" s="204"/>
    </row>
    <row r="56" spans="2:7" x14ac:dyDescent="0.7">
      <c r="B56" s="92">
        <v>52</v>
      </c>
      <c r="C56" s="93"/>
      <c r="D56" s="93"/>
      <c r="E56" s="93"/>
      <c r="F56" s="93"/>
      <c r="G56" s="204"/>
    </row>
    <row r="57" spans="2:7" x14ac:dyDescent="0.7">
      <c r="B57" s="92">
        <v>53</v>
      </c>
      <c r="C57" s="93"/>
      <c r="D57" s="93"/>
      <c r="E57" s="93"/>
      <c r="F57" s="93"/>
      <c r="G57" s="204"/>
    </row>
    <row r="58" spans="2:7" x14ac:dyDescent="0.7">
      <c r="B58" s="92">
        <v>54</v>
      </c>
      <c r="C58" s="93"/>
      <c r="D58" s="93"/>
      <c r="E58" s="93"/>
      <c r="F58" s="93"/>
      <c r="G58" s="204"/>
    </row>
    <row r="59" spans="2:7" x14ac:dyDescent="0.7">
      <c r="B59" s="92">
        <v>55</v>
      </c>
      <c r="C59" s="93"/>
      <c r="D59" s="93"/>
      <c r="E59" s="93"/>
      <c r="F59" s="93"/>
      <c r="G59" s="204"/>
    </row>
    <row r="60" spans="2:7" x14ac:dyDescent="0.7">
      <c r="B60" s="92">
        <v>56</v>
      </c>
      <c r="C60" s="93"/>
      <c r="D60" s="93"/>
      <c r="E60" s="93"/>
      <c r="F60" s="93"/>
      <c r="G60" s="204"/>
    </row>
    <row r="61" spans="2:7" x14ac:dyDescent="0.7">
      <c r="B61" s="92">
        <v>57</v>
      </c>
      <c r="C61" s="92"/>
      <c r="D61" s="92"/>
      <c r="E61" s="92"/>
      <c r="F61" s="92"/>
      <c r="G61" s="202"/>
    </row>
    <row r="62" spans="2:7" x14ac:dyDescent="0.7">
      <c r="B62" s="92">
        <v>58</v>
      </c>
      <c r="C62" s="92"/>
      <c r="D62" s="92"/>
      <c r="E62" s="92"/>
      <c r="F62" s="92"/>
      <c r="G62" s="202"/>
    </row>
    <row r="63" spans="2:7" x14ac:dyDescent="0.7">
      <c r="B63" s="92">
        <v>59</v>
      </c>
      <c r="C63" s="92"/>
      <c r="D63" s="92"/>
      <c r="E63" s="92"/>
      <c r="F63" s="92"/>
      <c r="G63" s="202"/>
    </row>
    <row r="64" spans="2:7" x14ac:dyDescent="0.7">
      <c r="B64" s="92">
        <v>60</v>
      </c>
      <c r="C64" s="92"/>
      <c r="D64" s="92"/>
      <c r="E64" s="92"/>
      <c r="F64" s="92"/>
      <c r="G64" s="202"/>
    </row>
    <row r="65" spans="2:7" x14ac:dyDescent="0.7">
      <c r="B65" s="92">
        <v>61</v>
      </c>
      <c r="C65" s="92"/>
      <c r="D65" s="92"/>
      <c r="E65" s="92"/>
      <c r="F65" s="92"/>
      <c r="G65" s="202"/>
    </row>
    <row r="66" spans="2:7" x14ac:dyDescent="0.7">
      <c r="B66" s="92">
        <v>62</v>
      </c>
      <c r="C66" s="92"/>
      <c r="D66" s="92"/>
      <c r="E66" s="92"/>
      <c r="F66" s="92"/>
      <c r="G66" s="202"/>
    </row>
    <row r="67" spans="2:7" x14ac:dyDescent="0.7">
      <c r="B67" s="92">
        <v>63</v>
      </c>
      <c r="C67" s="92"/>
      <c r="D67" s="92"/>
      <c r="E67" s="92"/>
      <c r="F67" s="92"/>
      <c r="G67" s="202"/>
    </row>
    <row r="68" spans="2:7" x14ac:dyDescent="0.7">
      <c r="B68" s="92">
        <v>64</v>
      </c>
      <c r="C68" s="92"/>
      <c r="D68" s="92"/>
      <c r="E68" s="92"/>
      <c r="F68" s="92"/>
      <c r="G68" s="202"/>
    </row>
    <row r="69" spans="2:7" x14ac:dyDescent="0.7">
      <c r="B69" s="92">
        <v>65</v>
      </c>
      <c r="C69" s="92"/>
      <c r="D69" s="92"/>
      <c r="E69" s="92"/>
      <c r="F69" s="92"/>
      <c r="G69" s="202"/>
    </row>
  </sheetData>
  <mergeCells count="1">
    <mergeCell ref="D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rightToLeft="1"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05"/>
  <sheetViews>
    <sheetView rightToLeft="1" topLeftCell="A252" zoomScale="55" zoomScaleNormal="55" workbookViewId="0">
      <selection activeCell="K269" sqref="K269"/>
    </sheetView>
  </sheetViews>
  <sheetFormatPr defaultRowHeight="14.5" x14ac:dyDescent="0.35"/>
  <cols>
    <col min="1" max="1" width="7" bestFit="1" customWidth="1"/>
    <col min="2" max="2" width="23.36328125" customWidth="1"/>
    <col min="3" max="3" width="21.81640625" customWidth="1"/>
    <col min="4" max="4" width="13.6328125" customWidth="1"/>
    <col min="5" max="5" width="20.7265625" customWidth="1"/>
    <col min="6" max="6" width="10.08984375" customWidth="1"/>
    <col min="7" max="7" width="8.36328125" customWidth="1"/>
    <col min="8" max="8" width="27.7265625" customWidth="1"/>
    <col min="9" max="9" width="23" customWidth="1"/>
    <col min="10" max="10" width="19.08984375" customWidth="1"/>
    <col min="11" max="11" width="12" bestFit="1" customWidth="1"/>
    <col min="12" max="12" width="10.08984375" bestFit="1" customWidth="1"/>
    <col min="13" max="13" width="10.54296875" bestFit="1" customWidth="1"/>
    <col min="14" max="14" width="12.7265625" customWidth="1"/>
    <col min="15" max="15" width="14.81640625" bestFit="1" customWidth="1"/>
    <col min="16" max="16" width="10.54296875" bestFit="1" customWidth="1"/>
    <col min="17" max="17" width="5.90625" bestFit="1" customWidth="1"/>
  </cols>
  <sheetData>
    <row r="1" spans="1:17" ht="30" customHeight="1" x14ac:dyDescent="0.35">
      <c r="A1" s="155" t="s">
        <v>0</v>
      </c>
      <c r="B1" s="155" t="s">
        <v>7</v>
      </c>
      <c r="C1" s="155" t="s">
        <v>662</v>
      </c>
      <c r="D1" s="155" t="s">
        <v>1</v>
      </c>
      <c r="E1" s="155" t="s">
        <v>3</v>
      </c>
      <c r="F1" s="155" t="s">
        <v>1701</v>
      </c>
      <c r="G1" s="155" t="s">
        <v>1268</v>
      </c>
      <c r="H1" s="155" t="s">
        <v>655</v>
      </c>
      <c r="I1" s="214" t="s">
        <v>26</v>
      </c>
      <c r="J1" s="273" t="s">
        <v>1732</v>
      </c>
      <c r="K1" s="276" t="s">
        <v>1805</v>
      </c>
      <c r="L1" s="276" t="s">
        <v>1806</v>
      </c>
      <c r="M1" s="276" t="s">
        <v>1808</v>
      </c>
      <c r="N1" s="161"/>
      <c r="O1" s="288" t="s">
        <v>20</v>
      </c>
      <c r="P1" s="288" t="s">
        <v>1808</v>
      </c>
    </row>
    <row r="2" spans="1:17" ht="26" x14ac:dyDescent="0.6">
      <c r="A2" s="71">
        <v>1</v>
      </c>
      <c r="B2" s="120" t="s">
        <v>690</v>
      </c>
      <c r="C2" s="121" t="s">
        <v>142</v>
      </c>
      <c r="D2" s="156" t="s">
        <v>1759</v>
      </c>
      <c r="E2" s="121">
        <v>1125656203</v>
      </c>
      <c r="F2" s="121" t="s">
        <v>1288</v>
      </c>
      <c r="G2" s="121">
        <v>62</v>
      </c>
      <c r="H2" s="122">
        <v>26412012403628</v>
      </c>
      <c r="I2" s="215">
        <v>46144</v>
      </c>
      <c r="J2" s="274" t="s">
        <v>1733</v>
      </c>
      <c r="K2" s="277" cm="1">
        <f t="array" ref="K2">IFERROR(IF(INDEX($P$6:$Q$40,MATCH(TRIM($C2),$O$6:$O$40,0),IF(TRIM($D2)="العينان",2,1))="","",INDEX($P$6:$Q$40,MATCH(TRIM($C2),$O$6:$O$40,0),IF(TRIM($D2)="العينان",2,1))),"")</f>
        <v>650</v>
      </c>
      <c r="L2" s="277">
        <f>IF($K2="","",$K2-$M2)</f>
        <v>487.5</v>
      </c>
      <c r="M2" s="277">
        <f>IF($K2="","",$K2*IFERROR(VLOOKUP(TRIM($J2),$O$2:$P$3,2,FALSE),0))</f>
        <v>162.5</v>
      </c>
      <c r="N2" s="216"/>
      <c r="O2" s="289" t="s">
        <v>1809</v>
      </c>
      <c r="P2" s="290">
        <v>0.27</v>
      </c>
    </row>
    <row r="3" spans="1:17" ht="26" x14ac:dyDescent="0.6">
      <c r="A3" s="71">
        <v>3</v>
      </c>
      <c r="B3" s="120" t="s">
        <v>691</v>
      </c>
      <c r="C3" s="121" t="s">
        <v>150</v>
      </c>
      <c r="D3" s="156" t="s">
        <v>1758</v>
      </c>
      <c r="E3" s="121">
        <v>1116626149</v>
      </c>
      <c r="F3" s="121" t="s">
        <v>459</v>
      </c>
      <c r="G3" s="121">
        <v>43</v>
      </c>
      <c r="H3" s="122">
        <v>28303110103741</v>
      </c>
      <c r="I3" s="215">
        <v>46144</v>
      </c>
      <c r="J3" s="274" t="s">
        <v>1733</v>
      </c>
      <c r="K3" s="277" cm="1">
        <f t="array" ref="K3">IFERROR(IF(INDEX($P$6:$Q$40,MATCH(TRIM($C3),$O$6:$O$40,0),IF(TRIM($D3)="العينان",2,1))="","",INDEX($P$6:$Q$40,MATCH(TRIM($C3),$O$6:$O$40,0),IF(TRIM($D3)="العينان",2,1))),"")</f>
        <v>400</v>
      </c>
      <c r="L3" s="277">
        <f t="shared" ref="L3:L66" si="0">IF($K3="","",$K3-$M3)</f>
        <v>300</v>
      </c>
      <c r="M3" s="277">
        <f t="shared" ref="M3:M66" si="1">IF($K3="","",$K3*IFERROR(VLOOKUP(TRIM($J3),$O$2:$P$3,2,FALSE),0))</f>
        <v>100</v>
      </c>
      <c r="N3" s="216"/>
      <c r="O3" s="289" t="s">
        <v>1733</v>
      </c>
      <c r="P3" s="290">
        <v>0.25</v>
      </c>
    </row>
    <row r="4" spans="1:17" ht="26" x14ac:dyDescent="0.6">
      <c r="A4" s="71">
        <v>4</v>
      </c>
      <c r="B4" s="120" t="s">
        <v>692</v>
      </c>
      <c r="C4" s="121" t="s">
        <v>142</v>
      </c>
      <c r="D4" s="156" t="s">
        <v>1759</v>
      </c>
      <c r="E4" s="121">
        <v>1123004452</v>
      </c>
      <c r="F4" s="121" t="s">
        <v>1288</v>
      </c>
      <c r="G4" s="121">
        <v>50</v>
      </c>
      <c r="H4" s="122">
        <v>27609012404057</v>
      </c>
      <c r="I4" s="215">
        <v>46144</v>
      </c>
      <c r="J4" s="274" t="s">
        <v>1733</v>
      </c>
      <c r="K4" s="277" cm="1">
        <f t="array" ref="K4">IFERROR(IF(INDEX($P$6:$Q$40,MATCH(TRIM($C4),$O$6:$O$40,0),IF(TRIM($D4)="العينان",2,1))="","",INDEX($P$6:$Q$40,MATCH(TRIM($C4),$O$6:$O$40,0),IF(TRIM($D4)="العينان",2,1))),"")</f>
        <v>650</v>
      </c>
      <c r="L4" s="277">
        <f t="shared" si="0"/>
        <v>487.5</v>
      </c>
      <c r="M4" s="277">
        <f t="shared" si="1"/>
        <v>162.5</v>
      </c>
      <c r="N4" s="216"/>
    </row>
    <row r="5" spans="1:17" ht="26" x14ac:dyDescent="0.6">
      <c r="A5" s="71">
        <v>5</v>
      </c>
      <c r="B5" s="120" t="s">
        <v>693</v>
      </c>
      <c r="C5" s="121" t="s">
        <v>1775</v>
      </c>
      <c r="D5" s="156" t="s">
        <v>1759</v>
      </c>
      <c r="E5" s="121">
        <v>1014004424</v>
      </c>
      <c r="F5" s="121" t="s">
        <v>212</v>
      </c>
      <c r="G5" s="121">
        <v>43</v>
      </c>
      <c r="H5" s="122">
        <v>28306232201352</v>
      </c>
      <c r="I5" s="215">
        <v>46144</v>
      </c>
      <c r="J5" s="274" t="s">
        <v>1733</v>
      </c>
      <c r="K5" s="277" cm="1">
        <f t="array" ref="K5">IFERROR(IF(INDEX($P$6:$Q$40,MATCH(TRIM($C5),$O$6:$O$40,0),IF(TRIM($D5)="العينان",2,1))="","",INDEX($P$6:$Q$40,MATCH(TRIM($C5),$O$6:$O$40,0),IF(TRIM($D5)="العينان",2,1))),"")</f>
        <v>500</v>
      </c>
      <c r="L5" s="277">
        <f t="shared" si="0"/>
        <v>375</v>
      </c>
      <c r="M5" s="277">
        <f t="shared" si="1"/>
        <v>125</v>
      </c>
      <c r="N5" s="216"/>
      <c r="O5" s="291" t="s">
        <v>662</v>
      </c>
      <c r="P5" s="291" t="s">
        <v>1810</v>
      </c>
      <c r="Q5" s="291" t="s">
        <v>1759</v>
      </c>
    </row>
    <row r="6" spans="1:17" ht="26" x14ac:dyDescent="0.6">
      <c r="A6" s="71">
        <v>6</v>
      </c>
      <c r="B6" s="120" t="s">
        <v>694</v>
      </c>
      <c r="C6" s="121" t="s">
        <v>145</v>
      </c>
      <c r="D6" s="156" t="s">
        <v>1759</v>
      </c>
      <c r="E6" s="121">
        <v>1125782743</v>
      </c>
      <c r="F6" s="121" t="s">
        <v>212</v>
      </c>
      <c r="G6" s="121">
        <v>35</v>
      </c>
      <c r="H6" s="122">
        <v>29201232402762</v>
      </c>
      <c r="I6" s="215">
        <v>46144</v>
      </c>
      <c r="J6" s="274" t="s">
        <v>1733</v>
      </c>
      <c r="K6" s="277" cm="1">
        <f t="array" ref="K6">IFERROR(IF(INDEX($P$6:$Q$40,MATCH(TRIM($C6),$O$6:$O$40,0),IF(TRIM($D6)="العينان",2,1))="","",INDEX($P$6:$Q$40,MATCH(TRIM($C6),$O$6:$O$40,0),IF(TRIM($D6)="العينان",2,1))),"")</f>
        <v>1200</v>
      </c>
      <c r="L6" s="277">
        <f t="shared" si="0"/>
        <v>900</v>
      </c>
      <c r="M6" s="277">
        <f t="shared" si="1"/>
        <v>300</v>
      </c>
      <c r="N6" s="216"/>
      <c r="O6" s="289" t="s">
        <v>142</v>
      </c>
      <c r="P6" s="292">
        <v>400</v>
      </c>
      <c r="Q6" s="292">
        <v>650</v>
      </c>
    </row>
    <row r="7" spans="1:17" ht="26" x14ac:dyDescent="0.6">
      <c r="A7" s="71">
        <v>7</v>
      </c>
      <c r="B7" s="120" t="s">
        <v>663</v>
      </c>
      <c r="C7" s="121" t="s">
        <v>150</v>
      </c>
      <c r="D7" s="156" t="s">
        <v>1759</v>
      </c>
      <c r="E7" s="121" t="s">
        <v>673</v>
      </c>
      <c r="F7" s="121" t="s">
        <v>212</v>
      </c>
      <c r="G7" s="121">
        <v>63</v>
      </c>
      <c r="H7" s="122">
        <v>26407112400584</v>
      </c>
      <c r="I7" s="215">
        <v>46144</v>
      </c>
      <c r="J7" s="274" t="s">
        <v>1733</v>
      </c>
      <c r="K7" s="277" cm="1">
        <f t="array" ref="K7">IFERROR(IF(INDEX($P$6:$Q$40,MATCH(TRIM($C7),$O$6:$O$40,0),IF(TRIM($D7)="العينان",2,1))="","",INDEX($P$6:$Q$40,MATCH(TRIM($C7),$O$6:$O$40,0),IF(TRIM($D7)="العينان",2,1))),"")</f>
        <v>550</v>
      </c>
      <c r="L7" s="277">
        <f t="shared" si="0"/>
        <v>412.5</v>
      </c>
      <c r="M7" s="277">
        <f t="shared" si="1"/>
        <v>137.5</v>
      </c>
      <c r="N7" s="216"/>
      <c r="O7" s="289" t="s">
        <v>1789</v>
      </c>
      <c r="P7" s="292">
        <v>400</v>
      </c>
      <c r="Q7" s="292">
        <v>650</v>
      </c>
    </row>
    <row r="8" spans="1:17" ht="26" x14ac:dyDescent="0.6">
      <c r="A8" s="71">
        <v>8</v>
      </c>
      <c r="B8" s="120" t="s">
        <v>695</v>
      </c>
      <c r="C8" s="121" t="s">
        <v>186</v>
      </c>
      <c r="D8" s="156" t="s">
        <v>1758</v>
      </c>
      <c r="E8" s="121">
        <v>1151591517</v>
      </c>
      <c r="F8" s="121" t="s">
        <v>212</v>
      </c>
      <c r="G8" s="121">
        <v>60</v>
      </c>
      <c r="H8" s="122">
        <v>26601042201431</v>
      </c>
      <c r="I8" s="215">
        <v>46146</v>
      </c>
      <c r="J8" s="274" t="s">
        <v>1734</v>
      </c>
      <c r="K8" s="277" cm="1">
        <f t="array" ref="K8">IFERROR(IF(INDEX($P$6:$Q$40,MATCH(TRIM($C8),$O$6:$O$40,0),IF(TRIM($D8)="العينان",2,1))="","",INDEX($P$6:$Q$40,MATCH(TRIM($C8),$O$6:$O$40,0),IF(TRIM($D8)="العينان",2,1))),"")</f>
        <v>250</v>
      </c>
      <c r="L8" s="277">
        <f t="shared" si="0"/>
        <v>182.5</v>
      </c>
      <c r="M8" s="277">
        <f t="shared" si="1"/>
        <v>67.5</v>
      </c>
      <c r="N8" s="216"/>
      <c r="O8" s="289" t="s">
        <v>150</v>
      </c>
      <c r="P8" s="292">
        <v>400</v>
      </c>
      <c r="Q8" s="292">
        <v>550</v>
      </c>
    </row>
    <row r="9" spans="1:17" ht="26" x14ac:dyDescent="0.6">
      <c r="A9" s="71">
        <v>9</v>
      </c>
      <c r="B9" s="120" t="s">
        <v>696</v>
      </c>
      <c r="C9" s="121" t="s">
        <v>145</v>
      </c>
      <c r="D9" s="156" t="s">
        <v>1757</v>
      </c>
      <c r="E9" s="121">
        <v>1142519752</v>
      </c>
      <c r="F9" s="121" t="s">
        <v>212</v>
      </c>
      <c r="G9" s="121">
        <v>65</v>
      </c>
      <c r="H9" s="122">
        <v>26111062200876</v>
      </c>
      <c r="I9" s="215">
        <v>46146</v>
      </c>
      <c r="J9" s="274" t="s">
        <v>1734</v>
      </c>
      <c r="K9" s="277" cm="1">
        <f t="array" ref="K9">IFERROR(IF(INDEX($P$6:$Q$40,MATCH(TRIM($C9),$O$6:$O$40,0),IF(TRIM($D9)="العينان",2,1))="","",INDEX($P$6:$Q$40,MATCH(TRIM($C9),$O$6:$O$40,0),IF(TRIM($D9)="العينان",2,1))),"")</f>
        <v>750</v>
      </c>
      <c r="L9" s="277">
        <f t="shared" si="0"/>
        <v>547.5</v>
      </c>
      <c r="M9" s="277">
        <f t="shared" si="1"/>
        <v>202.5</v>
      </c>
      <c r="N9" s="216"/>
      <c r="O9" s="289" t="s">
        <v>1775</v>
      </c>
      <c r="P9" s="292">
        <v>300</v>
      </c>
      <c r="Q9" s="292">
        <v>500</v>
      </c>
    </row>
    <row r="10" spans="1:17" ht="26" x14ac:dyDescent="0.6">
      <c r="A10" s="71">
        <v>10</v>
      </c>
      <c r="B10" s="120" t="s">
        <v>697</v>
      </c>
      <c r="C10" s="121" t="s">
        <v>142</v>
      </c>
      <c r="D10" s="156" t="s">
        <v>1758</v>
      </c>
      <c r="E10" s="121">
        <v>1141982065</v>
      </c>
      <c r="F10" s="121" t="s">
        <v>1288</v>
      </c>
      <c r="G10" s="121">
        <v>48</v>
      </c>
      <c r="H10" s="122">
        <v>27801042402995</v>
      </c>
      <c r="I10" s="215">
        <v>46146</v>
      </c>
      <c r="J10" s="274" t="s">
        <v>1734</v>
      </c>
      <c r="K10" s="277" cm="1">
        <f t="array" ref="K10">IFERROR(IF(INDEX($P$6:$Q$40,MATCH(TRIM($C10),$O$6:$O$40,0),IF(TRIM($D10)="العينان",2,1))="","",INDEX($P$6:$Q$40,MATCH(TRIM($C10),$O$6:$O$40,0),IF(TRIM($D10)="العينان",2,1))),"")</f>
        <v>400</v>
      </c>
      <c r="L10" s="277">
        <f t="shared" si="0"/>
        <v>292</v>
      </c>
      <c r="M10" s="277">
        <f t="shared" si="1"/>
        <v>108</v>
      </c>
      <c r="N10" s="216"/>
      <c r="O10" s="289" t="s">
        <v>186</v>
      </c>
      <c r="P10" s="292">
        <v>250</v>
      </c>
      <c r="Q10" s="292">
        <v>450</v>
      </c>
    </row>
    <row r="11" spans="1:17" ht="26" x14ac:dyDescent="0.6">
      <c r="A11" s="71">
        <v>11</v>
      </c>
      <c r="B11" s="120" t="s">
        <v>664</v>
      </c>
      <c r="C11" s="121" t="s">
        <v>142</v>
      </c>
      <c r="D11" s="156" t="s">
        <v>1759</v>
      </c>
      <c r="E11" s="121" t="s">
        <v>674</v>
      </c>
      <c r="F11" s="121" t="s">
        <v>212</v>
      </c>
      <c r="G11" s="121">
        <v>15</v>
      </c>
      <c r="H11" s="122">
        <v>31101262404616</v>
      </c>
      <c r="I11" s="215">
        <v>46146</v>
      </c>
      <c r="J11" s="274" t="s">
        <v>1734</v>
      </c>
      <c r="K11" s="277" cm="1">
        <f t="array" ref="K11">IFERROR(IF(INDEX($P$6:$Q$40,MATCH(TRIM($C11),$O$6:$O$40,0),IF(TRIM($D11)="العينان",2,1))="","",INDEX($P$6:$Q$40,MATCH(TRIM($C11),$O$6:$O$40,0),IF(TRIM($D11)="العينان",2,1))),"")</f>
        <v>650</v>
      </c>
      <c r="L11" s="277">
        <f t="shared" si="0"/>
        <v>474.5</v>
      </c>
      <c r="M11" s="277">
        <f t="shared" si="1"/>
        <v>175.5</v>
      </c>
      <c r="N11" s="216"/>
      <c r="O11" s="289" t="s">
        <v>145</v>
      </c>
      <c r="P11" s="292">
        <v>750</v>
      </c>
      <c r="Q11" s="292">
        <v>1200</v>
      </c>
    </row>
    <row r="12" spans="1:17" ht="26" x14ac:dyDescent="0.6">
      <c r="A12" s="71">
        <v>12</v>
      </c>
      <c r="B12" s="120" t="s">
        <v>698</v>
      </c>
      <c r="C12" s="121" t="s">
        <v>142</v>
      </c>
      <c r="D12" s="156" t="s">
        <v>1759</v>
      </c>
      <c r="E12" s="121">
        <v>1276001456</v>
      </c>
      <c r="F12" s="121" t="s">
        <v>212</v>
      </c>
      <c r="G12" s="121">
        <v>58</v>
      </c>
      <c r="H12" s="122">
        <v>26801212402231</v>
      </c>
      <c r="I12" s="215">
        <v>46146</v>
      </c>
      <c r="J12" s="274" t="s">
        <v>1734</v>
      </c>
      <c r="K12" s="277" cm="1">
        <f t="array" ref="K12">IFERROR(IF(INDEX($P$6:$Q$40,MATCH(TRIM($C12),$O$6:$O$40,0),IF(TRIM($D12)="العينان",2,1))="","",INDEX($P$6:$Q$40,MATCH(TRIM($C12),$O$6:$O$40,0),IF(TRIM($D12)="العينان",2,1))),"")</f>
        <v>650</v>
      </c>
      <c r="L12" s="277">
        <f t="shared" si="0"/>
        <v>474.5</v>
      </c>
      <c r="M12" s="277">
        <f t="shared" si="1"/>
        <v>175.5</v>
      </c>
      <c r="N12" s="216"/>
      <c r="O12" s="289" t="s">
        <v>1788</v>
      </c>
      <c r="P12" s="292">
        <v>750</v>
      </c>
      <c r="Q12" s="292">
        <v>1200</v>
      </c>
    </row>
    <row r="13" spans="1:17" ht="26" x14ac:dyDescent="0.6">
      <c r="A13" s="71">
        <v>13</v>
      </c>
      <c r="B13" s="120" t="s">
        <v>699</v>
      </c>
      <c r="C13" s="121" t="s">
        <v>142</v>
      </c>
      <c r="D13" s="156" t="s">
        <v>1757</v>
      </c>
      <c r="E13" s="121">
        <v>1121666590</v>
      </c>
      <c r="F13" s="121" t="s">
        <v>1288</v>
      </c>
      <c r="G13" s="121">
        <v>50</v>
      </c>
      <c r="H13" s="122">
        <v>27603112401685</v>
      </c>
      <c r="I13" s="215">
        <v>46146</v>
      </c>
      <c r="J13" s="274" t="s">
        <v>1734</v>
      </c>
      <c r="K13" s="277" cm="1">
        <f t="array" ref="K13">IFERROR(IF(INDEX($P$6:$Q$40,MATCH(TRIM($C13),$O$6:$O$40,0),IF(TRIM($D13)="العينان",2,1))="","",INDEX($P$6:$Q$40,MATCH(TRIM($C13),$O$6:$O$40,0),IF(TRIM($D13)="العينان",2,1))),"")</f>
        <v>400</v>
      </c>
      <c r="L13" s="277">
        <f t="shared" si="0"/>
        <v>292</v>
      </c>
      <c r="M13" s="277">
        <f t="shared" si="1"/>
        <v>108</v>
      </c>
      <c r="N13" s="216"/>
      <c r="O13" s="289" t="s">
        <v>1783</v>
      </c>
      <c r="P13" s="292">
        <v>750</v>
      </c>
      <c r="Q13" s="292">
        <v>1200</v>
      </c>
    </row>
    <row r="14" spans="1:17" ht="26" x14ac:dyDescent="0.6">
      <c r="A14" s="71">
        <v>14</v>
      </c>
      <c r="B14" s="120" t="s">
        <v>700</v>
      </c>
      <c r="C14" s="121" t="s">
        <v>145</v>
      </c>
      <c r="D14" s="156" t="s">
        <v>1759</v>
      </c>
      <c r="E14" s="121">
        <v>1127795324</v>
      </c>
      <c r="F14" s="121" t="s">
        <v>1288</v>
      </c>
      <c r="G14" s="121">
        <v>56</v>
      </c>
      <c r="H14" s="122">
        <v>27011242201233</v>
      </c>
      <c r="I14" s="215">
        <v>46146</v>
      </c>
      <c r="J14" s="274" t="s">
        <v>1734</v>
      </c>
      <c r="K14" s="277" cm="1">
        <f t="array" ref="K14">IFERROR(IF(INDEX($P$6:$Q$40,MATCH(TRIM($C14),$O$6:$O$40,0),IF(TRIM($D14)="العينان",2,1))="","",INDEX($P$6:$Q$40,MATCH(TRIM($C14),$O$6:$O$40,0),IF(TRIM($D14)="العينان",2,1))),"")</f>
        <v>1200</v>
      </c>
      <c r="L14" s="277">
        <f t="shared" si="0"/>
        <v>876</v>
      </c>
      <c r="M14" s="277">
        <f t="shared" si="1"/>
        <v>324</v>
      </c>
      <c r="N14" s="216"/>
      <c r="O14" s="289" t="s">
        <v>1785</v>
      </c>
      <c r="P14" s="292">
        <v>750</v>
      </c>
      <c r="Q14" s="292">
        <v>1200</v>
      </c>
    </row>
    <row r="15" spans="1:17" ht="26" x14ac:dyDescent="0.6">
      <c r="A15" s="71">
        <v>15</v>
      </c>
      <c r="B15" s="120" t="s">
        <v>701</v>
      </c>
      <c r="C15" s="121" t="s">
        <v>186</v>
      </c>
      <c r="D15" s="156" t="s">
        <v>1758</v>
      </c>
      <c r="E15" s="121">
        <v>1155309628</v>
      </c>
      <c r="F15" s="121" t="s">
        <v>261</v>
      </c>
      <c r="G15" s="121">
        <v>32</v>
      </c>
      <c r="H15" s="122">
        <v>29412222201191</v>
      </c>
      <c r="I15" s="215">
        <v>46149</v>
      </c>
      <c r="J15" s="274" t="s">
        <v>1734</v>
      </c>
      <c r="K15" s="277" cm="1">
        <f t="array" ref="K15">IFERROR(IF(INDEX($P$6:$Q$40,MATCH(TRIM($C15),$O$6:$O$40,0),IF(TRIM($D15)="العينان",2,1))="","",INDEX($P$6:$Q$40,MATCH(TRIM($C15),$O$6:$O$40,0),IF(TRIM($D15)="العينان",2,1))),"")</f>
        <v>250</v>
      </c>
      <c r="L15" s="277">
        <f t="shared" si="0"/>
        <v>182.5</v>
      </c>
      <c r="M15" s="277">
        <f t="shared" si="1"/>
        <v>67.5</v>
      </c>
      <c r="N15" s="216"/>
      <c r="O15" s="289" t="s">
        <v>1796</v>
      </c>
      <c r="P15" s="292">
        <v>750</v>
      </c>
      <c r="Q15" s="292">
        <v>1200</v>
      </c>
    </row>
    <row r="16" spans="1:17" ht="26" x14ac:dyDescent="0.6">
      <c r="A16" s="71">
        <v>16</v>
      </c>
      <c r="B16" s="120" t="s">
        <v>702</v>
      </c>
      <c r="C16" s="121" t="s">
        <v>186</v>
      </c>
      <c r="D16" s="156" t="s">
        <v>1757</v>
      </c>
      <c r="E16" s="121">
        <v>1119028110</v>
      </c>
      <c r="F16" s="121" t="s">
        <v>261</v>
      </c>
      <c r="G16" s="121">
        <v>82</v>
      </c>
      <c r="H16" s="122">
        <v>24404262400861</v>
      </c>
      <c r="I16" s="215">
        <v>46149</v>
      </c>
      <c r="J16" s="274" t="s">
        <v>1734</v>
      </c>
      <c r="K16" s="277" cm="1">
        <f t="array" ref="K16">IFERROR(IF(INDEX($P$6:$Q$40,MATCH(TRIM($C16),$O$6:$O$40,0),IF(TRIM($D16)="العينان",2,1))="","",INDEX($P$6:$Q$40,MATCH(TRIM($C16),$O$6:$O$40,0),IF(TRIM($D16)="العينان",2,1))),"")</f>
        <v>250</v>
      </c>
      <c r="L16" s="277">
        <f t="shared" si="0"/>
        <v>182.5</v>
      </c>
      <c r="M16" s="277">
        <f t="shared" si="1"/>
        <v>67.5</v>
      </c>
      <c r="N16" s="216"/>
      <c r="O16" s="289" t="s">
        <v>1800</v>
      </c>
      <c r="P16" s="292">
        <v>750</v>
      </c>
      <c r="Q16" s="292">
        <v>1200</v>
      </c>
    </row>
    <row r="17" spans="1:17" ht="26" x14ac:dyDescent="0.6">
      <c r="A17" s="71">
        <v>17</v>
      </c>
      <c r="B17" s="120" t="s">
        <v>665</v>
      </c>
      <c r="C17" s="121" t="s">
        <v>145</v>
      </c>
      <c r="D17" s="156" t="s">
        <v>1759</v>
      </c>
      <c r="E17" s="121">
        <v>1128794549</v>
      </c>
      <c r="F17" s="121" t="s">
        <v>212</v>
      </c>
      <c r="G17" s="121">
        <v>61</v>
      </c>
      <c r="H17" s="122">
        <v>26508192400777</v>
      </c>
      <c r="I17" s="215">
        <v>46149</v>
      </c>
      <c r="J17" s="274" t="s">
        <v>1734</v>
      </c>
      <c r="K17" s="277" cm="1">
        <f t="array" ref="K17">IFERROR(IF(INDEX($P$6:$Q$40,MATCH(TRIM($C17),$O$6:$O$40,0),IF(TRIM($D17)="العينان",2,1))="","",INDEX($P$6:$Q$40,MATCH(TRIM($C17),$O$6:$O$40,0),IF(TRIM($D17)="العينان",2,1))),"")</f>
        <v>1200</v>
      </c>
      <c r="L17" s="277">
        <f t="shared" si="0"/>
        <v>876</v>
      </c>
      <c r="M17" s="277">
        <f t="shared" si="1"/>
        <v>324</v>
      </c>
      <c r="N17" s="216"/>
      <c r="O17" s="289" t="s">
        <v>1811</v>
      </c>
      <c r="P17" s="292">
        <v>650</v>
      </c>
      <c r="Q17" s="292"/>
    </row>
    <row r="18" spans="1:17" ht="26" x14ac:dyDescent="0.6">
      <c r="A18" s="71">
        <v>18</v>
      </c>
      <c r="B18" s="120" t="s">
        <v>703</v>
      </c>
      <c r="C18" s="121" t="s">
        <v>1776</v>
      </c>
      <c r="D18" s="156" t="s">
        <v>1757</v>
      </c>
      <c r="E18" s="121">
        <v>1007099581</v>
      </c>
      <c r="F18" s="121" t="s">
        <v>1288</v>
      </c>
      <c r="G18" s="121">
        <v>61</v>
      </c>
      <c r="H18" s="122">
        <v>26510092401835</v>
      </c>
      <c r="I18" s="215">
        <v>46149</v>
      </c>
      <c r="J18" s="274" t="s">
        <v>1734</v>
      </c>
      <c r="K18" s="277" cm="1">
        <f t="array" ref="K18">IFERROR(IF(INDEX($P$6:$Q$40,MATCH(TRIM($C18),$O$6:$O$40,0),IF(TRIM($D18)="العينان",2,1))="","",INDEX($P$6:$Q$40,MATCH(TRIM($C18),$O$6:$O$40,0),IF(TRIM($D18)="العينان",2,1))),"")</f>
        <v>350</v>
      </c>
      <c r="L18" s="277">
        <f t="shared" si="0"/>
        <v>255.5</v>
      </c>
      <c r="M18" s="277">
        <f t="shared" si="1"/>
        <v>94.5</v>
      </c>
      <c r="N18" s="216"/>
      <c r="O18" s="289" t="s">
        <v>1790</v>
      </c>
      <c r="P18" s="292">
        <v>650</v>
      </c>
      <c r="Q18" s="292"/>
    </row>
    <row r="19" spans="1:17" ht="26" x14ac:dyDescent="0.6">
      <c r="A19" s="71">
        <v>19</v>
      </c>
      <c r="B19" s="120" t="s">
        <v>704</v>
      </c>
      <c r="C19" s="121" t="s">
        <v>142</v>
      </c>
      <c r="D19" s="156" t="s">
        <v>1758</v>
      </c>
      <c r="E19" s="121">
        <v>1092937279</v>
      </c>
      <c r="F19" s="121" t="s">
        <v>1288</v>
      </c>
      <c r="G19" s="121">
        <v>32</v>
      </c>
      <c r="H19" s="122">
        <v>29408222403365</v>
      </c>
      <c r="I19" s="215">
        <v>46149</v>
      </c>
      <c r="J19" s="274" t="s">
        <v>1734</v>
      </c>
      <c r="K19" s="277" cm="1">
        <f t="array" ref="K19">IFERROR(IF(INDEX($P$6:$Q$40,MATCH(TRIM($C19),$O$6:$O$40,0),IF(TRIM($D19)="العينان",2,1))="","",INDEX($P$6:$Q$40,MATCH(TRIM($C19),$O$6:$O$40,0),IF(TRIM($D19)="العينان",2,1))),"")</f>
        <v>400</v>
      </c>
      <c r="L19" s="277">
        <f t="shared" si="0"/>
        <v>292</v>
      </c>
      <c r="M19" s="277">
        <f t="shared" si="1"/>
        <v>108</v>
      </c>
      <c r="N19" s="216"/>
      <c r="O19" s="289" t="s">
        <v>1777</v>
      </c>
      <c r="P19" s="292">
        <v>650</v>
      </c>
      <c r="Q19" s="292"/>
    </row>
    <row r="20" spans="1:17" ht="26" x14ac:dyDescent="0.6">
      <c r="A20" s="71">
        <v>20</v>
      </c>
      <c r="B20" s="120" t="s">
        <v>666</v>
      </c>
      <c r="C20" s="121" t="s">
        <v>142</v>
      </c>
      <c r="D20" s="156" t="s">
        <v>1759</v>
      </c>
      <c r="E20" s="121" t="s">
        <v>675</v>
      </c>
      <c r="F20" s="121" t="s">
        <v>212</v>
      </c>
      <c r="G20" s="121">
        <v>42</v>
      </c>
      <c r="H20" s="122">
        <v>28201162403592</v>
      </c>
      <c r="I20" s="215">
        <v>46149</v>
      </c>
      <c r="J20" s="274" t="s">
        <v>1734</v>
      </c>
      <c r="K20" s="277" cm="1">
        <f t="array" ref="K20">IFERROR(IF(INDEX($P$6:$Q$40,MATCH(TRIM($C20),$O$6:$O$40,0),IF(TRIM($D20)="العينان",2,1))="","",INDEX($P$6:$Q$40,MATCH(TRIM($C20),$O$6:$O$40,0),IF(TRIM($D20)="العينان",2,1))),"")</f>
        <v>650</v>
      </c>
      <c r="L20" s="277">
        <f t="shared" si="0"/>
        <v>474.5</v>
      </c>
      <c r="M20" s="277">
        <f t="shared" si="1"/>
        <v>175.5</v>
      </c>
      <c r="N20" s="216"/>
      <c r="O20" s="289" t="s">
        <v>1780</v>
      </c>
      <c r="P20" s="292">
        <v>650</v>
      </c>
      <c r="Q20" s="292"/>
    </row>
    <row r="21" spans="1:17" ht="26" x14ac:dyDescent="0.6">
      <c r="A21" s="71">
        <v>21</v>
      </c>
      <c r="B21" s="120" t="s">
        <v>705</v>
      </c>
      <c r="C21" s="121" t="s">
        <v>142</v>
      </c>
      <c r="D21" s="156" t="s">
        <v>1757</v>
      </c>
      <c r="E21" s="121">
        <v>1144351403</v>
      </c>
      <c r="F21" s="121" t="s">
        <v>1288</v>
      </c>
      <c r="G21" s="121">
        <v>33</v>
      </c>
      <c r="H21" s="122">
        <v>29312212402312</v>
      </c>
      <c r="I21" s="215">
        <v>46149</v>
      </c>
      <c r="J21" s="274" t="s">
        <v>1734</v>
      </c>
      <c r="K21" s="277" cm="1">
        <f t="array" ref="K21">IFERROR(IF(INDEX($P$6:$Q$40,MATCH(TRIM($C21),$O$6:$O$40,0),IF(TRIM($D21)="العينان",2,1))="","",INDEX($P$6:$Q$40,MATCH(TRIM($C21),$O$6:$O$40,0),IF(TRIM($D21)="العينان",2,1))),"")</f>
        <v>400</v>
      </c>
      <c r="L21" s="277">
        <f t="shared" si="0"/>
        <v>292</v>
      </c>
      <c r="M21" s="277">
        <f t="shared" si="1"/>
        <v>108</v>
      </c>
      <c r="N21" s="216"/>
      <c r="O21" s="289" t="s">
        <v>1794</v>
      </c>
      <c r="P21" s="292">
        <v>650</v>
      </c>
      <c r="Q21" s="292"/>
    </row>
    <row r="22" spans="1:17" ht="26" x14ac:dyDescent="0.6">
      <c r="A22" s="71">
        <v>22</v>
      </c>
      <c r="B22" s="120" t="s">
        <v>667</v>
      </c>
      <c r="C22" s="121" t="s">
        <v>142</v>
      </c>
      <c r="D22" s="156" t="s">
        <v>1759</v>
      </c>
      <c r="E22" s="121" t="s">
        <v>676</v>
      </c>
      <c r="F22" s="121" t="s">
        <v>212</v>
      </c>
      <c r="G22" s="121">
        <v>57</v>
      </c>
      <c r="H22" s="122">
        <v>26904282400272</v>
      </c>
      <c r="I22" s="215">
        <v>46149</v>
      </c>
      <c r="J22" s="274" t="s">
        <v>1734</v>
      </c>
      <c r="K22" s="277" cm="1">
        <f t="array" ref="K22">IFERROR(IF(INDEX($P$6:$Q$40,MATCH(TRIM($C22),$O$6:$O$40,0),IF(TRIM($D22)="العينان",2,1))="","",INDEX($P$6:$Q$40,MATCH(TRIM($C22),$O$6:$O$40,0),IF(TRIM($D22)="العينان",2,1))),"")</f>
        <v>650</v>
      </c>
      <c r="L22" s="277">
        <f t="shared" si="0"/>
        <v>474.5</v>
      </c>
      <c r="M22" s="277">
        <f t="shared" si="1"/>
        <v>175.5</v>
      </c>
      <c r="N22" s="216"/>
      <c r="O22" s="293" t="s">
        <v>200</v>
      </c>
      <c r="P22" s="292">
        <v>300</v>
      </c>
      <c r="Q22" s="292">
        <v>300</v>
      </c>
    </row>
    <row r="23" spans="1:17" ht="26" x14ac:dyDescent="0.6">
      <c r="A23" s="71">
        <v>23</v>
      </c>
      <c r="B23" s="120" t="s">
        <v>656</v>
      </c>
      <c r="C23" s="121" t="s">
        <v>145</v>
      </c>
      <c r="D23" s="156" t="s">
        <v>1759</v>
      </c>
      <c r="E23" s="121">
        <v>1126353526</v>
      </c>
      <c r="F23" s="121" t="s">
        <v>212</v>
      </c>
      <c r="G23" s="121">
        <v>67</v>
      </c>
      <c r="H23" s="122">
        <v>25905232401602</v>
      </c>
      <c r="I23" s="215">
        <v>46151</v>
      </c>
      <c r="J23" s="274" t="s">
        <v>1733</v>
      </c>
      <c r="K23" s="277" cm="1">
        <f t="array" ref="K23">IFERROR(IF(INDEX($P$6:$Q$40,MATCH(TRIM($C23),$O$6:$O$40,0),IF(TRIM($D23)="العينان",2,1))="","",INDEX($P$6:$Q$40,MATCH(TRIM($C23),$O$6:$O$40,0),IF(TRIM($D23)="العينان",2,1))),"")</f>
        <v>1200</v>
      </c>
      <c r="L23" s="277">
        <f t="shared" si="0"/>
        <v>900</v>
      </c>
      <c r="M23" s="277">
        <f t="shared" si="1"/>
        <v>300</v>
      </c>
      <c r="N23" s="216"/>
      <c r="O23" s="289" t="s">
        <v>1812</v>
      </c>
      <c r="P23" s="292">
        <v>150</v>
      </c>
      <c r="Q23" s="292">
        <v>300</v>
      </c>
    </row>
    <row r="24" spans="1:17" ht="26" x14ac:dyDescent="0.6">
      <c r="A24" s="71">
        <v>24</v>
      </c>
      <c r="B24" s="120" t="s">
        <v>706</v>
      </c>
      <c r="C24" s="121" t="s">
        <v>1777</v>
      </c>
      <c r="D24" s="156" t="s">
        <v>1758</v>
      </c>
      <c r="E24" s="121">
        <v>1031239691</v>
      </c>
      <c r="F24" s="121" t="s">
        <v>1288</v>
      </c>
      <c r="G24" s="121">
        <v>39</v>
      </c>
      <c r="H24" s="122">
        <v>28702042403458</v>
      </c>
      <c r="I24" s="215">
        <v>46151</v>
      </c>
      <c r="J24" s="274" t="s">
        <v>1733</v>
      </c>
      <c r="K24" s="277" cm="1">
        <f t="array" ref="K24">IFERROR(IF(INDEX($P$6:$Q$40,MATCH(TRIM($C24),$O$6:$O$40,0),IF(TRIM($D24)="العينان",2,1))="","",INDEX($P$6:$Q$40,MATCH(TRIM($C24),$O$6:$O$40,0),IF(TRIM($D24)="العينان",2,1))),"")</f>
        <v>650</v>
      </c>
      <c r="L24" s="277">
        <f t="shared" si="0"/>
        <v>487.5</v>
      </c>
      <c r="M24" s="277">
        <f t="shared" si="1"/>
        <v>162.5</v>
      </c>
      <c r="N24" s="216"/>
      <c r="O24" s="289" t="s">
        <v>215</v>
      </c>
      <c r="P24" s="292">
        <v>150</v>
      </c>
      <c r="Q24" s="292">
        <v>300</v>
      </c>
    </row>
    <row r="25" spans="1:17" ht="26" x14ac:dyDescent="0.6">
      <c r="A25" s="71">
        <v>25</v>
      </c>
      <c r="B25" s="120" t="s">
        <v>707</v>
      </c>
      <c r="C25" s="121" t="s">
        <v>145</v>
      </c>
      <c r="D25" s="156" t="s">
        <v>1759</v>
      </c>
      <c r="E25" s="121">
        <v>1205421788</v>
      </c>
      <c r="F25" s="121" t="s">
        <v>1288</v>
      </c>
      <c r="G25" s="121">
        <v>55</v>
      </c>
      <c r="H25" s="122">
        <v>27105052401303</v>
      </c>
      <c r="I25" s="215">
        <v>46151</v>
      </c>
      <c r="J25" s="274" t="s">
        <v>1733</v>
      </c>
      <c r="K25" s="277" cm="1">
        <f t="array" ref="K25">IFERROR(IF(INDEX($P$6:$Q$40,MATCH(TRIM($C25),$O$6:$O$40,0),IF(TRIM($D25)="العينان",2,1))="","",INDEX($P$6:$Q$40,MATCH(TRIM($C25),$O$6:$O$40,0),IF(TRIM($D25)="العينان",2,1))),"")</f>
        <v>1200</v>
      </c>
      <c r="L25" s="277">
        <f t="shared" si="0"/>
        <v>900</v>
      </c>
      <c r="M25" s="277">
        <f t="shared" si="1"/>
        <v>300</v>
      </c>
      <c r="N25" s="216"/>
      <c r="O25" s="289" t="s">
        <v>1779</v>
      </c>
      <c r="P25" s="292">
        <v>350</v>
      </c>
      <c r="Q25" s="292">
        <v>650</v>
      </c>
    </row>
    <row r="26" spans="1:17" ht="26" x14ac:dyDescent="0.6">
      <c r="A26" s="71">
        <v>26</v>
      </c>
      <c r="B26" s="120" t="s">
        <v>708</v>
      </c>
      <c r="C26" s="121" t="s">
        <v>150</v>
      </c>
      <c r="D26" s="156" t="s">
        <v>1759</v>
      </c>
      <c r="E26" s="121">
        <v>1115821134</v>
      </c>
      <c r="F26" s="121" t="s">
        <v>212</v>
      </c>
      <c r="G26" s="121">
        <v>51</v>
      </c>
      <c r="H26" s="122">
        <v>27511032402531</v>
      </c>
      <c r="I26" s="215">
        <v>46151</v>
      </c>
      <c r="J26" s="274" t="s">
        <v>1733</v>
      </c>
      <c r="K26" s="277" cm="1">
        <f t="array" ref="K26">IFERROR(IF(INDEX($P$6:$Q$40,MATCH(TRIM($C26),$O$6:$O$40,0),IF(TRIM($D26)="العينان",2,1))="","",INDEX($P$6:$Q$40,MATCH(TRIM($C26),$O$6:$O$40,0),IF(TRIM($D26)="العينان",2,1))),"")</f>
        <v>550</v>
      </c>
      <c r="L26" s="277">
        <f t="shared" si="0"/>
        <v>412.5</v>
      </c>
      <c r="M26" s="277">
        <f t="shared" si="1"/>
        <v>137.5</v>
      </c>
      <c r="N26" s="216"/>
      <c r="O26" s="289" t="s">
        <v>1776</v>
      </c>
      <c r="P26" s="292">
        <v>350</v>
      </c>
      <c r="Q26" s="292">
        <v>650</v>
      </c>
    </row>
    <row r="27" spans="1:17" ht="26" x14ac:dyDescent="0.6">
      <c r="A27" s="71">
        <v>27</v>
      </c>
      <c r="B27" s="120" t="s">
        <v>709</v>
      </c>
      <c r="C27" s="121" t="s">
        <v>186</v>
      </c>
      <c r="D27" s="156" t="s">
        <v>1758</v>
      </c>
      <c r="E27" s="121">
        <v>1154418255</v>
      </c>
      <c r="F27" s="121" t="s">
        <v>212</v>
      </c>
      <c r="G27" s="121">
        <v>59</v>
      </c>
      <c r="H27" s="122">
        <v>26710292400905</v>
      </c>
      <c r="I27" s="215">
        <v>46151</v>
      </c>
      <c r="J27" s="274" t="s">
        <v>1733</v>
      </c>
      <c r="K27" s="277" cm="1">
        <f t="array" ref="K27">IFERROR(IF(INDEX($P$6:$Q$40,MATCH(TRIM($C27),$O$6:$O$40,0),IF(TRIM($D27)="العينان",2,1))="","",INDEX($P$6:$Q$40,MATCH(TRIM($C27),$O$6:$O$40,0),IF(TRIM($D27)="العينان",2,1))),"")</f>
        <v>250</v>
      </c>
      <c r="L27" s="277">
        <f t="shared" si="0"/>
        <v>187.5</v>
      </c>
      <c r="M27" s="277">
        <f t="shared" si="1"/>
        <v>62.5</v>
      </c>
      <c r="N27" s="216"/>
      <c r="O27" s="289" t="s">
        <v>1795</v>
      </c>
      <c r="P27" s="292">
        <v>350</v>
      </c>
      <c r="Q27" s="292">
        <v>650</v>
      </c>
    </row>
    <row r="28" spans="1:17" ht="26" x14ac:dyDescent="0.6">
      <c r="A28" s="71">
        <v>28</v>
      </c>
      <c r="B28" s="120" t="s">
        <v>710</v>
      </c>
      <c r="C28" s="121" t="s">
        <v>142</v>
      </c>
      <c r="D28" s="156" t="s">
        <v>1759</v>
      </c>
      <c r="E28" s="121">
        <v>1127108230</v>
      </c>
      <c r="F28" s="121" t="s">
        <v>212</v>
      </c>
      <c r="G28" s="121">
        <v>73</v>
      </c>
      <c r="H28" s="122">
        <v>25304082401401</v>
      </c>
      <c r="I28" s="215">
        <v>46151</v>
      </c>
      <c r="J28" s="274" t="s">
        <v>1733</v>
      </c>
      <c r="K28" s="277" cm="1">
        <f t="array" ref="K28">IFERROR(IF(INDEX($P$6:$Q$40,MATCH(TRIM($C28),$O$6:$O$40,0),IF(TRIM($D28)="العينان",2,1))="","",INDEX($P$6:$Q$40,MATCH(TRIM($C28),$O$6:$O$40,0),IF(TRIM($D28)="العينان",2,1))),"")</f>
        <v>650</v>
      </c>
      <c r="L28" s="277">
        <f t="shared" si="0"/>
        <v>487.5</v>
      </c>
      <c r="M28" s="277">
        <f t="shared" si="1"/>
        <v>162.5</v>
      </c>
      <c r="N28" s="216"/>
      <c r="O28" s="289" t="s">
        <v>1786</v>
      </c>
      <c r="P28" s="292">
        <v>350</v>
      </c>
      <c r="Q28" s="292">
        <v>650</v>
      </c>
    </row>
    <row r="29" spans="1:17" ht="26" x14ac:dyDescent="0.6">
      <c r="A29" s="71">
        <v>29</v>
      </c>
      <c r="B29" s="120" t="s">
        <v>711</v>
      </c>
      <c r="C29" s="121" t="s">
        <v>186</v>
      </c>
      <c r="D29" s="156" t="s">
        <v>1757</v>
      </c>
      <c r="E29" s="121">
        <v>117516481</v>
      </c>
      <c r="F29" s="121" t="s">
        <v>1288</v>
      </c>
      <c r="G29" s="121">
        <v>47</v>
      </c>
      <c r="H29" s="122">
        <v>27901272402662</v>
      </c>
      <c r="I29" s="215">
        <v>46151</v>
      </c>
      <c r="J29" s="274" t="s">
        <v>1733</v>
      </c>
      <c r="K29" s="277" cm="1">
        <f t="array" ref="K29">IFERROR(IF(INDEX($P$6:$Q$40,MATCH(TRIM($C29),$O$6:$O$40,0),IF(TRIM($D29)="العينان",2,1))="","",INDEX($P$6:$Q$40,MATCH(TRIM($C29),$O$6:$O$40,0),IF(TRIM($D29)="العينان",2,1))),"")</f>
        <v>250</v>
      </c>
      <c r="L29" s="277">
        <f t="shared" si="0"/>
        <v>187.5</v>
      </c>
      <c r="M29" s="277">
        <f t="shared" si="1"/>
        <v>62.5</v>
      </c>
      <c r="N29" s="216"/>
      <c r="O29" s="289" t="s">
        <v>1813</v>
      </c>
      <c r="P29" s="292">
        <v>300</v>
      </c>
      <c r="Q29" s="292">
        <v>300</v>
      </c>
    </row>
    <row r="30" spans="1:17" ht="26" x14ac:dyDescent="0.6">
      <c r="A30" s="71">
        <v>30</v>
      </c>
      <c r="B30" s="120" t="s">
        <v>668</v>
      </c>
      <c r="C30" s="121" t="s">
        <v>1778</v>
      </c>
      <c r="D30" s="156" t="s">
        <v>1759</v>
      </c>
      <c r="E30" s="121" t="s">
        <v>677</v>
      </c>
      <c r="F30" s="121" t="s">
        <v>212</v>
      </c>
      <c r="G30" s="121">
        <v>54</v>
      </c>
      <c r="H30" s="122">
        <v>27205032401972</v>
      </c>
      <c r="I30" s="215">
        <v>46153</v>
      </c>
      <c r="J30" s="274" t="s">
        <v>1734</v>
      </c>
      <c r="K30" s="277">
        <v>1200</v>
      </c>
      <c r="L30" s="277">
        <f t="shared" si="0"/>
        <v>876</v>
      </c>
      <c r="M30" s="277">
        <f t="shared" si="1"/>
        <v>324</v>
      </c>
      <c r="N30" s="216"/>
      <c r="O30" s="289"/>
      <c r="P30" s="289"/>
      <c r="Q30" s="289"/>
    </row>
    <row r="31" spans="1:17" ht="26" x14ac:dyDescent="0.6">
      <c r="A31" s="71">
        <v>31</v>
      </c>
      <c r="B31" s="120" t="s">
        <v>712</v>
      </c>
      <c r="C31" s="121" t="s">
        <v>142</v>
      </c>
      <c r="D31" s="156" t="s">
        <v>1759</v>
      </c>
      <c r="E31" s="121">
        <v>1272210988</v>
      </c>
      <c r="F31" s="121" t="s">
        <v>212</v>
      </c>
      <c r="G31" s="121">
        <v>37</v>
      </c>
      <c r="H31" s="122">
        <v>2890303240339</v>
      </c>
      <c r="I31" s="215">
        <v>46153</v>
      </c>
      <c r="J31" s="274" t="s">
        <v>1734</v>
      </c>
      <c r="K31" s="277" cm="1">
        <f t="array" ref="K31">IFERROR(IF(INDEX($P$6:$Q$40,MATCH(TRIM($C31),$O$6:$O$40,0),IF(TRIM($D31)="العينان",2,1))="","",INDEX($P$6:$Q$40,MATCH(TRIM($C31),$O$6:$O$40,0),IF(TRIM($D31)="العينان",2,1))),"")</f>
        <v>650</v>
      </c>
      <c r="L31" s="277">
        <f t="shared" si="0"/>
        <v>474.5</v>
      </c>
      <c r="M31" s="277">
        <f t="shared" si="1"/>
        <v>175.5</v>
      </c>
      <c r="N31" s="216"/>
      <c r="O31" s="289"/>
      <c r="P31" s="289"/>
      <c r="Q31" s="289"/>
    </row>
    <row r="32" spans="1:17" ht="26" x14ac:dyDescent="0.6">
      <c r="A32" s="71">
        <v>32</v>
      </c>
      <c r="B32" s="120" t="s">
        <v>713</v>
      </c>
      <c r="C32" s="121" t="s">
        <v>1779</v>
      </c>
      <c r="D32" s="156" t="s">
        <v>1757</v>
      </c>
      <c r="E32" s="121">
        <v>1140834470</v>
      </c>
      <c r="F32" s="121" t="s">
        <v>1288</v>
      </c>
      <c r="G32" s="121">
        <v>38</v>
      </c>
      <c r="H32" s="122">
        <v>28807052402693</v>
      </c>
      <c r="I32" s="215">
        <v>46153</v>
      </c>
      <c r="J32" s="274" t="s">
        <v>1734</v>
      </c>
      <c r="K32" s="277" cm="1">
        <f t="array" ref="K32">IFERROR(IF(INDEX($P$6:$Q$40,MATCH(TRIM($C32),$O$6:$O$40,0),IF(TRIM($D32)="العينان",2,1))="","",INDEX($P$6:$Q$40,MATCH(TRIM($C32),$O$6:$O$40,0),IF(TRIM($D32)="العينان",2,1))),"")</f>
        <v>350</v>
      </c>
      <c r="L32" s="277">
        <f t="shared" si="0"/>
        <v>255.5</v>
      </c>
      <c r="M32" s="277">
        <f t="shared" si="1"/>
        <v>94.5</v>
      </c>
      <c r="N32" s="216"/>
      <c r="O32" s="289"/>
      <c r="P32" s="289"/>
      <c r="Q32" s="289"/>
    </row>
    <row r="33" spans="1:17" ht="26" x14ac:dyDescent="0.6">
      <c r="A33" s="71">
        <v>33</v>
      </c>
      <c r="B33" s="120" t="s">
        <v>714</v>
      </c>
      <c r="C33" s="121" t="s">
        <v>186</v>
      </c>
      <c r="D33" s="156" t="s">
        <v>1759</v>
      </c>
      <c r="E33" s="121">
        <v>11571644920</v>
      </c>
      <c r="F33" s="121" t="s">
        <v>261</v>
      </c>
      <c r="G33" s="121">
        <v>65</v>
      </c>
      <c r="H33" s="122">
        <v>261060042400964</v>
      </c>
      <c r="I33" s="215">
        <v>46153</v>
      </c>
      <c r="J33" s="274" t="s">
        <v>1734</v>
      </c>
      <c r="K33" s="277" cm="1">
        <f t="array" ref="K33">IFERROR(IF(INDEX($P$6:$Q$40,MATCH(TRIM($C33),$O$6:$O$40,0),IF(TRIM($D33)="العينان",2,1))="","",INDEX($P$6:$Q$40,MATCH(TRIM($C33),$O$6:$O$40,0),IF(TRIM($D33)="العينان",2,1))),"")</f>
        <v>450</v>
      </c>
      <c r="L33" s="277">
        <f t="shared" si="0"/>
        <v>328.5</v>
      </c>
      <c r="M33" s="277">
        <f t="shared" si="1"/>
        <v>121.50000000000001</v>
      </c>
      <c r="N33" s="216"/>
      <c r="O33" s="289"/>
      <c r="P33" s="289"/>
      <c r="Q33" s="289"/>
    </row>
    <row r="34" spans="1:17" ht="26" x14ac:dyDescent="0.6">
      <c r="A34" s="71">
        <v>34</v>
      </c>
      <c r="B34" s="120" t="s">
        <v>715</v>
      </c>
      <c r="C34" s="121" t="s">
        <v>142</v>
      </c>
      <c r="D34" s="156" t="s">
        <v>1759</v>
      </c>
      <c r="E34" s="121">
        <v>1110516412</v>
      </c>
      <c r="F34" s="121" t="s">
        <v>212</v>
      </c>
      <c r="G34" s="121">
        <v>47</v>
      </c>
      <c r="H34" s="122">
        <v>27910072403264</v>
      </c>
      <c r="I34" s="215">
        <v>46153</v>
      </c>
      <c r="J34" s="274" t="s">
        <v>1734</v>
      </c>
      <c r="K34" s="277" cm="1">
        <f t="array" ref="K34">IFERROR(IF(INDEX($P$6:$Q$40,MATCH(TRIM($C34),$O$6:$O$40,0),IF(TRIM($D34)="العينان",2,1))="","",INDEX($P$6:$Q$40,MATCH(TRIM($C34),$O$6:$O$40,0),IF(TRIM($D34)="العينان",2,1))),"")</f>
        <v>650</v>
      </c>
      <c r="L34" s="277">
        <f t="shared" si="0"/>
        <v>474.5</v>
      </c>
      <c r="M34" s="277">
        <f t="shared" si="1"/>
        <v>175.5</v>
      </c>
      <c r="N34" s="216"/>
      <c r="O34" s="289"/>
      <c r="P34" s="289"/>
      <c r="Q34" s="289"/>
    </row>
    <row r="35" spans="1:17" ht="26" x14ac:dyDescent="0.6">
      <c r="A35" s="71">
        <v>35</v>
      </c>
      <c r="B35" s="120" t="s">
        <v>716</v>
      </c>
      <c r="C35" s="121" t="s">
        <v>200</v>
      </c>
      <c r="D35" s="156" t="s">
        <v>1759</v>
      </c>
      <c r="E35" s="121">
        <v>1143894911</v>
      </c>
      <c r="F35" s="121" t="s">
        <v>212</v>
      </c>
      <c r="G35" s="121">
        <v>54</v>
      </c>
      <c r="H35" s="122">
        <v>27012042402206</v>
      </c>
      <c r="I35" s="215">
        <v>46153</v>
      </c>
      <c r="J35" s="274" t="s">
        <v>1734</v>
      </c>
      <c r="K35" s="277" cm="1">
        <f t="array" ref="K35">IFERROR(IF(INDEX($P$6:$Q$40,MATCH(TRIM($C35),$O$6:$O$40,0),IF(TRIM($D35)="العينان",2,1))="","",INDEX($P$6:$Q$40,MATCH(TRIM($C35),$O$6:$O$40,0),IF(TRIM($D35)="العينان",2,1))),"")</f>
        <v>300</v>
      </c>
      <c r="L35" s="277">
        <f t="shared" si="0"/>
        <v>219</v>
      </c>
      <c r="M35" s="277">
        <f t="shared" si="1"/>
        <v>81</v>
      </c>
      <c r="N35" s="216"/>
      <c r="O35" s="289"/>
      <c r="P35" s="289"/>
      <c r="Q35" s="289"/>
    </row>
    <row r="36" spans="1:17" ht="26" x14ac:dyDescent="0.6">
      <c r="A36" s="71">
        <v>36</v>
      </c>
      <c r="B36" s="120" t="s">
        <v>717</v>
      </c>
      <c r="C36" s="121" t="s">
        <v>142</v>
      </c>
      <c r="D36" s="156" t="s">
        <v>1759</v>
      </c>
      <c r="E36" s="121">
        <v>1129093458</v>
      </c>
      <c r="F36" s="121" t="s">
        <v>1288</v>
      </c>
      <c r="G36" s="121">
        <v>63</v>
      </c>
      <c r="H36" s="122">
        <v>26303242400799</v>
      </c>
      <c r="I36" s="215">
        <v>46153</v>
      </c>
      <c r="J36" s="274" t="s">
        <v>1734</v>
      </c>
      <c r="K36" s="277" cm="1">
        <f t="array" ref="K36">IFERROR(IF(INDEX($P$6:$Q$40,MATCH(TRIM($C36),$O$6:$O$40,0),IF(TRIM($D36)="العينان",2,1))="","",INDEX($P$6:$Q$40,MATCH(TRIM($C36),$O$6:$O$40,0),IF(TRIM($D36)="العينان",2,1))),"")</f>
        <v>650</v>
      </c>
      <c r="L36" s="277">
        <f t="shared" si="0"/>
        <v>474.5</v>
      </c>
      <c r="M36" s="277">
        <f t="shared" si="1"/>
        <v>175.5</v>
      </c>
      <c r="N36" s="216"/>
      <c r="O36" s="289"/>
      <c r="P36" s="289"/>
      <c r="Q36" s="289"/>
    </row>
    <row r="37" spans="1:17" ht="26" x14ac:dyDescent="0.6">
      <c r="A37" s="71">
        <v>37</v>
      </c>
      <c r="B37" s="120" t="s">
        <v>718</v>
      </c>
      <c r="C37" s="121" t="s">
        <v>186</v>
      </c>
      <c r="D37" s="156" t="s">
        <v>1757</v>
      </c>
      <c r="E37" s="121">
        <v>1128012459</v>
      </c>
      <c r="F37" s="121" t="s">
        <v>212</v>
      </c>
      <c r="G37" s="121">
        <v>43</v>
      </c>
      <c r="H37" s="122">
        <v>28307302402454</v>
      </c>
      <c r="I37" s="215">
        <v>46153</v>
      </c>
      <c r="J37" s="274" t="s">
        <v>1734</v>
      </c>
      <c r="K37" s="277" cm="1">
        <f t="array" ref="K37">IFERROR(IF(INDEX($P$6:$Q$40,MATCH(TRIM($C37),$O$6:$O$40,0),IF(TRIM($D37)="العينان",2,1))="","",INDEX($P$6:$Q$40,MATCH(TRIM($C37),$O$6:$O$40,0),IF(TRIM($D37)="العينان",2,1))),"")</f>
        <v>250</v>
      </c>
      <c r="L37" s="277">
        <f t="shared" si="0"/>
        <v>182.5</v>
      </c>
      <c r="M37" s="277">
        <f t="shared" si="1"/>
        <v>67.5</v>
      </c>
      <c r="N37" s="216"/>
      <c r="O37" s="289"/>
      <c r="P37" s="289"/>
      <c r="Q37" s="289"/>
    </row>
    <row r="38" spans="1:17" ht="26" x14ac:dyDescent="0.6">
      <c r="A38" s="71">
        <v>38</v>
      </c>
      <c r="B38" s="120" t="s">
        <v>719</v>
      </c>
      <c r="C38" s="121" t="s">
        <v>1775</v>
      </c>
      <c r="D38" s="156" t="s">
        <v>1759</v>
      </c>
      <c r="E38" s="121">
        <v>1145106531</v>
      </c>
      <c r="F38" s="121" t="s">
        <v>212</v>
      </c>
      <c r="G38" s="121">
        <v>42</v>
      </c>
      <c r="H38" s="122">
        <v>28409122402798</v>
      </c>
      <c r="I38" s="215">
        <v>46153</v>
      </c>
      <c r="J38" s="274" t="s">
        <v>1734</v>
      </c>
      <c r="K38" s="277" cm="1">
        <f t="array" ref="K38">IFERROR(IF(INDEX($P$6:$Q$40,MATCH(TRIM($C38),$O$6:$O$40,0),IF(TRIM($D38)="العينان",2,1))="","",INDEX($P$6:$Q$40,MATCH(TRIM($C38),$O$6:$O$40,0),IF(TRIM($D38)="العينان",2,1))),"")</f>
        <v>500</v>
      </c>
      <c r="L38" s="277">
        <f t="shared" si="0"/>
        <v>365</v>
      </c>
      <c r="M38" s="277">
        <f t="shared" si="1"/>
        <v>135</v>
      </c>
      <c r="N38" s="216"/>
      <c r="O38" s="289"/>
      <c r="P38" s="289"/>
      <c r="Q38" s="289"/>
    </row>
    <row r="39" spans="1:17" ht="26" x14ac:dyDescent="0.6">
      <c r="A39" s="71">
        <v>39</v>
      </c>
      <c r="B39" s="120" t="s">
        <v>720</v>
      </c>
      <c r="C39" s="121" t="s">
        <v>142</v>
      </c>
      <c r="D39" s="156" t="s">
        <v>1757</v>
      </c>
      <c r="E39" s="121">
        <v>1153519331</v>
      </c>
      <c r="F39" s="121" t="s">
        <v>212</v>
      </c>
      <c r="G39" s="121">
        <v>48</v>
      </c>
      <c r="H39" s="122">
        <v>27801172402555</v>
      </c>
      <c r="I39" s="215">
        <v>46156</v>
      </c>
      <c r="J39" s="274" t="s">
        <v>1734</v>
      </c>
      <c r="K39" s="277" cm="1">
        <f t="array" ref="K39">IFERROR(IF(INDEX($P$6:$Q$40,MATCH(TRIM($C39),$O$6:$O$40,0),IF(TRIM($D39)="العينان",2,1))="","",INDEX($P$6:$Q$40,MATCH(TRIM($C39),$O$6:$O$40,0),IF(TRIM($D39)="العينان",2,1))),"")</f>
        <v>400</v>
      </c>
      <c r="L39" s="277">
        <f t="shared" si="0"/>
        <v>292</v>
      </c>
      <c r="M39" s="277">
        <f t="shared" si="1"/>
        <v>108</v>
      </c>
      <c r="N39" s="216"/>
      <c r="O39" s="289"/>
      <c r="P39" s="289"/>
      <c r="Q39" s="289"/>
    </row>
    <row r="40" spans="1:17" ht="26" x14ac:dyDescent="0.6">
      <c r="A40" s="71">
        <v>40</v>
      </c>
      <c r="B40" s="120" t="s">
        <v>721</v>
      </c>
      <c r="C40" s="121" t="s">
        <v>142</v>
      </c>
      <c r="D40" s="156" t="s">
        <v>1759</v>
      </c>
      <c r="E40" s="121">
        <v>1281110694</v>
      </c>
      <c r="F40" s="121" t="s">
        <v>212</v>
      </c>
      <c r="G40" s="121">
        <v>81</v>
      </c>
      <c r="H40" s="122">
        <v>24502102402193</v>
      </c>
      <c r="I40" s="215">
        <v>46156</v>
      </c>
      <c r="J40" s="274" t="s">
        <v>1734</v>
      </c>
      <c r="K40" s="277" cm="1">
        <f t="array" ref="K40">IFERROR(IF(INDEX($P$6:$Q$40,MATCH(TRIM($C40),$O$6:$O$40,0),IF(TRIM($D40)="العينان",2,1))="","",INDEX($P$6:$Q$40,MATCH(TRIM($C40),$O$6:$O$40,0),IF(TRIM($D40)="العينان",2,1))),"")</f>
        <v>650</v>
      </c>
      <c r="L40" s="277">
        <f t="shared" si="0"/>
        <v>474.5</v>
      </c>
      <c r="M40" s="277">
        <f t="shared" si="1"/>
        <v>175.5</v>
      </c>
      <c r="N40" s="216"/>
      <c r="O40" s="289"/>
      <c r="P40" s="289"/>
      <c r="Q40" s="289"/>
    </row>
    <row r="41" spans="1:17" ht="26" x14ac:dyDescent="0.6">
      <c r="A41" s="71">
        <v>41</v>
      </c>
      <c r="B41" s="120" t="s">
        <v>722</v>
      </c>
      <c r="C41" s="121" t="s">
        <v>145</v>
      </c>
      <c r="D41" s="156" t="s">
        <v>1759</v>
      </c>
      <c r="E41" s="121">
        <v>1206754290</v>
      </c>
      <c r="F41" s="121" t="s">
        <v>212</v>
      </c>
      <c r="G41" s="121">
        <v>56</v>
      </c>
      <c r="H41" s="122">
        <v>27007102200825</v>
      </c>
      <c r="I41" s="215">
        <v>46156</v>
      </c>
      <c r="J41" s="274" t="s">
        <v>1734</v>
      </c>
      <c r="K41" s="277" cm="1">
        <f t="array" ref="K41">IFERROR(IF(INDEX($P$6:$Q$40,MATCH(TRIM($C41),$O$6:$O$40,0),IF(TRIM($D41)="العينان",2,1))="","",INDEX($P$6:$Q$40,MATCH(TRIM($C41),$O$6:$O$40,0),IF(TRIM($D41)="العينان",2,1))),"")</f>
        <v>1200</v>
      </c>
      <c r="L41" s="277">
        <f t="shared" si="0"/>
        <v>876</v>
      </c>
      <c r="M41" s="277">
        <f t="shared" si="1"/>
        <v>324</v>
      </c>
      <c r="N41" s="216"/>
    </row>
    <row r="42" spans="1:17" ht="26" x14ac:dyDescent="0.6">
      <c r="A42" s="71">
        <v>42</v>
      </c>
      <c r="B42" s="120" t="s">
        <v>723</v>
      </c>
      <c r="C42" s="121" t="s">
        <v>145</v>
      </c>
      <c r="D42" s="156" t="s">
        <v>1759</v>
      </c>
      <c r="E42" s="121">
        <v>1148624257</v>
      </c>
      <c r="F42" s="121" t="s">
        <v>212</v>
      </c>
      <c r="G42" s="121">
        <v>70</v>
      </c>
      <c r="H42" s="122">
        <v>25601212400813</v>
      </c>
      <c r="I42" s="215">
        <v>46156</v>
      </c>
      <c r="J42" s="274" t="s">
        <v>1734</v>
      </c>
      <c r="K42" s="277" cm="1">
        <f t="array" ref="K42">IFERROR(IF(INDEX($P$6:$Q$40,MATCH(TRIM($C42),$O$6:$O$40,0),IF(TRIM($D42)="العينان",2,1))="","",INDEX($P$6:$Q$40,MATCH(TRIM($C42),$O$6:$O$40,0),IF(TRIM($D42)="العينان",2,1))),"")</f>
        <v>1200</v>
      </c>
      <c r="L42" s="277">
        <f t="shared" si="0"/>
        <v>876</v>
      </c>
      <c r="M42" s="277">
        <f t="shared" si="1"/>
        <v>324</v>
      </c>
      <c r="N42" s="216"/>
    </row>
    <row r="43" spans="1:17" ht="26" x14ac:dyDescent="0.6">
      <c r="A43" s="71">
        <v>43</v>
      </c>
      <c r="B43" s="120" t="s">
        <v>724</v>
      </c>
      <c r="C43" s="121" t="s">
        <v>215</v>
      </c>
      <c r="D43" s="156" t="s">
        <v>1759</v>
      </c>
      <c r="E43" s="121">
        <v>1044684484</v>
      </c>
      <c r="F43" s="121" t="s">
        <v>212</v>
      </c>
      <c r="G43" s="121">
        <v>78</v>
      </c>
      <c r="H43" s="122">
        <v>24801272401113</v>
      </c>
      <c r="I43" s="215">
        <v>46156</v>
      </c>
      <c r="J43" s="274" t="s">
        <v>1734</v>
      </c>
      <c r="K43" s="277" cm="1">
        <f t="array" ref="K43">IFERROR(IF(INDEX($P$6:$Q$40,MATCH(TRIM($C43),$O$6:$O$40,0),IF(TRIM($D43)="العينان",2,1))="","",INDEX($P$6:$Q$40,MATCH(TRIM($C43),$O$6:$O$40,0),IF(TRIM($D43)="العينان",2,1))),"")</f>
        <v>300</v>
      </c>
      <c r="L43" s="277">
        <f t="shared" si="0"/>
        <v>219</v>
      </c>
      <c r="M43" s="277">
        <f t="shared" si="1"/>
        <v>81</v>
      </c>
      <c r="N43" s="216"/>
    </row>
    <row r="44" spans="1:17" ht="26" x14ac:dyDescent="0.6">
      <c r="A44" s="71">
        <v>44</v>
      </c>
      <c r="B44" s="120" t="s">
        <v>725</v>
      </c>
      <c r="C44" s="121" t="s">
        <v>1780</v>
      </c>
      <c r="D44" s="156" t="s">
        <v>1757</v>
      </c>
      <c r="E44" s="121">
        <v>1128448750</v>
      </c>
      <c r="F44" s="121" t="s">
        <v>1288</v>
      </c>
      <c r="G44" s="121">
        <v>35</v>
      </c>
      <c r="H44" s="122">
        <v>29110012428579</v>
      </c>
      <c r="I44" s="215">
        <v>46156</v>
      </c>
      <c r="J44" s="274" t="s">
        <v>1734</v>
      </c>
      <c r="K44" s="277" cm="1">
        <f t="array" ref="K44">IFERROR(IF(INDEX($P$6:$Q$40,MATCH(TRIM($C44),$O$6:$O$40,0),IF(TRIM($D44)="العينان",2,1))="","",INDEX($P$6:$Q$40,MATCH(TRIM($C44),$O$6:$O$40,0),IF(TRIM($D44)="العينان",2,1))),"")</f>
        <v>650</v>
      </c>
      <c r="L44" s="277">
        <f t="shared" si="0"/>
        <v>474.5</v>
      </c>
      <c r="M44" s="277">
        <f t="shared" si="1"/>
        <v>175.5</v>
      </c>
      <c r="N44" s="216"/>
    </row>
    <row r="45" spans="1:17" ht="26" x14ac:dyDescent="0.6">
      <c r="A45" s="71">
        <v>45</v>
      </c>
      <c r="B45" s="120" t="s">
        <v>726</v>
      </c>
      <c r="C45" s="121" t="s">
        <v>142</v>
      </c>
      <c r="D45" s="156" t="s">
        <v>1758</v>
      </c>
      <c r="E45" s="121">
        <v>1125526296</v>
      </c>
      <c r="F45" s="121" t="s">
        <v>212</v>
      </c>
      <c r="G45" s="121">
        <v>34</v>
      </c>
      <c r="H45" s="122">
        <v>292808082404968</v>
      </c>
      <c r="I45" s="215">
        <v>46156</v>
      </c>
      <c r="J45" s="274" t="s">
        <v>1734</v>
      </c>
      <c r="K45" s="277" cm="1">
        <f t="array" ref="K45">IFERROR(IF(INDEX($P$6:$Q$40,MATCH(TRIM($C45),$O$6:$O$40,0),IF(TRIM($D45)="العينان",2,1))="","",INDEX($P$6:$Q$40,MATCH(TRIM($C45),$O$6:$O$40,0),IF(TRIM($D45)="العينان",2,1))),"")</f>
        <v>400</v>
      </c>
      <c r="L45" s="277">
        <f t="shared" si="0"/>
        <v>292</v>
      </c>
      <c r="M45" s="277">
        <f t="shared" si="1"/>
        <v>108</v>
      </c>
      <c r="N45" s="216"/>
    </row>
    <row r="46" spans="1:17" ht="26" x14ac:dyDescent="0.6">
      <c r="A46" s="71">
        <v>46</v>
      </c>
      <c r="B46" s="120" t="s">
        <v>727</v>
      </c>
      <c r="C46" s="121" t="s">
        <v>186</v>
      </c>
      <c r="D46" s="156" t="s">
        <v>1757</v>
      </c>
      <c r="E46" s="121">
        <v>1125526296</v>
      </c>
      <c r="F46" s="121" t="s">
        <v>212</v>
      </c>
      <c r="G46" s="121">
        <v>32</v>
      </c>
      <c r="H46" s="122">
        <v>29402252401539</v>
      </c>
      <c r="I46" s="215">
        <v>46156</v>
      </c>
      <c r="J46" s="274" t="s">
        <v>1734</v>
      </c>
      <c r="K46" s="277" cm="1">
        <f t="array" ref="K46">IFERROR(IF(INDEX($P$6:$Q$40,MATCH(TRIM($C46),$O$6:$O$40,0),IF(TRIM($D46)="العينان",2,1))="","",INDEX($P$6:$Q$40,MATCH(TRIM($C46),$O$6:$O$40,0),IF(TRIM($D46)="العينان",2,1))),"")</f>
        <v>250</v>
      </c>
      <c r="L46" s="277">
        <f t="shared" si="0"/>
        <v>182.5</v>
      </c>
      <c r="M46" s="277">
        <f t="shared" si="1"/>
        <v>67.5</v>
      </c>
      <c r="N46" s="216"/>
    </row>
    <row r="47" spans="1:17" ht="26" x14ac:dyDescent="0.6">
      <c r="A47" s="71">
        <v>47</v>
      </c>
      <c r="B47" s="120" t="s">
        <v>728</v>
      </c>
      <c r="C47" s="125" t="s">
        <v>142</v>
      </c>
      <c r="D47" s="157" t="s">
        <v>1759</v>
      </c>
      <c r="E47" s="121">
        <v>1145212953</v>
      </c>
      <c r="F47" s="121" t="s">
        <v>212</v>
      </c>
      <c r="G47" s="121">
        <v>37</v>
      </c>
      <c r="H47" s="122">
        <v>28901132401708</v>
      </c>
      <c r="I47" s="215">
        <v>46158</v>
      </c>
      <c r="J47" s="274" t="s">
        <v>1733</v>
      </c>
      <c r="K47" s="277" cm="1">
        <f t="array" ref="K47">IFERROR(IF(INDEX($P$6:$Q$40,MATCH(TRIM($C47),$O$6:$O$40,0),IF(TRIM($D47)="العينان",2,1))="","",INDEX($P$6:$Q$40,MATCH(TRIM($C47),$O$6:$O$40,0),IF(TRIM($D47)="العينان",2,1))),"")</f>
        <v>650</v>
      </c>
      <c r="L47" s="277">
        <f t="shared" si="0"/>
        <v>487.5</v>
      </c>
      <c r="M47" s="277">
        <f t="shared" si="1"/>
        <v>162.5</v>
      </c>
      <c r="N47" s="216"/>
    </row>
    <row r="48" spans="1:17" ht="26" x14ac:dyDescent="0.6">
      <c r="A48" s="71">
        <v>48</v>
      </c>
      <c r="B48" s="123" t="s">
        <v>729</v>
      </c>
      <c r="C48" s="121" t="s">
        <v>1781</v>
      </c>
      <c r="D48" s="158" t="s">
        <v>1758</v>
      </c>
      <c r="E48" s="124">
        <v>1104417457</v>
      </c>
      <c r="F48" s="124" t="s">
        <v>261</v>
      </c>
      <c r="G48" s="121">
        <v>72</v>
      </c>
      <c r="H48" s="122">
        <v>25408222400965</v>
      </c>
      <c r="I48" s="215">
        <v>46158</v>
      </c>
      <c r="J48" s="274" t="s">
        <v>1733</v>
      </c>
      <c r="K48" s="277">
        <v>550</v>
      </c>
      <c r="L48" s="277">
        <f t="shared" si="0"/>
        <v>412.5</v>
      </c>
      <c r="M48" s="277">
        <f t="shared" si="1"/>
        <v>137.5</v>
      </c>
      <c r="N48" s="216"/>
    </row>
    <row r="49" spans="1:14" ht="26" x14ac:dyDescent="0.6">
      <c r="A49" s="71">
        <v>49</v>
      </c>
      <c r="B49" s="120" t="s">
        <v>730</v>
      </c>
      <c r="C49" s="126" t="s">
        <v>142</v>
      </c>
      <c r="D49" s="159" t="s">
        <v>1757</v>
      </c>
      <c r="E49" s="121">
        <v>1123655152</v>
      </c>
      <c r="F49" s="121" t="s">
        <v>212</v>
      </c>
      <c r="G49" s="121">
        <v>23</v>
      </c>
      <c r="H49" s="122">
        <v>30304012400679</v>
      </c>
      <c r="I49" s="215">
        <v>46158</v>
      </c>
      <c r="J49" s="274" t="s">
        <v>1733</v>
      </c>
      <c r="K49" s="277" cm="1">
        <f t="array" ref="K49">IFERROR(IF(INDEX($P$6:$Q$40,MATCH(TRIM($C49),$O$6:$O$40,0),IF(TRIM($D49)="العينان",2,1))="","",INDEX($P$6:$Q$40,MATCH(TRIM($C49),$O$6:$O$40,0),IF(TRIM($D49)="العينان",2,1))),"")</f>
        <v>400</v>
      </c>
      <c r="L49" s="277">
        <f t="shared" si="0"/>
        <v>300</v>
      </c>
      <c r="M49" s="277">
        <f t="shared" si="1"/>
        <v>100</v>
      </c>
      <c r="N49" s="216"/>
    </row>
    <row r="50" spans="1:14" ht="26" x14ac:dyDescent="0.6">
      <c r="A50" s="71">
        <v>50</v>
      </c>
      <c r="B50" s="120" t="s">
        <v>731</v>
      </c>
      <c r="C50" s="121" t="s">
        <v>186</v>
      </c>
      <c r="D50" s="156" t="s">
        <v>1757</v>
      </c>
      <c r="E50" s="121">
        <v>1125165800</v>
      </c>
      <c r="F50" s="121" t="s">
        <v>212</v>
      </c>
      <c r="G50" s="121">
        <v>63</v>
      </c>
      <c r="H50" s="122">
        <v>26312202201091</v>
      </c>
      <c r="I50" s="215">
        <v>46158</v>
      </c>
      <c r="J50" s="274" t="s">
        <v>1733</v>
      </c>
      <c r="K50" s="277" cm="1">
        <f t="array" ref="K50">IFERROR(IF(INDEX($P$6:$Q$40,MATCH(TRIM($C50),$O$6:$O$40,0),IF(TRIM($D50)="العينان",2,1))="","",INDEX($P$6:$Q$40,MATCH(TRIM($C50),$O$6:$O$40,0),IF(TRIM($D50)="العينان",2,1))),"")</f>
        <v>250</v>
      </c>
      <c r="L50" s="277">
        <f t="shared" si="0"/>
        <v>187.5</v>
      </c>
      <c r="M50" s="277">
        <f t="shared" si="1"/>
        <v>62.5</v>
      </c>
      <c r="N50" s="216"/>
    </row>
    <row r="51" spans="1:14" ht="26" x14ac:dyDescent="0.6">
      <c r="A51" s="71">
        <v>51</v>
      </c>
      <c r="B51" s="120" t="s">
        <v>732</v>
      </c>
      <c r="C51" s="121" t="s">
        <v>150</v>
      </c>
      <c r="D51" s="156" t="s">
        <v>1759</v>
      </c>
      <c r="E51" s="121">
        <v>1128128120</v>
      </c>
      <c r="F51" s="121" t="s">
        <v>212</v>
      </c>
      <c r="G51" s="121">
        <v>28</v>
      </c>
      <c r="H51" s="122">
        <v>29909172400806</v>
      </c>
      <c r="I51" s="215">
        <v>46158</v>
      </c>
      <c r="J51" s="274" t="s">
        <v>1733</v>
      </c>
      <c r="K51" s="277" cm="1">
        <f t="array" ref="K51">IFERROR(IF(INDEX($P$6:$Q$40,MATCH(TRIM($C51),$O$6:$O$40,0),IF(TRIM($D51)="العينان",2,1))="","",INDEX($P$6:$Q$40,MATCH(TRIM($C51),$O$6:$O$40,0),IF(TRIM($D51)="العينان",2,1))),"")</f>
        <v>550</v>
      </c>
      <c r="L51" s="277">
        <f t="shared" si="0"/>
        <v>412.5</v>
      </c>
      <c r="M51" s="277">
        <f t="shared" si="1"/>
        <v>137.5</v>
      </c>
      <c r="N51" s="216"/>
    </row>
    <row r="52" spans="1:14" ht="26" x14ac:dyDescent="0.6">
      <c r="A52" s="71">
        <v>52</v>
      </c>
      <c r="B52" s="120" t="s">
        <v>733</v>
      </c>
      <c r="C52" s="121" t="s">
        <v>142</v>
      </c>
      <c r="D52" s="156" t="s">
        <v>1759</v>
      </c>
      <c r="E52" s="121">
        <v>1065866724</v>
      </c>
      <c r="F52" s="121" t="s">
        <v>212</v>
      </c>
      <c r="G52" s="121">
        <v>43</v>
      </c>
      <c r="H52" s="122">
        <v>28304212401191</v>
      </c>
      <c r="I52" s="215">
        <v>46158</v>
      </c>
      <c r="J52" s="274" t="s">
        <v>1733</v>
      </c>
      <c r="K52" s="277" cm="1">
        <f t="array" ref="K52">IFERROR(IF(INDEX($P$6:$Q$40,MATCH(TRIM($C52),$O$6:$O$40,0),IF(TRIM($D52)="العينان",2,1))="","",INDEX($P$6:$Q$40,MATCH(TRIM($C52),$O$6:$O$40,0),IF(TRIM($D52)="العينان",2,1))),"")</f>
        <v>650</v>
      </c>
      <c r="L52" s="277">
        <f t="shared" si="0"/>
        <v>487.5</v>
      </c>
      <c r="M52" s="277">
        <f t="shared" si="1"/>
        <v>162.5</v>
      </c>
      <c r="N52" s="216"/>
    </row>
    <row r="53" spans="1:14" ht="26" x14ac:dyDescent="0.6">
      <c r="A53" s="71">
        <v>53</v>
      </c>
      <c r="B53" s="120" t="s">
        <v>734</v>
      </c>
      <c r="C53" s="121" t="s">
        <v>186</v>
      </c>
      <c r="D53" s="156" t="s">
        <v>1759</v>
      </c>
      <c r="E53" s="121">
        <v>1151072270</v>
      </c>
      <c r="F53" s="121" t="s">
        <v>212</v>
      </c>
      <c r="G53" s="121">
        <v>34</v>
      </c>
      <c r="H53" s="122">
        <v>29307282401778</v>
      </c>
      <c r="I53" s="215">
        <v>46158</v>
      </c>
      <c r="J53" s="274" t="s">
        <v>1733</v>
      </c>
      <c r="K53" s="277" cm="1">
        <f t="array" ref="K53">IFERROR(IF(INDEX($P$6:$Q$40,MATCH(TRIM($C53),$O$6:$O$40,0),IF(TRIM($D53)="العينان",2,1))="","",INDEX($P$6:$Q$40,MATCH(TRIM($C53),$O$6:$O$40,0),IF(TRIM($D53)="العينان",2,1))),"")</f>
        <v>450</v>
      </c>
      <c r="L53" s="277">
        <f t="shared" si="0"/>
        <v>337.5</v>
      </c>
      <c r="M53" s="277">
        <f t="shared" si="1"/>
        <v>112.5</v>
      </c>
      <c r="N53" s="216"/>
    </row>
    <row r="54" spans="1:14" ht="26" x14ac:dyDescent="0.6">
      <c r="A54" s="71">
        <v>54</v>
      </c>
      <c r="B54" s="120" t="s">
        <v>735</v>
      </c>
      <c r="C54" s="121" t="s">
        <v>142</v>
      </c>
      <c r="D54" s="156" t="s">
        <v>1759</v>
      </c>
      <c r="E54" s="121">
        <v>1111168475</v>
      </c>
      <c r="F54" s="121" t="s">
        <v>212</v>
      </c>
      <c r="G54" s="121">
        <v>60</v>
      </c>
      <c r="H54" s="122">
        <v>26606072401372</v>
      </c>
      <c r="I54" s="215">
        <v>46158</v>
      </c>
      <c r="J54" s="274" t="s">
        <v>1733</v>
      </c>
      <c r="K54" s="277" cm="1">
        <f t="array" ref="K54">IFERROR(IF(INDEX($P$6:$Q$40,MATCH(TRIM($C54),$O$6:$O$40,0),IF(TRIM($D54)="العينان",2,1))="","",INDEX($P$6:$Q$40,MATCH(TRIM($C54),$O$6:$O$40,0),IF(TRIM($D54)="العينان",2,1))),"")</f>
        <v>650</v>
      </c>
      <c r="L54" s="277">
        <f t="shared" si="0"/>
        <v>487.5</v>
      </c>
      <c r="M54" s="277">
        <f t="shared" si="1"/>
        <v>162.5</v>
      </c>
      <c r="N54" s="216"/>
    </row>
    <row r="55" spans="1:14" ht="26" x14ac:dyDescent="0.6">
      <c r="A55" s="71">
        <v>55</v>
      </c>
      <c r="B55" s="120" t="s">
        <v>736</v>
      </c>
      <c r="C55" s="121" t="s">
        <v>145</v>
      </c>
      <c r="D55" s="156" t="s">
        <v>1758</v>
      </c>
      <c r="E55" s="121">
        <v>1156926922</v>
      </c>
      <c r="F55" s="121" t="s">
        <v>212</v>
      </c>
      <c r="G55" s="121">
        <v>72</v>
      </c>
      <c r="H55" s="122">
        <v>25411222401318</v>
      </c>
      <c r="I55" s="215">
        <v>46158</v>
      </c>
      <c r="J55" s="274" t="s">
        <v>1733</v>
      </c>
      <c r="K55" s="277" cm="1">
        <f t="array" ref="K55">IFERROR(IF(INDEX($P$6:$Q$40,MATCH(TRIM($C55),$O$6:$O$40,0),IF(TRIM($D55)="العينان",2,1))="","",INDEX($P$6:$Q$40,MATCH(TRIM($C55),$O$6:$O$40,0),IF(TRIM($D55)="العينان",2,1))),"")</f>
        <v>750</v>
      </c>
      <c r="L55" s="277">
        <f t="shared" si="0"/>
        <v>562.5</v>
      </c>
      <c r="M55" s="277">
        <f t="shared" si="1"/>
        <v>187.5</v>
      </c>
      <c r="N55" s="216"/>
    </row>
    <row r="56" spans="1:14" ht="26" x14ac:dyDescent="0.6">
      <c r="A56" s="71">
        <v>56</v>
      </c>
      <c r="B56" s="120" t="s">
        <v>737</v>
      </c>
      <c r="C56" s="121" t="s">
        <v>142</v>
      </c>
      <c r="D56" s="156" t="s">
        <v>1759</v>
      </c>
      <c r="E56" s="121">
        <v>1170490462</v>
      </c>
      <c r="F56" s="121" t="s">
        <v>212</v>
      </c>
      <c r="G56" s="121">
        <v>53</v>
      </c>
      <c r="H56" s="122">
        <v>27302202402842</v>
      </c>
      <c r="I56" s="215">
        <v>46158</v>
      </c>
      <c r="J56" s="274" t="s">
        <v>1733</v>
      </c>
      <c r="K56" s="277" cm="1">
        <f t="array" ref="K56">IFERROR(IF(INDEX($P$6:$Q$40,MATCH(TRIM($C56),$O$6:$O$40,0),IF(TRIM($D56)="العينان",2,1))="","",INDEX($P$6:$Q$40,MATCH(TRIM($C56),$O$6:$O$40,0),IF(TRIM($D56)="العينان",2,1))),"")</f>
        <v>650</v>
      </c>
      <c r="L56" s="277">
        <f t="shared" si="0"/>
        <v>487.5</v>
      </c>
      <c r="M56" s="277">
        <f t="shared" si="1"/>
        <v>162.5</v>
      </c>
      <c r="N56" s="216"/>
    </row>
    <row r="57" spans="1:14" ht="26" x14ac:dyDescent="0.6">
      <c r="A57" s="71">
        <v>57</v>
      </c>
      <c r="B57" s="120" t="s">
        <v>738</v>
      </c>
      <c r="C57" s="121" t="s">
        <v>186</v>
      </c>
      <c r="D57" s="156" t="s">
        <v>1757</v>
      </c>
      <c r="E57" s="121">
        <v>1004275453</v>
      </c>
      <c r="F57" s="121" t="s">
        <v>212</v>
      </c>
      <c r="G57" s="121">
        <v>53</v>
      </c>
      <c r="H57" s="122">
        <v>27304082401467</v>
      </c>
      <c r="I57" s="215">
        <v>46160</v>
      </c>
      <c r="J57" s="274" t="s">
        <v>1734</v>
      </c>
      <c r="K57" s="277" cm="1">
        <f t="array" ref="K57">IFERROR(IF(INDEX($P$6:$Q$40,MATCH(TRIM($C57),$O$6:$O$40,0),IF(TRIM($D57)="العينان",2,1))="","",INDEX($P$6:$Q$40,MATCH(TRIM($C57),$O$6:$O$40,0),IF(TRIM($D57)="العينان",2,1))),"")</f>
        <v>250</v>
      </c>
      <c r="L57" s="277">
        <f t="shared" si="0"/>
        <v>182.5</v>
      </c>
      <c r="M57" s="277">
        <f t="shared" si="1"/>
        <v>67.5</v>
      </c>
      <c r="N57" s="216"/>
    </row>
    <row r="58" spans="1:14" ht="26" x14ac:dyDescent="0.6">
      <c r="A58" s="71">
        <v>58</v>
      </c>
      <c r="B58" s="120" t="s">
        <v>739</v>
      </c>
      <c r="C58" s="121" t="s">
        <v>142</v>
      </c>
      <c r="D58" s="156" t="s">
        <v>1758</v>
      </c>
      <c r="E58" s="121">
        <v>1111390526</v>
      </c>
      <c r="F58" s="121" t="s">
        <v>212</v>
      </c>
      <c r="G58" s="121">
        <v>77</v>
      </c>
      <c r="H58" s="122">
        <v>24904222400705</v>
      </c>
      <c r="I58" s="215">
        <v>46160</v>
      </c>
      <c r="J58" s="274" t="s">
        <v>1734</v>
      </c>
      <c r="K58" s="277" cm="1">
        <f t="array" ref="K58">IFERROR(IF(INDEX($P$6:$Q$40,MATCH(TRIM($C58),$O$6:$O$40,0),IF(TRIM($D58)="العينان",2,1))="","",INDEX($P$6:$Q$40,MATCH(TRIM($C58),$O$6:$O$40,0),IF(TRIM($D58)="العينان",2,1))),"")</f>
        <v>400</v>
      </c>
      <c r="L58" s="277">
        <f t="shared" si="0"/>
        <v>292</v>
      </c>
      <c r="M58" s="277">
        <f t="shared" si="1"/>
        <v>108</v>
      </c>
      <c r="N58" s="216"/>
    </row>
    <row r="59" spans="1:14" ht="26" x14ac:dyDescent="0.6">
      <c r="A59" s="71">
        <v>59</v>
      </c>
      <c r="B59" s="120" t="s">
        <v>740</v>
      </c>
      <c r="C59" s="121" t="s">
        <v>142</v>
      </c>
      <c r="D59" s="156" t="s">
        <v>1757</v>
      </c>
      <c r="E59" s="121">
        <v>1207761399</v>
      </c>
      <c r="F59" s="121" t="s">
        <v>212</v>
      </c>
      <c r="G59" s="121">
        <v>42</v>
      </c>
      <c r="H59" s="122">
        <v>28408192402063</v>
      </c>
      <c r="I59" s="215">
        <v>46160</v>
      </c>
      <c r="J59" s="274" t="s">
        <v>1734</v>
      </c>
      <c r="K59" s="277" cm="1">
        <f t="array" ref="K59">IFERROR(IF(INDEX($P$6:$Q$40,MATCH(TRIM($C59),$O$6:$O$40,0),IF(TRIM($D59)="العينان",2,1))="","",INDEX($P$6:$Q$40,MATCH(TRIM($C59),$O$6:$O$40,0),IF(TRIM($D59)="العينان",2,1))),"")</f>
        <v>400</v>
      </c>
      <c r="L59" s="277">
        <f t="shared" si="0"/>
        <v>292</v>
      </c>
      <c r="M59" s="277">
        <f t="shared" si="1"/>
        <v>108</v>
      </c>
      <c r="N59" s="216"/>
    </row>
    <row r="60" spans="1:14" ht="26" x14ac:dyDescent="0.6">
      <c r="A60" s="71">
        <v>60</v>
      </c>
      <c r="B60" s="120" t="s">
        <v>741</v>
      </c>
      <c r="C60" s="121" t="s">
        <v>142</v>
      </c>
      <c r="D60" s="156" t="s">
        <v>1759</v>
      </c>
      <c r="E60" s="121">
        <v>1150209291</v>
      </c>
      <c r="F60" s="121" t="s">
        <v>212</v>
      </c>
      <c r="G60" s="121">
        <v>46</v>
      </c>
      <c r="H60" s="122">
        <v>28009102403293</v>
      </c>
      <c r="I60" s="215">
        <v>46160</v>
      </c>
      <c r="J60" s="274" t="s">
        <v>1734</v>
      </c>
      <c r="K60" s="277" cm="1">
        <f t="array" ref="K60">IFERROR(IF(INDEX($P$6:$Q$40,MATCH(TRIM($C60),$O$6:$O$40,0),IF(TRIM($D60)="العينان",2,1))="","",INDEX($P$6:$Q$40,MATCH(TRIM($C60),$O$6:$O$40,0),IF(TRIM($D60)="العينان",2,1))),"")</f>
        <v>650</v>
      </c>
      <c r="L60" s="277">
        <f t="shared" si="0"/>
        <v>474.5</v>
      </c>
      <c r="M60" s="277">
        <f t="shared" si="1"/>
        <v>175.5</v>
      </c>
      <c r="N60" s="216"/>
    </row>
    <row r="61" spans="1:14" ht="26" x14ac:dyDescent="0.6">
      <c r="A61" s="71">
        <v>61</v>
      </c>
      <c r="B61" s="120" t="s">
        <v>742</v>
      </c>
      <c r="C61" s="121" t="s">
        <v>1782</v>
      </c>
      <c r="D61" s="156" t="s">
        <v>1758</v>
      </c>
      <c r="E61" s="121">
        <v>1229566029</v>
      </c>
      <c r="F61" s="121" t="s">
        <v>212</v>
      </c>
      <c r="G61" s="121">
        <v>62</v>
      </c>
      <c r="H61" s="122">
        <v>26412172401796</v>
      </c>
      <c r="I61" s="215">
        <v>46160</v>
      </c>
      <c r="J61" s="274" t="s">
        <v>1734</v>
      </c>
      <c r="K61" s="277">
        <v>550</v>
      </c>
      <c r="L61" s="277">
        <f t="shared" si="0"/>
        <v>401.5</v>
      </c>
      <c r="M61" s="277">
        <f t="shared" si="1"/>
        <v>148.5</v>
      </c>
      <c r="N61" s="216"/>
    </row>
    <row r="62" spans="1:14" ht="26" x14ac:dyDescent="0.6">
      <c r="A62" s="71">
        <v>62</v>
      </c>
      <c r="B62" s="120" t="s">
        <v>658</v>
      </c>
      <c r="C62" s="121" t="s">
        <v>142</v>
      </c>
      <c r="D62" s="156" t="s">
        <v>1759</v>
      </c>
      <c r="E62" s="121" t="s">
        <v>678</v>
      </c>
      <c r="F62" s="121" t="s">
        <v>261</v>
      </c>
      <c r="G62" s="121">
        <v>68</v>
      </c>
      <c r="H62" s="122">
        <v>25906302401911</v>
      </c>
      <c r="I62" s="215">
        <v>46160</v>
      </c>
      <c r="J62" s="274" t="s">
        <v>1734</v>
      </c>
      <c r="K62" s="277" cm="1">
        <f t="array" ref="K62">IFERROR(IF(INDEX($P$6:$Q$40,MATCH(TRIM($C62),$O$6:$O$40,0),IF(TRIM($D62)="العينان",2,1))="","",INDEX($P$6:$Q$40,MATCH(TRIM($C62),$O$6:$O$40,0),IF(TRIM($D62)="العينان",2,1))),"")</f>
        <v>650</v>
      </c>
      <c r="L62" s="277">
        <f t="shared" si="0"/>
        <v>474.5</v>
      </c>
      <c r="M62" s="277">
        <f t="shared" si="1"/>
        <v>175.5</v>
      </c>
      <c r="N62" s="216"/>
    </row>
    <row r="63" spans="1:14" ht="26" x14ac:dyDescent="0.6">
      <c r="A63" s="71">
        <v>63</v>
      </c>
      <c r="B63" s="120" t="s">
        <v>361</v>
      </c>
      <c r="C63" s="121" t="s">
        <v>142</v>
      </c>
      <c r="D63" s="156" t="s">
        <v>1759</v>
      </c>
      <c r="E63" s="121" t="s">
        <v>679</v>
      </c>
      <c r="F63" s="121" t="s">
        <v>1275</v>
      </c>
      <c r="G63" s="121">
        <v>62</v>
      </c>
      <c r="H63" s="122">
        <v>26412272402021</v>
      </c>
      <c r="I63" s="215">
        <v>46160</v>
      </c>
      <c r="J63" s="274" t="s">
        <v>1734</v>
      </c>
      <c r="K63" s="277" cm="1">
        <f t="array" ref="K63">IFERROR(IF(INDEX($P$6:$Q$40,MATCH(TRIM($C63),$O$6:$O$40,0),IF(TRIM($D63)="العينان",2,1))="","",INDEX($P$6:$Q$40,MATCH(TRIM($C63),$O$6:$O$40,0),IF(TRIM($D63)="العينان",2,1))),"")</f>
        <v>650</v>
      </c>
      <c r="L63" s="277">
        <f t="shared" si="0"/>
        <v>474.5</v>
      </c>
      <c r="M63" s="277">
        <f t="shared" si="1"/>
        <v>175.5</v>
      </c>
      <c r="N63" s="216"/>
    </row>
    <row r="64" spans="1:14" ht="26" x14ac:dyDescent="0.6">
      <c r="A64" s="71">
        <v>64</v>
      </c>
      <c r="B64" s="120" t="s">
        <v>669</v>
      </c>
      <c r="C64" s="121" t="s">
        <v>142</v>
      </c>
      <c r="D64" s="156" t="s">
        <v>1759</v>
      </c>
      <c r="E64" s="121" t="s">
        <v>680</v>
      </c>
      <c r="F64" s="121" t="s">
        <v>1275</v>
      </c>
      <c r="G64" s="121">
        <v>66</v>
      </c>
      <c r="H64" s="122">
        <v>2600611240127</v>
      </c>
      <c r="I64" s="215">
        <v>46160</v>
      </c>
      <c r="J64" s="274" t="s">
        <v>1734</v>
      </c>
      <c r="K64" s="277" cm="1">
        <f t="array" ref="K64">IFERROR(IF(INDEX($P$6:$Q$40,MATCH(TRIM($C64),$O$6:$O$40,0),IF(TRIM($D64)="العينان",2,1))="","",INDEX($P$6:$Q$40,MATCH(TRIM($C64),$O$6:$O$40,0),IF(TRIM($D64)="العينان",2,1))),"")</f>
        <v>650</v>
      </c>
      <c r="L64" s="277">
        <f t="shared" si="0"/>
        <v>474.5</v>
      </c>
      <c r="M64" s="277">
        <f t="shared" si="1"/>
        <v>175.5</v>
      </c>
      <c r="N64" s="216"/>
    </row>
    <row r="65" spans="1:14" ht="26" x14ac:dyDescent="0.6">
      <c r="A65" s="71">
        <v>65</v>
      </c>
      <c r="B65" s="120" t="s">
        <v>657</v>
      </c>
      <c r="C65" s="121" t="s">
        <v>145</v>
      </c>
      <c r="D65" s="156" t="s">
        <v>1758</v>
      </c>
      <c r="E65" s="121" t="s">
        <v>681</v>
      </c>
      <c r="F65" s="121" t="s">
        <v>1275</v>
      </c>
      <c r="G65" s="121">
        <v>73</v>
      </c>
      <c r="H65" s="122">
        <v>25306152402313</v>
      </c>
      <c r="I65" s="215">
        <v>46160</v>
      </c>
      <c r="J65" s="274" t="s">
        <v>1734</v>
      </c>
      <c r="K65" s="277" cm="1">
        <f t="array" ref="K65">IFERROR(IF(INDEX($P$6:$Q$40,MATCH(TRIM($C65),$O$6:$O$40,0),IF(TRIM($D65)="العينان",2,1))="","",INDEX($P$6:$Q$40,MATCH(TRIM($C65),$O$6:$O$40,0),IF(TRIM($D65)="العينان",2,1))),"")</f>
        <v>750</v>
      </c>
      <c r="L65" s="277">
        <f t="shared" si="0"/>
        <v>547.5</v>
      </c>
      <c r="M65" s="277">
        <f t="shared" si="1"/>
        <v>202.5</v>
      </c>
      <c r="N65" s="216"/>
    </row>
    <row r="66" spans="1:14" ht="26" x14ac:dyDescent="0.6">
      <c r="A66" s="71">
        <v>66</v>
      </c>
      <c r="B66" s="120" t="s">
        <v>743</v>
      </c>
      <c r="C66" s="121" t="s">
        <v>186</v>
      </c>
      <c r="D66" s="156" t="s">
        <v>1757</v>
      </c>
      <c r="E66" s="121">
        <v>1032932616</v>
      </c>
      <c r="F66" s="121" t="s">
        <v>1275</v>
      </c>
      <c r="G66" s="121">
        <v>26</v>
      </c>
      <c r="H66" s="122">
        <v>30004152404689</v>
      </c>
      <c r="I66" s="215">
        <v>46163</v>
      </c>
      <c r="J66" s="274" t="s">
        <v>1734</v>
      </c>
      <c r="K66" s="277" cm="1">
        <f t="array" ref="K66">IFERROR(IF(INDEX($P$6:$Q$40,MATCH(TRIM($C66),$O$6:$O$40,0),IF(TRIM($D66)="العينان",2,1))="","",INDEX($P$6:$Q$40,MATCH(TRIM($C66),$O$6:$O$40,0),IF(TRIM($D66)="العينان",2,1))),"")</f>
        <v>250</v>
      </c>
      <c r="L66" s="277">
        <f t="shared" si="0"/>
        <v>182.5</v>
      </c>
      <c r="M66" s="277">
        <f t="shared" si="1"/>
        <v>67.5</v>
      </c>
      <c r="N66" s="216"/>
    </row>
    <row r="67" spans="1:14" ht="26" x14ac:dyDescent="0.6">
      <c r="A67" s="71">
        <v>67</v>
      </c>
      <c r="B67" s="120" t="s">
        <v>659</v>
      </c>
      <c r="C67" s="121" t="s">
        <v>145</v>
      </c>
      <c r="D67" s="156" t="s">
        <v>1759</v>
      </c>
      <c r="E67" s="121" t="s">
        <v>682</v>
      </c>
      <c r="F67" s="121" t="s">
        <v>1275</v>
      </c>
      <c r="G67" s="121">
        <v>67</v>
      </c>
      <c r="H67" s="122">
        <v>25211102402435</v>
      </c>
      <c r="I67" s="215">
        <v>46163</v>
      </c>
      <c r="J67" s="274" t="s">
        <v>1734</v>
      </c>
      <c r="K67" s="277" cm="1">
        <f t="array" ref="K67">IFERROR(IF(INDEX($P$6:$Q$40,MATCH(TRIM($C67),$O$6:$O$40,0),IF(TRIM($D67)="العينان",2,1))="","",INDEX($P$6:$Q$40,MATCH(TRIM($C67),$O$6:$O$40,0),IF(TRIM($D67)="العينان",2,1))),"")</f>
        <v>1200</v>
      </c>
      <c r="L67" s="277">
        <f t="shared" ref="L67:L130" si="2">IF($K67="","",$K67-$M67)</f>
        <v>876</v>
      </c>
      <c r="M67" s="277">
        <f t="shared" ref="M67:M130" si="3">IF($K67="","",$K67*IFERROR(VLOOKUP(TRIM($J67),$O$2:$P$3,2,FALSE),0))</f>
        <v>324</v>
      </c>
      <c r="N67" s="216"/>
    </row>
    <row r="68" spans="1:14" ht="26" x14ac:dyDescent="0.6">
      <c r="A68" s="71">
        <v>68</v>
      </c>
      <c r="B68" s="120" t="s">
        <v>670</v>
      </c>
      <c r="C68" s="121" t="s">
        <v>150</v>
      </c>
      <c r="D68" s="156" t="s">
        <v>1759</v>
      </c>
      <c r="E68" s="121" t="s">
        <v>683</v>
      </c>
      <c r="F68" s="121" t="s">
        <v>1275</v>
      </c>
      <c r="G68" s="121">
        <v>63</v>
      </c>
      <c r="H68" s="122">
        <v>26311022401428</v>
      </c>
      <c r="I68" s="215">
        <v>46163</v>
      </c>
      <c r="J68" s="274" t="s">
        <v>1734</v>
      </c>
      <c r="K68" s="277" cm="1">
        <f t="array" ref="K68">IFERROR(IF(INDEX($P$6:$Q$40,MATCH(TRIM($C68),$O$6:$O$40,0),IF(TRIM($D68)="العينان",2,1))="","",INDEX($P$6:$Q$40,MATCH(TRIM($C68),$O$6:$O$40,0),IF(TRIM($D68)="العينان",2,1))),"")</f>
        <v>550</v>
      </c>
      <c r="L68" s="277">
        <f t="shared" si="2"/>
        <v>401.5</v>
      </c>
      <c r="M68" s="277">
        <f t="shared" si="3"/>
        <v>148.5</v>
      </c>
      <c r="N68" s="216"/>
    </row>
    <row r="69" spans="1:14" ht="26" x14ac:dyDescent="0.6">
      <c r="A69" s="71">
        <v>69</v>
      </c>
      <c r="B69" s="120" t="s">
        <v>744</v>
      </c>
      <c r="C69" s="121" t="s">
        <v>1783</v>
      </c>
      <c r="D69" s="156" t="s">
        <v>1757</v>
      </c>
      <c r="E69" s="121">
        <v>1091082070</v>
      </c>
      <c r="F69" s="121" t="s">
        <v>1275</v>
      </c>
      <c r="G69" s="121">
        <v>36</v>
      </c>
      <c r="H69" s="122">
        <v>29002012203821</v>
      </c>
      <c r="I69" s="215">
        <v>46163</v>
      </c>
      <c r="J69" s="274" t="s">
        <v>1734</v>
      </c>
      <c r="K69" s="277" cm="1">
        <f t="array" ref="K69">IFERROR(IF(INDEX($P$6:$Q$40,MATCH(TRIM($C69),$O$6:$O$40,0),IF(TRIM($D69)="العينان",2,1))="","",INDEX($P$6:$Q$40,MATCH(TRIM($C69),$O$6:$O$40,0),IF(TRIM($D69)="العينان",2,1))),"")</f>
        <v>750</v>
      </c>
      <c r="L69" s="277">
        <f t="shared" si="2"/>
        <v>547.5</v>
      </c>
      <c r="M69" s="277">
        <f t="shared" si="3"/>
        <v>202.5</v>
      </c>
      <c r="N69" s="216"/>
    </row>
    <row r="70" spans="1:14" ht="26" x14ac:dyDescent="0.6">
      <c r="A70" s="71">
        <v>70</v>
      </c>
      <c r="B70" s="120" t="s">
        <v>745</v>
      </c>
      <c r="C70" s="121" t="s">
        <v>186</v>
      </c>
      <c r="D70" s="156" t="s">
        <v>1758</v>
      </c>
      <c r="E70" s="121">
        <v>1557654575</v>
      </c>
      <c r="F70" s="121" t="s">
        <v>1275</v>
      </c>
      <c r="G70" s="121">
        <v>43</v>
      </c>
      <c r="H70" s="122">
        <v>28303142402201</v>
      </c>
      <c r="I70" s="215">
        <v>46163</v>
      </c>
      <c r="J70" s="274" t="s">
        <v>1734</v>
      </c>
      <c r="K70" s="277" cm="1">
        <f t="array" ref="K70">IFERROR(IF(INDEX($P$6:$Q$40,MATCH(TRIM($C70),$O$6:$O$40,0),IF(TRIM($D70)="العينان",2,1))="","",INDEX($P$6:$Q$40,MATCH(TRIM($C70),$O$6:$O$40,0),IF(TRIM($D70)="العينان",2,1))),"")</f>
        <v>250</v>
      </c>
      <c r="L70" s="277">
        <f t="shared" si="2"/>
        <v>182.5</v>
      </c>
      <c r="M70" s="277">
        <f t="shared" si="3"/>
        <v>67.5</v>
      </c>
      <c r="N70" s="216"/>
    </row>
    <row r="71" spans="1:14" ht="26" x14ac:dyDescent="0.6">
      <c r="A71" s="71">
        <v>71</v>
      </c>
      <c r="B71" s="120" t="s">
        <v>746</v>
      </c>
      <c r="C71" s="121" t="s">
        <v>142</v>
      </c>
      <c r="D71" s="156" t="s">
        <v>1758</v>
      </c>
      <c r="E71" s="121">
        <v>1108902786</v>
      </c>
      <c r="F71" s="121" t="s">
        <v>212</v>
      </c>
      <c r="G71" s="121">
        <v>86</v>
      </c>
      <c r="H71" s="122">
        <v>24401022200939</v>
      </c>
      <c r="I71" s="215">
        <v>46163</v>
      </c>
      <c r="J71" s="274" t="s">
        <v>1734</v>
      </c>
      <c r="K71" s="277" cm="1">
        <f t="array" ref="K71">IFERROR(IF(INDEX($P$6:$Q$40,MATCH(TRIM($C71),$O$6:$O$40,0),IF(TRIM($D71)="العينان",2,1))="","",INDEX($P$6:$Q$40,MATCH(TRIM($C71),$O$6:$O$40,0),IF(TRIM($D71)="العينان",2,1))),"")</f>
        <v>400</v>
      </c>
      <c r="L71" s="277">
        <f t="shared" si="2"/>
        <v>292</v>
      </c>
      <c r="M71" s="277">
        <f t="shared" si="3"/>
        <v>108</v>
      </c>
      <c r="N71" s="216"/>
    </row>
    <row r="72" spans="1:14" ht="26" x14ac:dyDescent="0.6">
      <c r="A72" s="71">
        <v>72</v>
      </c>
      <c r="B72" s="120" t="s">
        <v>671</v>
      </c>
      <c r="C72" s="121" t="s">
        <v>142</v>
      </c>
      <c r="D72" s="156" t="s">
        <v>1759</v>
      </c>
      <c r="E72" s="121" t="s">
        <v>684</v>
      </c>
      <c r="F72" s="121" t="s">
        <v>212</v>
      </c>
      <c r="G72" s="121">
        <v>56</v>
      </c>
      <c r="H72" s="122">
        <v>27010152401181</v>
      </c>
      <c r="I72" s="215">
        <v>46163</v>
      </c>
      <c r="J72" s="274" t="s">
        <v>1734</v>
      </c>
      <c r="K72" s="277" cm="1">
        <f t="array" ref="K72">IFERROR(IF(INDEX($P$6:$Q$40,MATCH(TRIM($C72),$O$6:$O$40,0),IF(TRIM($D72)="العينان",2,1))="","",INDEX($P$6:$Q$40,MATCH(TRIM($C72),$O$6:$O$40,0),IF(TRIM($D72)="العينان",2,1))),"")</f>
        <v>650</v>
      </c>
      <c r="L72" s="277">
        <f t="shared" si="2"/>
        <v>474.5</v>
      </c>
      <c r="M72" s="277">
        <f t="shared" si="3"/>
        <v>175.5</v>
      </c>
      <c r="N72" s="216"/>
    </row>
    <row r="73" spans="1:14" ht="26" x14ac:dyDescent="0.6">
      <c r="A73" s="71">
        <v>73</v>
      </c>
      <c r="B73" s="120" t="s">
        <v>747</v>
      </c>
      <c r="C73" s="121" t="s">
        <v>150</v>
      </c>
      <c r="D73" s="156" t="s">
        <v>1758</v>
      </c>
      <c r="E73" s="121">
        <v>1206450496</v>
      </c>
      <c r="F73" s="121" t="s">
        <v>212</v>
      </c>
      <c r="G73" s="121">
        <v>71</v>
      </c>
      <c r="H73" s="122">
        <v>25501062200981</v>
      </c>
      <c r="I73" s="215">
        <v>46163</v>
      </c>
      <c r="J73" s="274" t="s">
        <v>1734</v>
      </c>
      <c r="K73" s="277" cm="1">
        <f t="array" ref="K73">IFERROR(IF(INDEX($P$6:$Q$40,MATCH(TRIM($C73),$O$6:$O$40,0),IF(TRIM($D73)="العينان",2,1))="","",INDEX($P$6:$Q$40,MATCH(TRIM($C73),$O$6:$O$40,0),IF(TRIM($D73)="العينان",2,1))),"")</f>
        <v>400</v>
      </c>
      <c r="L73" s="277">
        <f t="shared" si="2"/>
        <v>292</v>
      </c>
      <c r="M73" s="277">
        <f t="shared" si="3"/>
        <v>108</v>
      </c>
      <c r="N73" s="216"/>
    </row>
    <row r="74" spans="1:14" ht="26" x14ac:dyDescent="0.6">
      <c r="A74" s="71">
        <v>74</v>
      </c>
      <c r="B74" s="120" t="s">
        <v>748</v>
      </c>
      <c r="C74" s="121" t="s">
        <v>186</v>
      </c>
      <c r="D74" s="156" t="s">
        <v>1757</v>
      </c>
      <c r="E74" s="121">
        <v>1113744914</v>
      </c>
      <c r="F74" s="121" t="s">
        <v>212</v>
      </c>
      <c r="G74" s="121">
        <v>64</v>
      </c>
      <c r="H74" s="122">
        <v>26107032402167</v>
      </c>
      <c r="I74" s="215">
        <v>46163</v>
      </c>
      <c r="J74" s="274" t="s">
        <v>1734</v>
      </c>
      <c r="K74" s="277" cm="1">
        <f t="array" ref="K74">IFERROR(IF(INDEX($P$6:$Q$40,MATCH(TRIM($C74),$O$6:$O$40,0),IF(TRIM($D74)="العينان",2,1))="","",INDEX($P$6:$Q$40,MATCH(TRIM($C74),$O$6:$O$40,0),IF(TRIM($D74)="العينان",2,1))),"")</f>
        <v>250</v>
      </c>
      <c r="L74" s="277">
        <f t="shared" si="2"/>
        <v>182.5</v>
      </c>
      <c r="M74" s="277">
        <f t="shared" si="3"/>
        <v>67.5</v>
      </c>
      <c r="N74" s="216"/>
    </row>
    <row r="75" spans="1:14" ht="26" x14ac:dyDescent="0.6">
      <c r="A75" s="71">
        <v>75</v>
      </c>
      <c r="B75" s="120" t="s">
        <v>749</v>
      </c>
      <c r="C75" s="121" t="s">
        <v>186</v>
      </c>
      <c r="D75" s="156" t="s">
        <v>1758</v>
      </c>
      <c r="E75" s="121">
        <v>1102183282</v>
      </c>
      <c r="F75" s="121" t="s">
        <v>212</v>
      </c>
      <c r="G75" s="121">
        <v>63</v>
      </c>
      <c r="H75" s="122">
        <v>26307192401336</v>
      </c>
      <c r="I75" s="215">
        <v>46163</v>
      </c>
      <c r="J75" s="274" t="s">
        <v>1734</v>
      </c>
      <c r="K75" s="277" cm="1">
        <f t="array" ref="K75">IFERROR(IF(INDEX($P$6:$Q$40,MATCH(TRIM($C75),$O$6:$O$40,0),IF(TRIM($D75)="العينان",2,1))="","",INDEX($P$6:$Q$40,MATCH(TRIM($C75),$O$6:$O$40,0),IF(TRIM($D75)="العينان",2,1))),"")</f>
        <v>250</v>
      </c>
      <c r="L75" s="277">
        <f t="shared" si="2"/>
        <v>182.5</v>
      </c>
      <c r="M75" s="277">
        <f t="shared" si="3"/>
        <v>67.5</v>
      </c>
      <c r="N75" s="216"/>
    </row>
    <row r="76" spans="1:14" ht="26" x14ac:dyDescent="0.6">
      <c r="A76" s="71">
        <v>76</v>
      </c>
      <c r="B76" s="120" t="s">
        <v>750</v>
      </c>
      <c r="C76" s="121" t="s">
        <v>142</v>
      </c>
      <c r="D76" s="156" t="s">
        <v>1759</v>
      </c>
      <c r="E76" s="121">
        <v>1258963342</v>
      </c>
      <c r="F76" s="121" t="s">
        <v>212</v>
      </c>
      <c r="G76" s="121">
        <v>18</v>
      </c>
      <c r="H76" s="122">
        <v>30809122401306</v>
      </c>
      <c r="I76" s="215">
        <v>46163</v>
      </c>
      <c r="J76" s="274" t="s">
        <v>1734</v>
      </c>
      <c r="K76" s="277" cm="1">
        <f t="array" ref="K76">IFERROR(IF(INDEX($P$6:$Q$40,MATCH(TRIM($C76),$O$6:$O$40,0),IF(TRIM($D76)="العينان",2,1))="","",INDEX($P$6:$Q$40,MATCH(TRIM($C76),$O$6:$O$40,0),IF(TRIM($D76)="العينان",2,1))),"")</f>
        <v>650</v>
      </c>
      <c r="L76" s="277">
        <f t="shared" si="2"/>
        <v>474.5</v>
      </c>
      <c r="M76" s="277">
        <f t="shared" si="3"/>
        <v>175.5</v>
      </c>
      <c r="N76" s="216"/>
    </row>
    <row r="77" spans="1:14" ht="26" x14ac:dyDescent="0.6">
      <c r="A77" s="71">
        <v>77</v>
      </c>
      <c r="B77" s="120" t="s">
        <v>751</v>
      </c>
      <c r="C77" s="121" t="s">
        <v>186</v>
      </c>
      <c r="D77" s="156" t="s">
        <v>1758</v>
      </c>
      <c r="E77" s="121">
        <v>1206606282</v>
      </c>
      <c r="F77" s="121" t="s">
        <v>212</v>
      </c>
      <c r="G77" s="121">
        <v>48</v>
      </c>
      <c r="H77" s="122">
        <v>27801102403503</v>
      </c>
      <c r="I77" s="215">
        <v>46163</v>
      </c>
      <c r="J77" s="274" t="s">
        <v>1734</v>
      </c>
      <c r="K77" s="277" cm="1">
        <f t="array" ref="K77">IFERROR(IF(INDEX($P$6:$Q$40,MATCH(TRIM($C77),$O$6:$O$40,0),IF(TRIM($D77)="العينان",2,1))="","",INDEX($P$6:$Q$40,MATCH(TRIM($C77),$O$6:$O$40,0),IF(TRIM($D77)="العينان",2,1))),"")</f>
        <v>250</v>
      </c>
      <c r="L77" s="277">
        <f t="shared" si="2"/>
        <v>182.5</v>
      </c>
      <c r="M77" s="277">
        <f t="shared" si="3"/>
        <v>67.5</v>
      </c>
      <c r="N77" s="216"/>
    </row>
    <row r="78" spans="1:14" ht="26" x14ac:dyDescent="0.6">
      <c r="A78" s="71">
        <v>78</v>
      </c>
      <c r="B78" s="120" t="s">
        <v>752</v>
      </c>
      <c r="C78" s="121" t="s">
        <v>142</v>
      </c>
      <c r="D78" s="156" t="s">
        <v>1759</v>
      </c>
      <c r="E78" s="121">
        <v>1277391738</v>
      </c>
      <c r="F78" s="121" t="s">
        <v>212</v>
      </c>
      <c r="G78" s="121">
        <v>38</v>
      </c>
      <c r="H78" s="122">
        <v>28803182401626</v>
      </c>
      <c r="I78" s="215">
        <v>46163</v>
      </c>
      <c r="J78" s="274" t="s">
        <v>1734</v>
      </c>
      <c r="K78" s="277" cm="1">
        <f t="array" ref="K78">IFERROR(IF(INDEX($P$6:$Q$40,MATCH(TRIM($C78),$O$6:$O$40,0),IF(TRIM($D78)="العينان",2,1))="","",INDEX($P$6:$Q$40,MATCH(TRIM($C78),$O$6:$O$40,0),IF(TRIM($D78)="العينان",2,1))),"")</f>
        <v>650</v>
      </c>
      <c r="L78" s="277">
        <f t="shared" si="2"/>
        <v>474.5</v>
      </c>
      <c r="M78" s="277">
        <f t="shared" si="3"/>
        <v>175.5</v>
      </c>
      <c r="N78" s="216"/>
    </row>
    <row r="79" spans="1:14" ht="26" x14ac:dyDescent="0.6">
      <c r="A79" s="71">
        <v>79</v>
      </c>
      <c r="B79" s="120" t="s">
        <v>660</v>
      </c>
      <c r="C79" s="121" t="s">
        <v>142</v>
      </c>
      <c r="D79" s="156" t="s">
        <v>1757</v>
      </c>
      <c r="E79" s="121" t="s">
        <v>685</v>
      </c>
      <c r="F79" s="121" t="s">
        <v>1275</v>
      </c>
      <c r="G79" s="121">
        <v>64</v>
      </c>
      <c r="H79" s="122">
        <v>26212092401605</v>
      </c>
      <c r="I79" s="215">
        <v>46165</v>
      </c>
      <c r="J79" s="274" t="s">
        <v>1733</v>
      </c>
      <c r="K79" s="277" cm="1">
        <f t="array" ref="K79">IFERROR(IF(INDEX($P$6:$Q$40,MATCH(TRIM($C79),$O$6:$O$40,0),IF(TRIM($D79)="العينان",2,1))="","",INDEX($P$6:$Q$40,MATCH(TRIM($C79),$O$6:$O$40,0),IF(TRIM($D79)="العينان",2,1))),"")</f>
        <v>400</v>
      </c>
      <c r="L79" s="277">
        <f t="shared" si="2"/>
        <v>300</v>
      </c>
      <c r="M79" s="277">
        <f t="shared" si="3"/>
        <v>100</v>
      </c>
      <c r="N79" s="216"/>
    </row>
    <row r="80" spans="1:14" ht="26" x14ac:dyDescent="0.6">
      <c r="A80" s="71">
        <v>80</v>
      </c>
      <c r="B80" s="120" t="s">
        <v>753</v>
      </c>
      <c r="C80" s="121" t="s">
        <v>186</v>
      </c>
      <c r="D80" s="156" t="s">
        <v>1758</v>
      </c>
      <c r="E80" s="121">
        <v>1119303449</v>
      </c>
      <c r="F80" s="121" t="s">
        <v>1275</v>
      </c>
      <c r="G80" s="121">
        <v>34</v>
      </c>
      <c r="H80" s="122">
        <v>29401022402726</v>
      </c>
      <c r="I80" s="215">
        <v>46165</v>
      </c>
      <c r="J80" s="274" t="s">
        <v>1733</v>
      </c>
      <c r="K80" s="277" cm="1">
        <f t="array" ref="K80">IFERROR(IF(INDEX($P$6:$Q$40,MATCH(TRIM($C80),$O$6:$O$40,0),IF(TRIM($D80)="العينان",2,1))="","",INDEX($P$6:$Q$40,MATCH(TRIM($C80),$O$6:$O$40,0),IF(TRIM($D80)="العينان",2,1))),"")</f>
        <v>250</v>
      </c>
      <c r="L80" s="277">
        <f t="shared" si="2"/>
        <v>187.5</v>
      </c>
      <c r="M80" s="277">
        <f t="shared" si="3"/>
        <v>62.5</v>
      </c>
      <c r="N80" s="216"/>
    </row>
    <row r="81" spans="1:14" ht="26" x14ac:dyDescent="0.6">
      <c r="A81" s="71">
        <v>81</v>
      </c>
      <c r="B81" s="120" t="s">
        <v>754</v>
      </c>
      <c r="C81" s="121" t="s">
        <v>150</v>
      </c>
      <c r="D81" s="156" t="s">
        <v>1757</v>
      </c>
      <c r="E81" s="121">
        <v>1226827673</v>
      </c>
      <c r="F81" s="121" t="s">
        <v>1275</v>
      </c>
      <c r="G81" s="121">
        <v>63</v>
      </c>
      <c r="H81" s="122">
        <v>26311232200701</v>
      </c>
      <c r="I81" s="215">
        <v>46165</v>
      </c>
      <c r="J81" s="274" t="s">
        <v>1733</v>
      </c>
      <c r="K81" s="277" cm="1">
        <f t="array" ref="K81">IFERROR(IF(INDEX($P$6:$Q$40,MATCH(TRIM($C81),$O$6:$O$40,0),IF(TRIM($D81)="العينان",2,1))="","",INDEX($P$6:$Q$40,MATCH(TRIM($C81),$O$6:$O$40,0),IF(TRIM($D81)="العينان",2,1))),"")</f>
        <v>400</v>
      </c>
      <c r="L81" s="277">
        <f t="shared" si="2"/>
        <v>300</v>
      </c>
      <c r="M81" s="277">
        <f t="shared" si="3"/>
        <v>100</v>
      </c>
      <c r="N81" s="216"/>
    </row>
    <row r="82" spans="1:14" ht="26" x14ac:dyDescent="0.6">
      <c r="A82" s="71">
        <v>82</v>
      </c>
      <c r="B82" s="120" t="s">
        <v>755</v>
      </c>
      <c r="C82" s="121" t="s">
        <v>1783</v>
      </c>
      <c r="D82" s="156" t="s">
        <v>1758</v>
      </c>
      <c r="E82" s="121">
        <v>1118289596</v>
      </c>
      <c r="F82" s="121" t="s">
        <v>1275</v>
      </c>
      <c r="G82" s="121">
        <v>77</v>
      </c>
      <c r="H82" s="122">
        <v>24911072200962</v>
      </c>
      <c r="I82" s="215">
        <v>46165</v>
      </c>
      <c r="J82" s="274" t="s">
        <v>1733</v>
      </c>
      <c r="K82" s="277" cm="1">
        <f t="array" ref="K82">IFERROR(IF(INDEX($P$6:$Q$40,MATCH(TRIM($C82),$O$6:$O$40,0),IF(TRIM($D82)="العينان",2,1))="","",INDEX($P$6:$Q$40,MATCH(TRIM($C82),$O$6:$O$40,0),IF(TRIM($D82)="العينان",2,1))),"")</f>
        <v>750</v>
      </c>
      <c r="L82" s="277">
        <f t="shared" si="2"/>
        <v>562.5</v>
      </c>
      <c r="M82" s="277">
        <f t="shared" si="3"/>
        <v>187.5</v>
      </c>
      <c r="N82" s="216"/>
    </row>
    <row r="83" spans="1:14" ht="26" x14ac:dyDescent="0.6">
      <c r="A83" s="71">
        <v>83</v>
      </c>
      <c r="B83" s="120" t="s">
        <v>756</v>
      </c>
      <c r="C83" s="121" t="s">
        <v>142</v>
      </c>
      <c r="D83" s="156" t="s">
        <v>1757</v>
      </c>
      <c r="E83" s="121">
        <v>1110463698</v>
      </c>
      <c r="F83" s="121" t="s">
        <v>1275</v>
      </c>
      <c r="G83" s="121">
        <v>54</v>
      </c>
      <c r="H83" s="122">
        <v>27212312200626</v>
      </c>
      <c r="I83" s="215">
        <v>46165</v>
      </c>
      <c r="J83" s="274" t="s">
        <v>1733</v>
      </c>
      <c r="K83" s="277" cm="1">
        <f t="array" ref="K83">IFERROR(IF(INDEX($P$6:$Q$40,MATCH(TRIM($C83),$O$6:$O$40,0),IF(TRIM($D83)="العينان",2,1))="","",INDEX($P$6:$Q$40,MATCH(TRIM($C83),$O$6:$O$40,0),IF(TRIM($D83)="العينان",2,1))),"")</f>
        <v>400</v>
      </c>
      <c r="L83" s="277">
        <f t="shared" si="2"/>
        <v>300</v>
      </c>
      <c r="M83" s="277">
        <f t="shared" si="3"/>
        <v>100</v>
      </c>
      <c r="N83" s="216"/>
    </row>
    <row r="84" spans="1:14" ht="26" x14ac:dyDescent="0.6">
      <c r="A84" s="71">
        <v>84</v>
      </c>
      <c r="B84" s="120" t="s">
        <v>757</v>
      </c>
      <c r="C84" s="121" t="s">
        <v>1777</v>
      </c>
      <c r="D84" s="156" t="s">
        <v>1758</v>
      </c>
      <c r="E84" s="121">
        <v>1062524734</v>
      </c>
      <c r="F84" s="121" t="s">
        <v>1275</v>
      </c>
      <c r="G84" s="121">
        <v>75</v>
      </c>
      <c r="H84" s="122">
        <v>25103152401891</v>
      </c>
      <c r="I84" s="215">
        <v>46165</v>
      </c>
      <c r="J84" s="274" t="s">
        <v>1733</v>
      </c>
      <c r="K84" s="277" cm="1">
        <f t="array" ref="K84">IFERROR(IF(INDEX($P$6:$Q$40,MATCH(TRIM($C84),$O$6:$O$40,0),IF(TRIM($D84)="العينان",2,1))="","",INDEX($P$6:$Q$40,MATCH(TRIM($C84),$O$6:$O$40,0),IF(TRIM($D84)="العينان",2,1))),"")</f>
        <v>650</v>
      </c>
      <c r="L84" s="277">
        <f t="shared" si="2"/>
        <v>487.5</v>
      </c>
      <c r="M84" s="277">
        <f t="shared" si="3"/>
        <v>162.5</v>
      </c>
      <c r="N84" s="216"/>
    </row>
    <row r="85" spans="1:14" ht="26" x14ac:dyDescent="0.6">
      <c r="A85" s="71">
        <v>85</v>
      </c>
      <c r="B85" s="120" t="s">
        <v>758</v>
      </c>
      <c r="C85" s="121" t="s">
        <v>1784</v>
      </c>
      <c r="D85" s="156" t="s">
        <v>1758</v>
      </c>
      <c r="E85" s="121">
        <v>1113956638</v>
      </c>
      <c r="F85" s="121" t="s">
        <v>1275</v>
      </c>
      <c r="G85" s="121">
        <v>64</v>
      </c>
      <c r="H85" s="122">
        <v>26211192401649</v>
      </c>
      <c r="I85" s="215">
        <v>46165</v>
      </c>
      <c r="J85" s="274" t="s">
        <v>1733</v>
      </c>
      <c r="K85" s="277">
        <v>650</v>
      </c>
      <c r="L85" s="277">
        <f t="shared" si="2"/>
        <v>487.5</v>
      </c>
      <c r="M85" s="277">
        <f t="shared" si="3"/>
        <v>162.5</v>
      </c>
      <c r="N85" s="216"/>
    </row>
    <row r="86" spans="1:14" ht="26" x14ac:dyDescent="0.6">
      <c r="A86" s="71">
        <v>86</v>
      </c>
      <c r="B86" s="120" t="s">
        <v>752</v>
      </c>
      <c r="C86" s="121" t="s">
        <v>142</v>
      </c>
      <c r="D86" s="156" t="s">
        <v>1759</v>
      </c>
      <c r="E86" s="121">
        <v>1277391738</v>
      </c>
      <c r="F86" s="121" t="s">
        <v>1275</v>
      </c>
      <c r="G86" s="121">
        <v>38</v>
      </c>
      <c r="H86" s="122">
        <v>28803182401626</v>
      </c>
      <c r="I86" s="215">
        <v>46165</v>
      </c>
      <c r="J86" s="274" t="s">
        <v>1733</v>
      </c>
      <c r="K86" s="277" cm="1">
        <f t="array" ref="K86">IFERROR(IF(INDEX($P$6:$Q$40,MATCH(TRIM($C86),$O$6:$O$40,0),IF(TRIM($D86)="العينان",2,1))="","",INDEX($P$6:$Q$40,MATCH(TRIM($C86),$O$6:$O$40,0),IF(TRIM($D86)="العينان",2,1))),"")</f>
        <v>650</v>
      </c>
      <c r="L86" s="277">
        <f t="shared" si="2"/>
        <v>487.5</v>
      </c>
      <c r="M86" s="277">
        <f t="shared" si="3"/>
        <v>162.5</v>
      </c>
      <c r="N86" s="216"/>
    </row>
    <row r="87" spans="1:14" ht="26" x14ac:dyDescent="0.6">
      <c r="A87" s="71">
        <v>87</v>
      </c>
      <c r="B87" s="120" t="s">
        <v>759</v>
      </c>
      <c r="C87" s="121" t="s">
        <v>186</v>
      </c>
      <c r="D87" s="156" t="s">
        <v>1758</v>
      </c>
      <c r="E87" s="121">
        <v>1200433166</v>
      </c>
      <c r="F87" s="121" t="s">
        <v>1275</v>
      </c>
      <c r="G87" s="121">
        <v>40</v>
      </c>
      <c r="H87" s="122">
        <v>28605292401668</v>
      </c>
      <c r="I87" s="215">
        <v>46167</v>
      </c>
      <c r="J87" s="274" t="s">
        <v>1734</v>
      </c>
      <c r="K87" s="277" cm="1">
        <f t="array" ref="K87">IFERROR(IF(INDEX($P$6:$Q$40,MATCH(TRIM($C87),$O$6:$O$40,0),IF(TRIM($D87)="العينان",2,1))="","",INDEX($P$6:$Q$40,MATCH(TRIM($C87),$O$6:$O$40,0),IF(TRIM($D87)="العينان",2,1))),"")</f>
        <v>250</v>
      </c>
      <c r="L87" s="277">
        <f t="shared" si="2"/>
        <v>182.5</v>
      </c>
      <c r="M87" s="277">
        <f t="shared" si="3"/>
        <v>67.5</v>
      </c>
      <c r="N87" s="216"/>
    </row>
    <row r="88" spans="1:14" ht="26" x14ac:dyDescent="0.6">
      <c r="A88" s="71">
        <v>88</v>
      </c>
      <c r="B88" s="120" t="s">
        <v>672</v>
      </c>
      <c r="C88" s="121" t="s">
        <v>142</v>
      </c>
      <c r="D88" s="156" t="s">
        <v>1759</v>
      </c>
      <c r="E88" s="121" t="s">
        <v>686</v>
      </c>
      <c r="F88" s="121" t="s">
        <v>261</v>
      </c>
      <c r="G88" s="121">
        <v>55</v>
      </c>
      <c r="H88" s="122">
        <v>27103092401966</v>
      </c>
      <c r="I88" s="215">
        <v>46167</v>
      </c>
      <c r="J88" s="274" t="s">
        <v>1734</v>
      </c>
      <c r="K88" s="277" cm="1">
        <f t="array" ref="K88">IFERROR(IF(INDEX($P$6:$Q$40,MATCH(TRIM($C88),$O$6:$O$40,0),IF(TRIM($D88)="العينان",2,1))="","",INDEX($P$6:$Q$40,MATCH(TRIM($C88),$O$6:$O$40,0),IF(TRIM($D88)="العينان",2,1))),"")</f>
        <v>650</v>
      </c>
      <c r="L88" s="277">
        <f t="shared" si="2"/>
        <v>474.5</v>
      </c>
      <c r="M88" s="277">
        <f t="shared" si="3"/>
        <v>175.5</v>
      </c>
      <c r="N88" s="216"/>
    </row>
    <row r="89" spans="1:14" ht="26" x14ac:dyDescent="0.6">
      <c r="A89" s="71">
        <v>89</v>
      </c>
      <c r="B89" s="120" t="s">
        <v>760</v>
      </c>
      <c r="C89" s="121" t="s">
        <v>142</v>
      </c>
      <c r="D89" s="156" t="s">
        <v>1759</v>
      </c>
      <c r="E89" s="121">
        <v>1123894127</v>
      </c>
      <c r="F89" s="121" t="s">
        <v>261</v>
      </c>
      <c r="G89" s="121">
        <v>26</v>
      </c>
      <c r="H89" s="122">
        <v>30003172400268</v>
      </c>
      <c r="I89" s="215">
        <v>46167</v>
      </c>
      <c r="J89" s="274" t="s">
        <v>1734</v>
      </c>
      <c r="K89" s="277" cm="1">
        <f t="array" ref="K89">IFERROR(IF(INDEX($P$6:$Q$40,MATCH(TRIM($C89),$O$6:$O$40,0),IF(TRIM($D89)="العينان",2,1))="","",INDEX($P$6:$Q$40,MATCH(TRIM($C89),$O$6:$O$40,0),IF(TRIM($D89)="العينان",2,1))),"")</f>
        <v>650</v>
      </c>
      <c r="L89" s="277">
        <f t="shared" si="2"/>
        <v>474.5</v>
      </c>
      <c r="M89" s="277">
        <f t="shared" si="3"/>
        <v>175.5</v>
      </c>
      <c r="N89" s="216"/>
    </row>
    <row r="90" spans="1:14" ht="26" x14ac:dyDescent="0.6">
      <c r="A90" s="71">
        <v>90</v>
      </c>
      <c r="B90" s="120" t="s">
        <v>761</v>
      </c>
      <c r="C90" s="121" t="s">
        <v>142</v>
      </c>
      <c r="D90" s="156" t="s">
        <v>1758</v>
      </c>
      <c r="E90" s="121">
        <v>1270314530</v>
      </c>
      <c r="F90" s="121" t="s">
        <v>261</v>
      </c>
      <c r="G90" s="121">
        <v>74</v>
      </c>
      <c r="H90" s="122">
        <v>25207292401017</v>
      </c>
      <c r="I90" s="215">
        <v>46167</v>
      </c>
      <c r="J90" s="274" t="s">
        <v>1734</v>
      </c>
      <c r="K90" s="277" cm="1">
        <f t="array" ref="K90">IFERROR(IF(INDEX($P$6:$Q$40,MATCH(TRIM($C90),$O$6:$O$40,0),IF(TRIM($D90)="العينان",2,1))="","",INDEX($P$6:$Q$40,MATCH(TRIM($C90),$O$6:$O$40,0),IF(TRIM($D90)="العينان",2,1))),"")</f>
        <v>400</v>
      </c>
      <c r="L90" s="277">
        <f t="shared" si="2"/>
        <v>292</v>
      </c>
      <c r="M90" s="277">
        <f t="shared" si="3"/>
        <v>108</v>
      </c>
      <c r="N90" s="216"/>
    </row>
    <row r="91" spans="1:14" ht="26" x14ac:dyDescent="0.6">
      <c r="A91" s="71">
        <v>91</v>
      </c>
      <c r="B91" s="120" t="s">
        <v>762</v>
      </c>
      <c r="C91" s="121" t="s">
        <v>142</v>
      </c>
      <c r="D91" s="156" t="s">
        <v>1759</v>
      </c>
      <c r="E91" s="121">
        <v>1116813808</v>
      </c>
      <c r="F91" s="121" t="s">
        <v>261</v>
      </c>
      <c r="G91" s="121">
        <v>54</v>
      </c>
      <c r="H91" s="122">
        <v>27201092402107</v>
      </c>
      <c r="I91" s="215">
        <v>46167</v>
      </c>
      <c r="J91" s="274" t="s">
        <v>1734</v>
      </c>
      <c r="K91" s="277" cm="1">
        <f t="array" ref="K91">IFERROR(IF(INDEX($P$6:$Q$40,MATCH(TRIM($C91),$O$6:$O$40,0),IF(TRIM($D91)="العينان",2,1))="","",INDEX($P$6:$Q$40,MATCH(TRIM($C91),$O$6:$O$40,0),IF(TRIM($D91)="العينان",2,1))),"")</f>
        <v>650</v>
      </c>
      <c r="L91" s="277">
        <f t="shared" si="2"/>
        <v>474.5</v>
      </c>
      <c r="M91" s="277">
        <f t="shared" si="3"/>
        <v>175.5</v>
      </c>
      <c r="N91" s="216"/>
    </row>
    <row r="92" spans="1:14" ht="26" x14ac:dyDescent="0.6">
      <c r="A92" s="71">
        <v>92</v>
      </c>
      <c r="B92" s="120" t="s">
        <v>763</v>
      </c>
      <c r="C92" s="121" t="s">
        <v>142</v>
      </c>
      <c r="D92" s="156" t="s">
        <v>1759</v>
      </c>
      <c r="E92" s="121">
        <v>112294671</v>
      </c>
      <c r="F92" s="121" t="s">
        <v>261</v>
      </c>
      <c r="G92" s="121">
        <v>57</v>
      </c>
      <c r="H92" s="122">
        <v>26901152402177</v>
      </c>
      <c r="I92" s="215">
        <v>46167</v>
      </c>
      <c r="J92" s="274" t="s">
        <v>1734</v>
      </c>
      <c r="K92" s="277" cm="1">
        <f t="array" ref="K92">IFERROR(IF(INDEX($P$6:$Q$40,MATCH(TRIM($C92),$O$6:$O$40,0),IF(TRIM($D92)="العينان",2,1))="","",INDEX($P$6:$Q$40,MATCH(TRIM($C92),$O$6:$O$40,0),IF(TRIM($D92)="العينان",2,1))),"")</f>
        <v>650</v>
      </c>
      <c r="L92" s="277">
        <f t="shared" si="2"/>
        <v>474.5</v>
      </c>
      <c r="M92" s="277">
        <f t="shared" si="3"/>
        <v>175.5</v>
      </c>
      <c r="N92" s="216"/>
    </row>
    <row r="93" spans="1:14" ht="26" x14ac:dyDescent="0.6">
      <c r="A93" s="71">
        <v>93</v>
      </c>
      <c r="B93" s="120" t="s">
        <v>764</v>
      </c>
      <c r="C93" s="121" t="s">
        <v>142</v>
      </c>
      <c r="D93" s="156" t="s">
        <v>1759</v>
      </c>
      <c r="E93" s="121">
        <v>1156055822</v>
      </c>
      <c r="F93" s="121" t="s">
        <v>261</v>
      </c>
      <c r="G93" s="121">
        <v>21</v>
      </c>
      <c r="H93" s="122">
        <v>30505222402394</v>
      </c>
      <c r="I93" s="215">
        <v>46167</v>
      </c>
      <c r="J93" s="274" t="s">
        <v>1734</v>
      </c>
      <c r="K93" s="277" cm="1">
        <f t="array" ref="K93">IFERROR(IF(INDEX($P$6:$Q$40,MATCH(TRIM($C93),$O$6:$O$40,0),IF(TRIM($D93)="العينان",2,1))="","",INDEX($P$6:$Q$40,MATCH(TRIM($C93),$O$6:$O$40,0),IF(TRIM($D93)="العينان",2,1))),"")</f>
        <v>650</v>
      </c>
      <c r="L93" s="277">
        <f t="shared" si="2"/>
        <v>474.5</v>
      </c>
      <c r="M93" s="277">
        <f t="shared" si="3"/>
        <v>175.5</v>
      </c>
      <c r="N93" s="216"/>
    </row>
    <row r="94" spans="1:14" ht="26" x14ac:dyDescent="0.6">
      <c r="A94" s="71">
        <v>94</v>
      </c>
      <c r="B94" s="120" t="s">
        <v>765</v>
      </c>
      <c r="C94" s="121" t="s">
        <v>142</v>
      </c>
      <c r="D94" s="156" t="s">
        <v>1758</v>
      </c>
      <c r="E94" s="121">
        <v>1140536863</v>
      </c>
      <c r="F94" s="121" t="s">
        <v>261</v>
      </c>
      <c r="G94" s="121">
        <v>20</v>
      </c>
      <c r="H94" s="122">
        <v>30610012208321</v>
      </c>
      <c r="I94" s="215">
        <v>46167</v>
      </c>
      <c r="J94" s="274" t="s">
        <v>1734</v>
      </c>
      <c r="K94" s="277" cm="1">
        <f t="array" ref="K94">IFERROR(IF(INDEX($P$6:$Q$40,MATCH(TRIM($C94),$O$6:$O$40,0),IF(TRIM($D94)="العينان",2,1))="","",INDEX($P$6:$Q$40,MATCH(TRIM($C94),$O$6:$O$40,0),IF(TRIM($D94)="العينان",2,1))),"")</f>
        <v>400</v>
      </c>
      <c r="L94" s="277">
        <f t="shared" si="2"/>
        <v>292</v>
      </c>
      <c r="M94" s="277">
        <f t="shared" si="3"/>
        <v>108</v>
      </c>
      <c r="N94" s="216"/>
    </row>
    <row r="95" spans="1:14" ht="26" x14ac:dyDescent="0.6">
      <c r="A95" s="71">
        <v>95</v>
      </c>
      <c r="B95" s="120" t="s">
        <v>766</v>
      </c>
      <c r="C95" s="121" t="s">
        <v>142</v>
      </c>
      <c r="D95" s="156" t="s">
        <v>1758</v>
      </c>
      <c r="E95" s="121">
        <v>1142853453</v>
      </c>
      <c r="F95" s="121" t="s">
        <v>261</v>
      </c>
      <c r="G95" s="121">
        <v>30</v>
      </c>
      <c r="H95" s="122">
        <v>29606202202599</v>
      </c>
      <c r="I95" s="215">
        <v>46167</v>
      </c>
      <c r="J95" s="274" t="s">
        <v>1734</v>
      </c>
      <c r="K95" s="277" cm="1">
        <f t="array" ref="K95">IFERROR(IF(INDEX($P$6:$Q$40,MATCH(TRIM($C95),$O$6:$O$40,0),IF(TRIM($D95)="العينان",2,1))="","",INDEX($P$6:$Q$40,MATCH(TRIM($C95),$O$6:$O$40,0),IF(TRIM($D95)="العينان",2,1))),"")</f>
        <v>400</v>
      </c>
      <c r="L95" s="277">
        <f t="shared" si="2"/>
        <v>292</v>
      </c>
      <c r="M95" s="277">
        <f t="shared" si="3"/>
        <v>108</v>
      </c>
      <c r="N95" s="216"/>
    </row>
    <row r="96" spans="1:14" ht="26" x14ac:dyDescent="0.6">
      <c r="A96" s="71">
        <v>96</v>
      </c>
      <c r="B96" s="120" t="s">
        <v>767</v>
      </c>
      <c r="C96" s="121" t="s">
        <v>186</v>
      </c>
      <c r="D96" s="156" t="s">
        <v>1757</v>
      </c>
      <c r="E96" s="121">
        <v>10405304975</v>
      </c>
      <c r="F96" s="121" t="s">
        <v>1275</v>
      </c>
      <c r="G96" s="121">
        <v>67</v>
      </c>
      <c r="H96" s="122">
        <v>25907152401795</v>
      </c>
      <c r="I96" s="215">
        <v>46174</v>
      </c>
      <c r="J96" s="274" t="s">
        <v>1734</v>
      </c>
      <c r="K96" s="277" cm="1">
        <f t="array" ref="K96">IFERROR(IF(INDEX($P$6:$Q$40,MATCH(TRIM($C96),$O$6:$O$40,0),IF(TRIM($D96)="العينان",2,1))="","",INDEX($P$6:$Q$40,MATCH(TRIM($C96),$O$6:$O$40,0),IF(TRIM($D96)="العينان",2,1))),"")</f>
        <v>250</v>
      </c>
      <c r="L96" s="277">
        <f t="shared" si="2"/>
        <v>182.5</v>
      </c>
      <c r="M96" s="277">
        <f t="shared" si="3"/>
        <v>67.5</v>
      </c>
      <c r="N96" s="216"/>
    </row>
    <row r="97" spans="1:14" ht="26" x14ac:dyDescent="0.6">
      <c r="A97" s="71">
        <v>97</v>
      </c>
      <c r="B97" s="120" t="s">
        <v>768</v>
      </c>
      <c r="C97" s="121" t="s">
        <v>142</v>
      </c>
      <c r="D97" s="156" t="s">
        <v>1758</v>
      </c>
      <c r="E97" s="121">
        <v>1286689197</v>
      </c>
      <c r="F97" s="121" t="s">
        <v>1275</v>
      </c>
      <c r="G97" s="121">
        <v>61</v>
      </c>
      <c r="H97" s="122">
        <v>26504012500722</v>
      </c>
      <c r="I97" s="215">
        <v>46174</v>
      </c>
      <c r="J97" s="274" t="s">
        <v>1734</v>
      </c>
      <c r="K97" s="277" cm="1">
        <f t="array" ref="K97">IFERROR(IF(INDEX($P$6:$Q$40,MATCH(TRIM($C97),$O$6:$O$40,0),IF(TRIM($D97)="العينان",2,1))="","",INDEX($P$6:$Q$40,MATCH(TRIM($C97),$O$6:$O$40,0),IF(TRIM($D97)="العينان",2,1))),"")</f>
        <v>400</v>
      </c>
      <c r="L97" s="277">
        <f t="shared" si="2"/>
        <v>292</v>
      </c>
      <c r="M97" s="277">
        <f t="shared" si="3"/>
        <v>108</v>
      </c>
      <c r="N97" s="216"/>
    </row>
    <row r="98" spans="1:14" ht="26" x14ac:dyDescent="0.6">
      <c r="A98" s="71">
        <v>98</v>
      </c>
      <c r="B98" s="120" t="s">
        <v>769</v>
      </c>
      <c r="C98" s="121" t="s">
        <v>150</v>
      </c>
      <c r="D98" s="156" t="s">
        <v>1758</v>
      </c>
      <c r="E98" s="121">
        <v>1126347541</v>
      </c>
      <c r="F98" s="121" t="s">
        <v>1275</v>
      </c>
      <c r="G98" s="121">
        <v>73</v>
      </c>
      <c r="H98" s="122">
        <v>25305102401549</v>
      </c>
      <c r="I98" s="215">
        <v>46174</v>
      </c>
      <c r="J98" s="274" t="s">
        <v>1734</v>
      </c>
      <c r="K98" s="277" cm="1">
        <f t="array" ref="K98">IFERROR(IF(INDEX($P$6:$Q$40,MATCH(TRIM($C98),$O$6:$O$40,0),IF(TRIM($D98)="العينان",2,1))="","",INDEX($P$6:$Q$40,MATCH(TRIM($C98),$O$6:$O$40,0),IF(TRIM($D98)="العينان",2,1))),"")</f>
        <v>400</v>
      </c>
      <c r="L98" s="277">
        <f t="shared" si="2"/>
        <v>292</v>
      </c>
      <c r="M98" s="277">
        <f t="shared" si="3"/>
        <v>108</v>
      </c>
      <c r="N98" s="216"/>
    </row>
    <row r="99" spans="1:14" ht="26" x14ac:dyDescent="0.6">
      <c r="A99" s="71">
        <v>99</v>
      </c>
      <c r="B99" s="120" t="s">
        <v>770</v>
      </c>
      <c r="C99" s="121" t="s">
        <v>1784</v>
      </c>
      <c r="D99" s="156" t="s">
        <v>1759</v>
      </c>
      <c r="E99" s="121">
        <v>1119755812</v>
      </c>
      <c r="F99" s="121" t="s">
        <v>1275</v>
      </c>
      <c r="G99" s="121">
        <v>36</v>
      </c>
      <c r="H99" s="122">
        <v>29012202202311</v>
      </c>
      <c r="I99" s="215">
        <v>46174</v>
      </c>
      <c r="J99" s="274" t="s">
        <v>1734</v>
      </c>
      <c r="K99" s="277">
        <v>1200</v>
      </c>
      <c r="L99" s="277">
        <f t="shared" si="2"/>
        <v>876</v>
      </c>
      <c r="M99" s="277">
        <f t="shared" si="3"/>
        <v>324</v>
      </c>
      <c r="N99" s="216"/>
    </row>
    <row r="100" spans="1:14" ht="26" x14ac:dyDescent="0.6">
      <c r="A100" s="71">
        <v>100</v>
      </c>
      <c r="B100" s="120" t="s">
        <v>771</v>
      </c>
      <c r="C100" s="121" t="s">
        <v>186</v>
      </c>
      <c r="D100" s="156" t="s">
        <v>1757</v>
      </c>
      <c r="E100" s="121">
        <v>1120404295</v>
      </c>
      <c r="F100" s="121" t="s">
        <v>1275</v>
      </c>
      <c r="G100" s="121">
        <v>28</v>
      </c>
      <c r="H100" s="122">
        <v>29807252404082</v>
      </c>
      <c r="I100" s="215">
        <v>46174</v>
      </c>
      <c r="J100" s="274" t="s">
        <v>1734</v>
      </c>
      <c r="K100" s="277" cm="1">
        <f t="array" ref="K100">IFERROR(IF(INDEX($P$6:$Q$40,MATCH(TRIM($C100),$O$6:$O$40,0),IF(TRIM($D100)="العينان",2,1))="","",INDEX($P$6:$Q$40,MATCH(TRIM($C100),$O$6:$O$40,0),IF(TRIM($D100)="العينان",2,1))),"")</f>
        <v>250</v>
      </c>
      <c r="L100" s="277">
        <f t="shared" si="2"/>
        <v>182.5</v>
      </c>
      <c r="M100" s="277">
        <f t="shared" si="3"/>
        <v>67.5</v>
      </c>
      <c r="N100" s="216"/>
    </row>
    <row r="101" spans="1:14" ht="26" x14ac:dyDescent="0.6">
      <c r="A101" s="71">
        <v>101</v>
      </c>
      <c r="B101" s="120" t="s">
        <v>772</v>
      </c>
      <c r="C101" s="121" t="s">
        <v>145</v>
      </c>
      <c r="D101" s="156" t="s">
        <v>1757</v>
      </c>
      <c r="E101" s="121">
        <v>128427325</v>
      </c>
      <c r="F101" s="121" t="s">
        <v>1275</v>
      </c>
      <c r="G101" s="121">
        <v>54</v>
      </c>
      <c r="H101" s="122">
        <v>27212122201162</v>
      </c>
      <c r="I101" s="215">
        <v>46174</v>
      </c>
      <c r="J101" s="274" t="s">
        <v>1734</v>
      </c>
      <c r="K101" s="277" cm="1">
        <f t="array" ref="K101">IFERROR(IF(INDEX($P$6:$Q$40,MATCH(TRIM($C101),$O$6:$O$40,0),IF(TRIM($D101)="العينان",2,1))="","",INDEX($P$6:$Q$40,MATCH(TRIM($C101),$O$6:$O$40,0),IF(TRIM($D101)="العينان",2,1))),"")</f>
        <v>750</v>
      </c>
      <c r="L101" s="277">
        <f t="shared" si="2"/>
        <v>547.5</v>
      </c>
      <c r="M101" s="277">
        <f t="shared" si="3"/>
        <v>202.5</v>
      </c>
      <c r="N101" s="216"/>
    </row>
    <row r="102" spans="1:14" ht="26" x14ac:dyDescent="0.6">
      <c r="A102" s="71">
        <v>102</v>
      </c>
      <c r="B102" s="120" t="s">
        <v>773</v>
      </c>
      <c r="C102" s="121" t="s">
        <v>1785</v>
      </c>
      <c r="D102" s="156" t="s">
        <v>1759</v>
      </c>
      <c r="E102" s="121">
        <v>111986468</v>
      </c>
      <c r="F102" s="121" t="s">
        <v>1275</v>
      </c>
      <c r="G102" s="121">
        <v>66</v>
      </c>
      <c r="H102" s="122">
        <v>26004182201042</v>
      </c>
      <c r="I102" s="215">
        <v>46174</v>
      </c>
      <c r="J102" s="274" t="s">
        <v>1734</v>
      </c>
      <c r="K102" s="277" cm="1">
        <f t="array" ref="K102">IFERROR(IF(INDEX($P$6:$Q$40,MATCH(TRIM($C102),$O$6:$O$40,0),IF(TRIM($D102)="العينان",2,1))="","",INDEX($P$6:$Q$40,MATCH(TRIM($C102),$O$6:$O$40,0),IF(TRIM($D102)="العينان",2,1))),"")</f>
        <v>1200</v>
      </c>
      <c r="L102" s="277">
        <f t="shared" si="2"/>
        <v>876</v>
      </c>
      <c r="M102" s="277">
        <f t="shared" si="3"/>
        <v>324</v>
      </c>
      <c r="N102" s="216"/>
    </row>
    <row r="103" spans="1:14" ht="26" x14ac:dyDescent="0.6">
      <c r="A103" s="71">
        <v>103</v>
      </c>
      <c r="B103" s="120" t="s">
        <v>759</v>
      </c>
      <c r="C103" s="121" t="s">
        <v>142</v>
      </c>
      <c r="D103" s="156" t="s">
        <v>1757</v>
      </c>
      <c r="E103" s="121">
        <v>1200433166</v>
      </c>
      <c r="F103" s="121" t="s">
        <v>1275</v>
      </c>
      <c r="G103" s="121">
        <v>40</v>
      </c>
      <c r="H103" s="122">
        <v>28605292401668</v>
      </c>
      <c r="I103" s="215">
        <v>46174</v>
      </c>
      <c r="J103" s="274" t="s">
        <v>1734</v>
      </c>
      <c r="K103" s="277" cm="1">
        <f t="array" ref="K103">IFERROR(IF(INDEX($P$6:$Q$40,MATCH(TRIM($C103),$O$6:$O$40,0),IF(TRIM($D103)="العينان",2,1))="","",INDEX($P$6:$Q$40,MATCH(TRIM($C103),$O$6:$O$40,0),IF(TRIM($D103)="العينان",2,1))),"")</f>
        <v>400</v>
      </c>
      <c r="L103" s="277">
        <f t="shared" si="2"/>
        <v>292</v>
      </c>
      <c r="M103" s="277">
        <f t="shared" si="3"/>
        <v>108</v>
      </c>
      <c r="N103" s="216"/>
    </row>
    <row r="104" spans="1:14" ht="26" x14ac:dyDescent="0.6">
      <c r="A104" s="71">
        <v>104</v>
      </c>
      <c r="B104" s="120" t="s">
        <v>774</v>
      </c>
      <c r="C104" s="121" t="s">
        <v>186</v>
      </c>
      <c r="D104" s="156" t="s">
        <v>1757</v>
      </c>
      <c r="E104" s="121">
        <v>1117424252</v>
      </c>
      <c r="F104" s="121" t="s">
        <v>1275</v>
      </c>
      <c r="G104" s="121">
        <v>34</v>
      </c>
      <c r="H104" s="122">
        <v>29206032201357</v>
      </c>
      <c r="I104" s="215">
        <v>46177</v>
      </c>
      <c r="J104" s="274" t="s">
        <v>1734</v>
      </c>
      <c r="K104" s="277" cm="1">
        <f t="array" ref="K104">IFERROR(IF(INDEX($P$6:$Q$40,MATCH(TRIM($C104),$O$6:$O$40,0),IF(TRIM($D104)="العينان",2,1))="","",INDEX($P$6:$Q$40,MATCH(TRIM($C104),$O$6:$O$40,0),IF(TRIM($D104)="العينان",2,1))),"")</f>
        <v>250</v>
      </c>
      <c r="L104" s="277">
        <f t="shared" si="2"/>
        <v>182.5</v>
      </c>
      <c r="M104" s="277">
        <f t="shared" si="3"/>
        <v>67.5</v>
      </c>
      <c r="N104" s="216"/>
    </row>
    <row r="105" spans="1:14" ht="26" x14ac:dyDescent="0.6">
      <c r="A105" s="71">
        <v>105</v>
      </c>
      <c r="B105" s="120" t="s">
        <v>661</v>
      </c>
      <c r="C105" s="121" t="s">
        <v>142</v>
      </c>
      <c r="D105" s="156" t="s">
        <v>1759</v>
      </c>
      <c r="E105" s="121" t="s">
        <v>687</v>
      </c>
      <c r="F105" s="121" t="s">
        <v>212</v>
      </c>
      <c r="G105" s="121">
        <v>64</v>
      </c>
      <c r="H105" s="122">
        <v>26212252401194</v>
      </c>
      <c r="I105" s="215">
        <v>46177</v>
      </c>
      <c r="J105" s="274" t="s">
        <v>1734</v>
      </c>
      <c r="K105" s="277" cm="1">
        <f t="array" ref="K105">IFERROR(IF(INDEX($P$6:$Q$40,MATCH(TRIM($C105),$O$6:$O$40,0),IF(TRIM($D105)="العينان",2,1))="","",INDEX($P$6:$Q$40,MATCH(TRIM($C105),$O$6:$O$40,0),IF(TRIM($D105)="العينان",2,1))),"")</f>
        <v>650</v>
      </c>
      <c r="L105" s="277">
        <f t="shared" si="2"/>
        <v>474.5</v>
      </c>
      <c r="M105" s="277">
        <f t="shared" si="3"/>
        <v>175.5</v>
      </c>
      <c r="N105" s="216"/>
    </row>
    <row r="106" spans="1:14" ht="26" x14ac:dyDescent="0.6">
      <c r="A106" s="71">
        <v>107</v>
      </c>
      <c r="B106" s="120" t="s">
        <v>775</v>
      </c>
      <c r="C106" s="121" t="s">
        <v>186</v>
      </c>
      <c r="D106" s="156" t="s">
        <v>1758</v>
      </c>
      <c r="E106" s="121">
        <v>1145834727</v>
      </c>
      <c r="F106" s="121" t="s">
        <v>212</v>
      </c>
      <c r="G106" s="121">
        <v>34</v>
      </c>
      <c r="H106" s="122">
        <v>29209272403533</v>
      </c>
      <c r="I106" s="215">
        <v>46177</v>
      </c>
      <c r="J106" s="274" t="s">
        <v>1734</v>
      </c>
      <c r="K106" s="277" cm="1">
        <f t="array" ref="K106">IFERROR(IF(INDEX($P$6:$Q$40,MATCH(TRIM($C106),$O$6:$O$40,0),IF(TRIM($D106)="العينان",2,1))="","",INDEX($P$6:$Q$40,MATCH(TRIM($C106),$O$6:$O$40,0),IF(TRIM($D106)="العينان",2,1))),"")</f>
        <v>250</v>
      </c>
      <c r="L106" s="277">
        <f t="shared" si="2"/>
        <v>182.5</v>
      </c>
      <c r="M106" s="277">
        <f t="shared" si="3"/>
        <v>67.5</v>
      </c>
      <c r="N106" s="216"/>
    </row>
    <row r="107" spans="1:14" ht="26" x14ac:dyDescent="0.6">
      <c r="A107" s="71">
        <v>108</v>
      </c>
      <c r="B107" s="120" t="s">
        <v>776</v>
      </c>
      <c r="C107" s="121" t="s">
        <v>1786</v>
      </c>
      <c r="D107" s="156" t="s">
        <v>1757</v>
      </c>
      <c r="E107" s="121">
        <v>1127906035</v>
      </c>
      <c r="F107" s="121" t="s">
        <v>212</v>
      </c>
      <c r="G107" s="121">
        <v>73</v>
      </c>
      <c r="H107" s="122">
        <v>25308142200987</v>
      </c>
      <c r="I107" s="215">
        <v>46177</v>
      </c>
      <c r="J107" s="274" t="s">
        <v>1734</v>
      </c>
      <c r="K107" s="277" cm="1">
        <f t="array" ref="K107">IFERROR(IF(INDEX($P$6:$Q$40,MATCH(TRIM($C107),$O$6:$O$40,0),IF(TRIM($D107)="العينان",2,1))="","",INDEX($P$6:$Q$40,MATCH(TRIM($C107),$O$6:$O$40,0),IF(TRIM($D107)="العينان",2,1))),"")</f>
        <v>350</v>
      </c>
      <c r="L107" s="277">
        <f t="shared" si="2"/>
        <v>255.5</v>
      </c>
      <c r="M107" s="277">
        <f t="shared" si="3"/>
        <v>94.5</v>
      </c>
      <c r="N107" s="216"/>
    </row>
    <row r="108" spans="1:14" ht="26" x14ac:dyDescent="0.6">
      <c r="A108" s="71">
        <v>109</v>
      </c>
      <c r="B108" s="120" t="s">
        <v>778</v>
      </c>
      <c r="C108" s="121" t="s">
        <v>150</v>
      </c>
      <c r="D108" s="156" t="s">
        <v>1758</v>
      </c>
      <c r="E108" s="121">
        <v>1103421975</v>
      </c>
      <c r="F108" s="121" t="s">
        <v>212</v>
      </c>
      <c r="G108" s="121">
        <v>73</v>
      </c>
      <c r="H108" s="122">
        <v>25308142200987</v>
      </c>
      <c r="I108" s="215">
        <v>46177</v>
      </c>
      <c r="J108" s="274" t="s">
        <v>1734</v>
      </c>
      <c r="K108" s="277" cm="1">
        <f t="array" ref="K108">IFERROR(IF(INDEX($P$6:$Q$40,MATCH(TRIM($C108),$O$6:$O$40,0),IF(TRIM($D108)="العينان",2,1))="","",INDEX($P$6:$Q$40,MATCH(TRIM($C108),$O$6:$O$40,0),IF(TRIM($D108)="العينان",2,1))),"")</f>
        <v>400</v>
      </c>
      <c r="L108" s="277">
        <f t="shared" si="2"/>
        <v>292</v>
      </c>
      <c r="M108" s="277">
        <f t="shared" si="3"/>
        <v>108</v>
      </c>
      <c r="N108" s="216"/>
    </row>
    <row r="109" spans="1:14" ht="26" x14ac:dyDescent="0.6">
      <c r="A109" s="71">
        <v>110</v>
      </c>
      <c r="B109" s="120" t="s">
        <v>777</v>
      </c>
      <c r="C109" s="121" t="s">
        <v>186</v>
      </c>
      <c r="D109" s="156" t="s">
        <v>1757</v>
      </c>
      <c r="E109" s="121">
        <v>1272831642</v>
      </c>
      <c r="F109" s="121" t="s">
        <v>212</v>
      </c>
      <c r="G109" s="121">
        <v>62</v>
      </c>
      <c r="H109" s="122">
        <v>26403042400951</v>
      </c>
      <c r="I109" s="215">
        <v>46177</v>
      </c>
      <c r="J109" s="274" t="s">
        <v>1734</v>
      </c>
      <c r="K109" s="277" cm="1">
        <f t="array" ref="K109">IFERROR(IF(INDEX($P$6:$Q$40,MATCH(TRIM($C109),$O$6:$O$40,0),IF(TRIM($D109)="العينان",2,1))="","",INDEX($P$6:$Q$40,MATCH(TRIM($C109),$O$6:$O$40,0),IF(TRIM($D109)="العينان",2,1))),"")</f>
        <v>250</v>
      </c>
      <c r="L109" s="277">
        <f t="shared" si="2"/>
        <v>182.5</v>
      </c>
      <c r="M109" s="277">
        <f t="shared" si="3"/>
        <v>67.5</v>
      </c>
      <c r="N109" s="216"/>
    </row>
    <row r="110" spans="1:14" ht="26" x14ac:dyDescent="0.6">
      <c r="A110" s="71">
        <v>111</v>
      </c>
      <c r="B110" s="120" t="s">
        <v>779</v>
      </c>
      <c r="C110" s="121" t="s">
        <v>142</v>
      </c>
      <c r="D110" s="156" t="s">
        <v>1757</v>
      </c>
      <c r="E110" s="121">
        <v>1114914588</v>
      </c>
      <c r="F110" s="121" t="s">
        <v>212</v>
      </c>
      <c r="G110" s="121">
        <v>57</v>
      </c>
      <c r="H110" s="122">
        <v>26908092401227</v>
      </c>
      <c r="I110" s="215">
        <v>46177</v>
      </c>
      <c r="J110" s="274" t="s">
        <v>1734</v>
      </c>
      <c r="K110" s="277" cm="1">
        <f t="array" ref="K110">IFERROR(IF(INDEX($P$6:$Q$40,MATCH(TRIM($C110),$O$6:$O$40,0),IF(TRIM($D110)="العينان",2,1))="","",INDEX($P$6:$Q$40,MATCH(TRIM($C110),$O$6:$O$40,0),IF(TRIM($D110)="العينان",2,1))),"")</f>
        <v>400</v>
      </c>
      <c r="L110" s="277">
        <f t="shared" si="2"/>
        <v>292</v>
      </c>
      <c r="M110" s="277">
        <f t="shared" si="3"/>
        <v>108</v>
      </c>
      <c r="N110" s="216"/>
    </row>
    <row r="111" spans="1:14" ht="42" x14ac:dyDescent="0.6">
      <c r="A111" s="71">
        <v>112</v>
      </c>
      <c r="B111" s="120" t="s">
        <v>780</v>
      </c>
      <c r="C111" s="127" t="s">
        <v>1787</v>
      </c>
      <c r="D111" s="160" t="s">
        <v>1757</v>
      </c>
      <c r="E111" s="121">
        <v>1000620654</v>
      </c>
      <c r="F111" s="121" t="s">
        <v>212</v>
      </c>
      <c r="G111" s="121">
        <v>57</v>
      </c>
      <c r="H111" s="122">
        <v>26908092201015</v>
      </c>
      <c r="I111" s="215">
        <v>46177</v>
      </c>
      <c r="J111" s="274" t="s">
        <v>1734</v>
      </c>
      <c r="K111" s="277">
        <v>1050</v>
      </c>
      <c r="L111" s="277">
        <f t="shared" si="2"/>
        <v>766.5</v>
      </c>
      <c r="M111" s="277">
        <f t="shared" si="3"/>
        <v>283.5</v>
      </c>
      <c r="N111" s="216"/>
    </row>
    <row r="112" spans="1:14" ht="26" x14ac:dyDescent="0.6">
      <c r="A112" s="71">
        <v>113</v>
      </c>
      <c r="B112" s="120" t="s">
        <v>781</v>
      </c>
      <c r="C112" s="121" t="s">
        <v>186</v>
      </c>
      <c r="D112" s="156" t="s">
        <v>1757</v>
      </c>
      <c r="E112" s="121">
        <v>1121868188</v>
      </c>
      <c r="F112" s="121" t="s">
        <v>212</v>
      </c>
      <c r="G112" s="121">
        <v>67</v>
      </c>
      <c r="H112" s="122">
        <v>25906072200466</v>
      </c>
      <c r="I112" s="215">
        <v>46179</v>
      </c>
      <c r="J112" s="274" t="s">
        <v>1733</v>
      </c>
      <c r="K112" s="277" cm="1">
        <f t="array" ref="K112">IFERROR(IF(INDEX($P$6:$Q$40,MATCH(TRIM($C112),$O$6:$O$40,0),IF(TRIM($D112)="العينان",2,1))="","",INDEX($P$6:$Q$40,MATCH(TRIM($C112),$O$6:$O$40,0),IF(TRIM($D112)="العينان",2,1))),"")</f>
        <v>250</v>
      </c>
      <c r="L112" s="277">
        <f t="shared" si="2"/>
        <v>187.5</v>
      </c>
      <c r="M112" s="277">
        <f t="shared" si="3"/>
        <v>62.5</v>
      </c>
      <c r="N112" s="216"/>
    </row>
    <row r="113" spans="1:14" ht="26" x14ac:dyDescent="0.6">
      <c r="A113" s="71">
        <v>114</v>
      </c>
      <c r="B113" s="120" t="s">
        <v>782</v>
      </c>
      <c r="C113" s="121" t="s">
        <v>1788</v>
      </c>
      <c r="D113" s="156" t="s">
        <v>1758</v>
      </c>
      <c r="E113" s="121">
        <v>1147351733</v>
      </c>
      <c r="F113" s="121" t="s">
        <v>212</v>
      </c>
      <c r="G113" s="121">
        <v>50</v>
      </c>
      <c r="H113" s="122">
        <v>27607032402031</v>
      </c>
      <c r="I113" s="215">
        <v>46179</v>
      </c>
      <c r="J113" s="274" t="s">
        <v>1733</v>
      </c>
      <c r="K113" s="277" cm="1">
        <f t="array" ref="K113">IFERROR(IF(INDEX($P$6:$Q$40,MATCH(TRIM($C113),$O$6:$O$40,0),IF(TRIM($D113)="العينان",2,1))="","",INDEX($P$6:$Q$40,MATCH(TRIM($C113),$O$6:$O$40,0),IF(TRIM($D113)="العينان",2,1))),"")</f>
        <v>750</v>
      </c>
      <c r="L113" s="277">
        <f t="shared" si="2"/>
        <v>562.5</v>
      </c>
      <c r="M113" s="277">
        <f t="shared" si="3"/>
        <v>187.5</v>
      </c>
      <c r="N113" s="216"/>
    </row>
    <row r="114" spans="1:14" ht="26" x14ac:dyDescent="0.6">
      <c r="A114" s="71">
        <v>115</v>
      </c>
      <c r="B114" s="120" t="s">
        <v>783</v>
      </c>
      <c r="C114" s="121" t="s">
        <v>186</v>
      </c>
      <c r="D114" s="156" t="s">
        <v>1758</v>
      </c>
      <c r="E114" s="121">
        <v>1206337460</v>
      </c>
      <c r="F114" s="121" t="s">
        <v>212</v>
      </c>
      <c r="G114" s="121">
        <v>61</v>
      </c>
      <c r="H114" s="122">
        <v>26512112200052</v>
      </c>
      <c r="I114" s="215">
        <v>46179</v>
      </c>
      <c r="J114" s="274" t="s">
        <v>1733</v>
      </c>
      <c r="K114" s="277" cm="1">
        <f t="array" ref="K114">IFERROR(IF(INDEX($P$6:$Q$40,MATCH(TRIM($C114),$O$6:$O$40,0),IF(TRIM($D114)="العينان",2,1))="","",INDEX($P$6:$Q$40,MATCH(TRIM($C114),$O$6:$O$40,0),IF(TRIM($D114)="العينان",2,1))),"")</f>
        <v>250</v>
      </c>
      <c r="L114" s="277">
        <f t="shared" si="2"/>
        <v>187.5</v>
      </c>
      <c r="M114" s="277">
        <f t="shared" si="3"/>
        <v>62.5</v>
      </c>
      <c r="N114" s="216"/>
    </row>
    <row r="115" spans="1:14" ht="26" x14ac:dyDescent="0.6">
      <c r="A115" s="71">
        <v>116</v>
      </c>
      <c r="B115" s="120" t="s">
        <v>784</v>
      </c>
      <c r="C115" s="121" t="s">
        <v>1788</v>
      </c>
      <c r="D115" s="156" t="s">
        <v>1759</v>
      </c>
      <c r="E115" s="121">
        <v>111832962</v>
      </c>
      <c r="F115" s="121" t="s">
        <v>212</v>
      </c>
      <c r="G115" s="121">
        <v>57</v>
      </c>
      <c r="H115" s="122">
        <v>26912232402374</v>
      </c>
      <c r="I115" s="215">
        <v>46179</v>
      </c>
      <c r="J115" s="274" t="s">
        <v>1733</v>
      </c>
      <c r="K115" s="277" cm="1">
        <f t="array" ref="K115">IFERROR(IF(INDEX($P$6:$Q$40,MATCH(TRIM($C115),$O$6:$O$40,0),IF(TRIM($D115)="العينان",2,1))="","",INDEX($P$6:$Q$40,MATCH(TRIM($C115),$O$6:$O$40,0),IF(TRIM($D115)="العينان",2,1))),"")</f>
        <v>1200</v>
      </c>
      <c r="L115" s="277">
        <f t="shared" si="2"/>
        <v>900</v>
      </c>
      <c r="M115" s="277">
        <f t="shared" si="3"/>
        <v>300</v>
      </c>
      <c r="N115" s="216"/>
    </row>
    <row r="116" spans="1:14" ht="26" x14ac:dyDescent="0.6">
      <c r="A116" s="71">
        <v>117</v>
      </c>
      <c r="B116" s="120" t="s">
        <v>785</v>
      </c>
      <c r="C116" s="121" t="s">
        <v>186</v>
      </c>
      <c r="D116" s="156" t="s">
        <v>1757</v>
      </c>
      <c r="E116" s="121">
        <v>1148699542</v>
      </c>
      <c r="F116" s="121" t="s">
        <v>212</v>
      </c>
      <c r="G116" s="121">
        <v>42</v>
      </c>
      <c r="H116" s="122">
        <v>28402212403012</v>
      </c>
      <c r="I116" s="215">
        <v>46179</v>
      </c>
      <c r="J116" s="274" t="s">
        <v>1733</v>
      </c>
      <c r="K116" s="277" cm="1">
        <f t="array" ref="K116">IFERROR(IF(INDEX($P$6:$Q$40,MATCH(TRIM($C116),$O$6:$O$40,0),IF(TRIM($D116)="العينان",2,1))="","",INDEX($P$6:$Q$40,MATCH(TRIM($C116),$O$6:$O$40,0),IF(TRIM($D116)="العينان",2,1))),"")</f>
        <v>250</v>
      </c>
      <c r="L116" s="277">
        <f t="shared" si="2"/>
        <v>187.5</v>
      </c>
      <c r="M116" s="277">
        <f t="shared" si="3"/>
        <v>62.5</v>
      </c>
      <c r="N116" s="216"/>
    </row>
    <row r="117" spans="1:14" ht="26" x14ac:dyDescent="0.6">
      <c r="A117" s="71">
        <v>118</v>
      </c>
      <c r="B117" s="120" t="s">
        <v>786</v>
      </c>
      <c r="C117" s="121" t="s">
        <v>186</v>
      </c>
      <c r="D117" s="156" t="s">
        <v>1758</v>
      </c>
      <c r="E117" s="121">
        <v>1194574253</v>
      </c>
      <c r="F117" s="121" t="s">
        <v>212</v>
      </c>
      <c r="G117" s="121">
        <v>63</v>
      </c>
      <c r="H117" s="122">
        <v>26308062400989</v>
      </c>
      <c r="I117" s="215">
        <v>46179</v>
      </c>
      <c r="J117" s="274" t="s">
        <v>1733</v>
      </c>
      <c r="K117" s="277" cm="1">
        <f t="array" ref="K117">IFERROR(IF(INDEX($P$6:$Q$40,MATCH(TRIM($C117),$O$6:$O$40,0),IF(TRIM($D117)="العينان",2,1))="","",INDEX($P$6:$Q$40,MATCH(TRIM($C117),$O$6:$O$40,0),IF(TRIM($D117)="العينان",2,1))),"")</f>
        <v>250</v>
      </c>
      <c r="L117" s="277">
        <f t="shared" si="2"/>
        <v>187.5</v>
      </c>
      <c r="M117" s="277">
        <f t="shared" si="3"/>
        <v>62.5</v>
      </c>
      <c r="N117" s="216"/>
    </row>
    <row r="118" spans="1:14" ht="26" x14ac:dyDescent="0.6">
      <c r="A118" s="71">
        <v>119</v>
      </c>
      <c r="B118" s="120" t="s">
        <v>784</v>
      </c>
      <c r="C118" s="121" t="s">
        <v>142</v>
      </c>
      <c r="D118" s="156" t="s">
        <v>1759</v>
      </c>
      <c r="E118" s="121">
        <v>1118302962</v>
      </c>
      <c r="F118" s="121" t="s">
        <v>212</v>
      </c>
      <c r="G118" s="121">
        <v>57</v>
      </c>
      <c r="H118" s="122">
        <v>2691223242374</v>
      </c>
      <c r="I118" s="215">
        <v>46179</v>
      </c>
      <c r="J118" s="274" t="s">
        <v>1733</v>
      </c>
      <c r="K118" s="277" cm="1">
        <f t="array" ref="K118">IFERROR(IF(INDEX($P$6:$Q$40,MATCH(TRIM($C118),$O$6:$O$40,0),IF(TRIM($D118)="العينان",2,1))="","",INDEX($P$6:$Q$40,MATCH(TRIM($C118),$O$6:$O$40,0),IF(TRIM($D118)="العينان",2,1))),"")</f>
        <v>650</v>
      </c>
      <c r="L118" s="277">
        <f t="shared" si="2"/>
        <v>487.5</v>
      </c>
      <c r="M118" s="277">
        <f t="shared" si="3"/>
        <v>162.5</v>
      </c>
      <c r="N118" s="216"/>
    </row>
    <row r="119" spans="1:14" ht="26" x14ac:dyDescent="0.6">
      <c r="A119" s="71">
        <v>120</v>
      </c>
      <c r="B119" s="120" t="s">
        <v>787</v>
      </c>
      <c r="C119" s="121" t="s">
        <v>1784</v>
      </c>
      <c r="D119" s="156" t="s">
        <v>1757</v>
      </c>
      <c r="E119" s="121">
        <v>1007964589</v>
      </c>
      <c r="F119" s="121" t="s">
        <v>212</v>
      </c>
      <c r="G119" s="121">
        <v>62</v>
      </c>
      <c r="H119" s="122">
        <v>2640403240117</v>
      </c>
      <c r="I119" s="215">
        <v>46179</v>
      </c>
      <c r="J119" s="274" t="s">
        <v>1733</v>
      </c>
      <c r="K119" s="277">
        <v>650</v>
      </c>
      <c r="L119" s="277">
        <f t="shared" si="2"/>
        <v>487.5</v>
      </c>
      <c r="M119" s="277">
        <f t="shared" si="3"/>
        <v>162.5</v>
      </c>
      <c r="N119" s="216"/>
    </row>
    <row r="120" spans="1:14" ht="26" x14ac:dyDescent="0.6">
      <c r="A120" s="71">
        <v>121</v>
      </c>
      <c r="B120" s="120" t="s">
        <v>788</v>
      </c>
      <c r="C120" s="121" t="s">
        <v>1788</v>
      </c>
      <c r="D120" s="156" t="s">
        <v>1757</v>
      </c>
      <c r="E120" s="121">
        <v>1207422296</v>
      </c>
      <c r="F120" s="121" t="s">
        <v>212</v>
      </c>
      <c r="G120" s="121">
        <v>66</v>
      </c>
      <c r="H120" s="122">
        <v>20605302200948</v>
      </c>
      <c r="I120" s="215">
        <v>46179</v>
      </c>
      <c r="J120" s="274" t="s">
        <v>1733</v>
      </c>
      <c r="K120" s="277" cm="1">
        <f t="array" ref="K120">IFERROR(IF(INDEX($P$6:$Q$40,MATCH(TRIM($C120),$O$6:$O$40,0),IF(TRIM($D120)="العينان",2,1))="","",INDEX($P$6:$Q$40,MATCH(TRIM($C120),$O$6:$O$40,0),IF(TRIM($D120)="العينان",2,1))),"")</f>
        <v>750</v>
      </c>
      <c r="L120" s="277">
        <f t="shared" si="2"/>
        <v>562.5</v>
      </c>
      <c r="M120" s="277">
        <f t="shared" si="3"/>
        <v>187.5</v>
      </c>
      <c r="N120" s="216"/>
    </row>
    <row r="121" spans="1:14" ht="26" x14ac:dyDescent="0.6">
      <c r="A121" s="71">
        <v>122</v>
      </c>
      <c r="B121" s="120" t="s">
        <v>789</v>
      </c>
      <c r="C121" s="121" t="s">
        <v>150</v>
      </c>
      <c r="D121" s="156" t="s">
        <v>1758</v>
      </c>
      <c r="E121" s="121">
        <v>1273474099</v>
      </c>
      <c r="F121" s="121" t="s">
        <v>212</v>
      </c>
      <c r="G121" s="121">
        <v>65</v>
      </c>
      <c r="H121" s="122">
        <v>26109092401456</v>
      </c>
      <c r="I121" s="215">
        <v>46179</v>
      </c>
      <c r="J121" s="274" t="s">
        <v>1733</v>
      </c>
      <c r="K121" s="277" cm="1">
        <f t="array" ref="K121">IFERROR(IF(INDEX($P$6:$Q$40,MATCH(TRIM($C121),$O$6:$O$40,0),IF(TRIM($D121)="العينان",2,1))="","",INDEX($P$6:$Q$40,MATCH(TRIM($C121),$O$6:$O$40,0),IF(TRIM($D121)="العينان",2,1))),"")</f>
        <v>400</v>
      </c>
      <c r="L121" s="277">
        <f t="shared" si="2"/>
        <v>300</v>
      </c>
      <c r="M121" s="277">
        <f t="shared" si="3"/>
        <v>100</v>
      </c>
      <c r="N121" s="216"/>
    </row>
    <row r="122" spans="1:14" ht="26" x14ac:dyDescent="0.6">
      <c r="A122" s="71">
        <v>123</v>
      </c>
      <c r="B122" s="120" t="s">
        <v>790</v>
      </c>
      <c r="C122" s="121" t="s">
        <v>186</v>
      </c>
      <c r="D122" s="156" t="s">
        <v>1757</v>
      </c>
      <c r="E122" s="121">
        <v>1115354216</v>
      </c>
      <c r="F122" s="121" t="s">
        <v>212</v>
      </c>
      <c r="G122" s="121">
        <v>76</v>
      </c>
      <c r="H122" s="122">
        <v>25007272200687</v>
      </c>
      <c r="I122" s="215">
        <v>46181</v>
      </c>
      <c r="J122" s="274" t="s">
        <v>1734</v>
      </c>
      <c r="K122" s="277" cm="1">
        <f t="array" ref="K122">IFERROR(IF(INDEX($P$6:$Q$40,MATCH(TRIM($C122),$O$6:$O$40,0),IF(TRIM($D122)="العينان",2,1))="","",INDEX($P$6:$Q$40,MATCH(TRIM($C122),$O$6:$O$40,0),IF(TRIM($D122)="العينان",2,1))),"")</f>
        <v>250</v>
      </c>
      <c r="L122" s="277">
        <f t="shared" si="2"/>
        <v>182.5</v>
      </c>
      <c r="M122" s="277">
        <f t="shared" si="3"/>
        <v>67.5</v>
      </c>
      <c r="N122" s="216"/>
    </row>
    <row r="123" spans="1:14" ht="26" x14ac:dyDescent="0.6">
      <c r="A123" s="71">
        <v>124</v>
      </c>
      <c r="B123" s="120" t="s">
        <v>791</v>
      </c>
      <c r="C123" s="121" t="s">
        <v>1776</v>
      </c>
      <c r="D123" s="156" t="s">
        <v>1757</v>
      </c>
      <c r="E123" s="121">
        <v>1158813586</v>
      </c>
      <c r="F123" s="121" t="s">
        <v>212</v>
      </c>
      <c r="G123" s="121">
        <v>62</v>
      </c>
      <c r="H123" s="122">
        <v>2640222401312</v>
      </c>
      <c r="I123" s="215">
        <v>46181</v>
      </c>
      <c r="J123" s="274" t="s">
        <v>1734</v>
      </c>
      <c r="K123" s="277" cm="1">
        <f t="array" ref="K123">IFERROR(IF(INDEX($P$6:$Q$40,MATCH(TRIM($C123),$O$6:$O$40,0),IF(TRIM($D123)="العينان",2,1))="","",INDEX($P$6:$Q$40,MATCH(TRIM($C123),$O$6:$O$40,0),IF(TRIM($D123)="العينان",2,1))),"")</f>
        <v>350</v>
      </c>
      <c r="L123" s="277">
        <f t="shared" si="2"/>
        <v>255.5</v>
      </c>
      <c r="M123" s="277">
        <f t="shared" si="3"/>
        <v>94.5</v>
      </c>
      <c r="N123" s="216"/>
    </row>
    <row r="124" spans="1:14" ht="26" x14ac:dyDescent="0.6">
      <c r="A124" s="71">
        <v>125</v>
      </c>
      <c r="B124" s="120" t="s">
        <v>792</v>
      </c>
      <c r="C124" s="121" t="s">
        <v>186</v>
      </c>
      <c r="D124" s="156" t="s">
        <v>1759</v>
      </c>
      <c r="E124" s="121">
        <v>1124588840</v>
      </c>
      <c r="F124" s="121" t="s">
        <v>212</v>
      </c>
      <c r="G124" s="121">
        <v>59</v>
      </c>
      <c r="H124" s="122">
        <v>26712172401374</v>
      </c>
      <c r="I124" s="215">
        <v>46181</v>
      </c>
      <c r="J124" s="274" t="s">
        <v>1734</v>
      </c>
      <c r="K124" s="277" cm="1">
        <f t="array" ref="K124">IFERROR(IF(INDEX($P$6:$Q$40,MATCH(TRIM($C124),$O$6:$O$40,0),IF(TRIM($D124)="العينان",2,1))="","",INDEX($P$6:$Q$40,MATCH(TRIM($C124),$O$6:$O$40,0),IF(TRIM($D124)="العينان",2,1))),"")</f>
        <v>450</v>
      </c>
      <c r="L124" s="277">
        <f t="shared" si="2"/>
        <v>328.5</v>
      </c>
      <c r="M124" s="277">
        <f t="shared" si="3"/>
        <v>121.50000000000001</v>
      </c>
      <c r="N124" s="216"/>
    </row>
    <row r="125" spans="1:14" ht="26" x14ac:dyDescent="0.6">
      <c r="A125" s="71">
        <v>126</v>
      </c>
      <c r="B125" s="120" t="s">
        <v>793</v>
      </c>
      <c r="C125" s="121" t="s">
        <v>142</v>
      </c>
      <c r="D125" s="156" t="s">
        <v>1757</v>
      </c>
      <c r="E125" s="121">
        <v>1130753886</v>
      </c>
      <c r="F125" s="121" t="s">
        <v>1275</v>
      </c>
      <c r="G125" s="121">
        <v>36</v>
      </c>
      <c r="H125" s="122">
        <v>29001212202199</v>
      </c>
      <c r="I125" s="215">
        <v>46181</v>
      </c>
      <c r="J125" s="274" t="s">
        <v>1734</v>
      </c>
      <c r="K125" s="277" cm="1">
        <f t="array" ref="K125">IFERROR(IF(INDEX($P$6:$Q$40,MATCH(TRIM($C125),$O$6:$O$40,0),IF(TRIM($D125)="العينان",2,1))="","",INDEX($P$6:$Q$40,MATCH(TRIM($C125),$O$6:$O$40,0),IF(TRIM($D125)="العينان",2,1))),"")</f>
        <v>400</v>
      </c>
      <c r="L125" s="277">
        <f t="shared" si="2"/>
        <v>292</v>
      </c>
      <c r="M125" s="277">
        <f t="shared" si="3"/>
        <v>108</v>
      </c>
      <c r="N125" s="216"/>
    </row>
    <row r="126" spans="1:14" ht="26" x14ac:dyDescent="0.6">
      <c r="A126" s="71">
        <v>127</v>
      </c>
      <c r="B126" s="120" t="s">
        <v>794</v>
      </c>
      <c r="C126" s="121" t="s">
        <v>150</v>
      </c>
      <c r="D126" s="156" t="s">
        <v>1758</v>
      </c>
      <c r="E126" s="121">
        <v>1152229358</v>
      </c>
      <c r="F126" s="121" t="s">
        <v>1275</v>
      </c>
      <c r="G126" s="121">
        <v>58</v>
      </c>
      <c r="H126" s="122">
        <v>26809232401089</v>
      </c>
      <c r="I126" s="215">
        <v>46181</v>
      </c>
      <c r="J126" s="274" t="s">
        <v>1734</v>
      </c>
      <c r="K126" s="277" cm="1">
        <f t="array" ref="K126">IFERROR(IF(INDEX($P$6:$Q$40,MATCH(TRIM($C126),$O$6:$O$40,0),IF(TRIM($D126)="العينان",2,1))="","",INDEX($P$6:$Q$40,MATCH(TRIM($C126),$O$6:$O$40,0),IF(TRIM($D126)="العينان",2,1))),"")</f>
        <v>400</v>
      </c>
      <c r="L126" s="277">
        <f t="shared" si="2"/>
        <v>292</v>
      </c>
      <c r="M126" s="277">
        <f t="shared" si="3"/>
        <v>108</v>
      </c>
      <c r="N126" s="216"/>
    </row>
    <row r="127" spans="1:14" ht="26" x14ac:dyDescent="0.6">
      <c r="A127" s="71">
        <v>128</v>
      </c>
      <c r="B127" s="120" t="s">
        <v>795</v>
      </c>
      <c r="C127" s="121" t="s">
        <v>186</v>
      </c>
      <c r="D127" s="156" t="s">
        <v>1759</v>
      </c>
      <c r="E127" s="121">
        <v>1150267661</v>
      </c>
      <c r="F127" s="121" t="s">
        <v>1275</v>
      </c>
      <c r="G127" s="121">
        <v>39</v>
      </c>
      <c r="H127" s="122">
        <v>28705112402283</v>
      </c>
      <c r="I127" s="215">
        <v>46181</v>
      </c>
      <c r="J127" s="274" t="s">
        <v>1734</v>
      </c>
      <c r="K127" s="277" cm="1">
        <f t="array" ref="K127">IFERROR(IF(INDEX($P$6:$Q$40,MATCH(TRIM($C127),$O$6:$O$40,0),IF(TRIM($D127)="العينان",2,1))="","",INDEX($P$6:$Q$40,MATCH(TRIM($C127),$O$6:$O$40,0),IF(TRIM($D127)="العينان",2,1))),"")</f>
        <v>450</v>
      </c>
      <c r="L127" s="277">
        <f t="shared" si="2"/>
        <v>328.5</v>
      </c>
      <c r="M127" s="277">
        <f t="shared" si="3"/>
        <v>121.50000000000001</v>
      </c>
      <c r="N127" s="216"/>
    </row>
    <row r="128" spans="1:14" ht="26" x14ac:dyDescent="0.6">
      <c r="A128" s="71">
        <v>129</v>
      </c>
      <c r="B128" s="120" t="s">
        <v>796</v>
      </c>
      <c r="C128" s="121" t="s">
        <v>142</v>
      </c>
      <c r="D128" s="156" t="s">
        <v>1757</v>
      </c>
      <c r="E128" s="121">
        <v>1140464287</v>
      </c>
      <c r="F128" s="121" t="s">
        <v>1275</v>
      </c>
      <c r="G128" s="121">
        <v>11</v>
      </c>
      <c r="H128" s="122">
        <v>31507102401811</v>
      </c>
      <c r="I128" s="215">
        <v>46181</v>
      </c>
      <c r="J128" s="274" t="s">
        <v>1734</v>
      </c>
      <c r="K128" s="277" cm="1">
        <f t="array" ref="K128">IFERROR(IF(INDEX($P$6:$Q$40,MATCH(TRIM($C128),$O$6:$O$40,0),IF(TRIM($D128)="العينان",2,1))="","",INDEX($P$6:$Q$40,MATCH(TRIM($C128),$O$6:$O$40,0),IF(TRIM($D128)="العينان",2,1))),"")</f>
        <v>400</v>
      </c>
      <c r="L128" s="277">
        <f t="shared" si="2"/>
        <v>292</v>
      </c>
      <c r="M128" s="277">
        <f t="shared" si="3"/>
        <v>108</v>
      </c>
      <c r="N128" s="216"/>
    </row>
    <row r="129" spans="1:14" ht="26" x14ac:dyDescent="0.6">
      <c r="A129" s="71">
        <v>130</v>
      </c>
      <c r="B129" s="120" t="s">
        <v>782</v>
      </c>
      <c r="C129" s="121" t="s">
        <v>186</v>
      </c>
      <c r="D129" s="156" t="s">
        <v>1758</v>
      </c>
      <c r="E129" s="121">
        <v>1147351733</v>
      </c>
      <c r="F129" s="121" t="s">
        <v>1275</v>
      </c>
      <c r="G129" s="121">
        <v>50</v>
      </c>
      <c r="H129" s="122">
        <v>27607032402031</v>
      </c>
      <c r="I129" s="215">
        <v>46181</v>
      </c>
      <c r="J129" s="274" t="s">
        <v>1734</v>
      </c>
      <c r="K129" s="277" cm="1">
        <f t="array" ref="K129">IFERROR(IF(INDEX($P$6:$Q$40,MATCH(TRIM($C129),$O$6:$O$40,0),IF(TRIM($D129)="العينان",2,1))="","",INDEX($P$6:$Q$40,MATCH(TRIM($C129),$O$6:$O$40,0),IF(TRIM($D129)="العينان",2,1))),"")</f>
        <v>250</v>
      </c>
      <c r="L129" s="277">
        <f t="shared" si="2"/>
        <v>182.5</v>
      </c>
      <c r="M129" s="277">
        <f t="shared" si="3"/>
        <v>67.5</v>
      </c>
      <c r="N129" s="216"/>
    </row>
    <row r="130" spans="1:14" ht="26" x14ac:dyDescent="0.6">
      <c r="A130" s="71">
        <v>131</v>
      </c>
      <c r="B130" s="120" t="s">
        <v>797</v>
      </c>
      <c r="C130" s="121" t="s">
        <v>186</v>
      </c>
      <c r="D130" s="156" t="s">
        <v>1758</v>
      </c>
      <c r="E130" s="121">
        <v>1118540822</v>
      </c>
      <c r="F130" s="121" t="s">
        <v>1275</v>
      </c>
      <c r="G130" s="121">
        <v>50</v>
      </c>
      <c r="H130" s="122">
        <v>27607122401981</v>
      </c>
      <c r="I130" s="215">
        <v>46181</v>
      </c>
      <c r="J130" s="274" t="s">
        <v>1734</v>
      </c>
      <c r="K130" s="277" cm="1">
        <f t="array" ref="K130">IFERROR(IF(INDEX($P$6:$Q$40,MATCH(TRIM($C130),$O$6:$O$40,0),IF(TRIM($D130)="العينان",2,1))="","",INDEX($P$6:$Q$40,MATCH(TRIM($C130),$O$6:$O$40,0),IF(TRIM($D130)="العينان",2,1))),"")</f>
        <v>250</v>
      </c>
      <c r="L130" s="277">
        <f t="shared" si="2"/>
        <v>182.5</v>
      </c>
      <c r="M130" s="277">
        <f t="shared" si="3"/>
        <v>67.5</v>
      </c>
      <c r="N130" s="216"/>
    </row>
    <row r="131" spans="1:14" ht="26" x14ac:dyDescent="0.6">
      <c r="A131" s="71">
        <v>132</v>
      </c>
      <c r="B131" s="120" t="s">
        <v>798</v>
      </c>
      <c r="C131" s="121" t="s">
        <v>186</v>
      </c>
      <c r="D131" s="156" t="s">
        <v>1758</v>
      </c>
      <c r="E131" s="121">
        <v>1118540822</v>
      </c>
      <c r="F131" s="121" t="s">
        <v>1275</v>
      </c>
      <c r="G131" s="121">
        <v>33</v>
      </c>
      <c r="H131" s="122">
        <v>29306062404273</v>
      </c>
      <c r="I131" s="215">
        <v>46184</v>
      </c>
      <c r="J131" s="274" t="s">
        <v>1734</v>
      </c>
      <c r="K131" s="277" cm="1">
        <f t="array" ref="K131">IFERROR(IF(INDEX($P$6:$Q$40,MATCH(TRIM($C131),$O$6:$O$40,0),IF(TRIM($D131)="العينان",2,1))="","",INDEX($P$6:$Q$40,MATCH(TRIM($C131),$O$6:$O$40,0),IF(TRIM($D131)="العينان",2,1))),"")</f>
        <v>250</v>
      </c>
      <c r="L131" s="277">
        <f t="shared" ref="L131:L194" si="4">IF($K131="","",$K131-$M131)</f>
        <v>182.5</v>
      </c>
      <c r="M131" s="277">
        <f t="shared" ref="M131:M194" si="5">IF($K131="","",$K131*IFERROR(VLOOKUP(TRIM($J131),$O$2:$P$3,2,FALSE),0))</f>
        <v>67.5</v>
      </c>
      <c r="N131" s="216"/>
    </row>
    <row r="132" spans="1:14" ht="26" x14ac:dyDescent="0.6">
      <c r="A132" s="71">
        <v>133</v>
      </c>
      <c r="B132" s="120" t="s">
        <v>799</v>
      </c>
      <c r="C132" s="121" t="s">
        <v>142</v>
      </c>
      <c r="D132" s="156" t="s">
        <v>1757</v>
      </c>
      <c r="E132" s="121">
        <v>1032845313</v>
      </c>
      <c r="F132" s="121" t="s">
        <v>1275</v>
      </c>
      <c r="G132" s="121">
        <v>28</v>
      </c>
      <c r="H132" s="122">
        <v>29803012413062</v>
      </c>
      <c r="I132" s="215">
        <v>46184</v>
      </c>
      <c r="J132" s="274" t="s">
        <v>1734</v>
      </c>
      <c r="K132" s="277" cm="1">
        <f t="array" ref="K132">IFERROR(IF(INDEX($P$6:$Q$40,MATCH(TRIM($C132),$O$6:$O$40,0),IF(TRIM($D132)="العينان",2,1))="","",INDEX($P$6:$Q$40,MATCH(TRIM($C132),$O$6:$O$40,0),IF(TRIM($D132)="العينان",2,1))),"")</f>
        <v>400</v>
      </c>
      <c r="L132" s="277">
        <f t="shared" si="4"/>
        <v>292</v>
      </c>
      <c r="M132" s="277">
        <f t="shared" si="5"/>
        <v>108</v>
      </c>
      <c r="N132" s="216"/>
    </row>
    <row r="133" spans="1:14" ht="26" x14ac:dyDescent="0.6">
      <c r="A133" s="71">
        <v>134</v>
      </c>
      <c r="B133" s="120" t="s">
        <v>800</v>
      </c>
      <c r="C133" s="121" t="s">
        <v>186</v>
      </c>
      <c r="D133" s="156" t="s">
        <v>1759</v>
      </c>
      <c r="E133" s="121">
        <v>1094399619</v>
      </c>
      <c r="F133" s="121" t="s">
        <v>1275</v>
      </c>
      <c r="G133" s="121">
        <v>21</v>
      </c>
      <c r="H133" s="122">
        <v>30502252400656</v>
      </c>
      <c r="I133" s="215">
        <v>46184</v>
      </c>
      <c r="J133" s="274" t="s">
        <v>1734</v>
      </c>
      <c r="K133" s="277" cm="1">
        <f t="array" ref="K133">IFERROR(IF(INDEX($P$6:$Q$40,MATCH(TRIM($C133),$O$6:$O$40,0),IF(TRIM($D133)="العينان",2,1))="","",INDEX($P$6:$Q$40,MATCH(TRIM($C133),$O$6:$O$40,0),IF(TRIM($D133)="العينان",2,1))),"")</f>
        <v>450</v>
      </c>
      <c r="L133" s="277">
        <f t="shared" si="4"/>
        <v>328.5</v>
      </c>
      <c r="M133" s="277">
        <f t="shared" si="5"/>
        <v>121.50000000000001</v>
      </c>
      <c r="N133" s="216"/>
    </row>
    <row r="134" spans="1:14" ht="26" x14ac:dyDescent="0.6">
      <c r="A134" s="71">
        <v>135</v>
      </c>
      <c r="B134" s="120" t="s">
        <v>801</v>
      </c>
      <c r="C134" s="121" t="s">
        <v>142</v>
      </c>
      <c r="D134" s="156" t="s">
        <v>1759</v>
      </c>
      <c r="E134" s="121">
        <v>127773305</v>
      </c>
      <c r="F134" s="121" t="s">
        <v>1275</v>
      </c>
      <c r="G134" s="121">
        <v>18</v>
      </c>
      <c r="H134" s="122">
        <v>30808242400498</v>
      </c>
      <c r="I134" s="215">
        <v>46184</v>
      </c>
      <c r="J134" s="274" t="s">
        <v>1734</v>
      </c>
      <c r="K134" s="277" cm="1">
        <f t="array" ref="K134">IFERROR(IF(INDEX($P$6:$Q$40,MATCH(TRIM($C134),$O$6:$O$40,0),IF(TRIM($D134)="العينان",2,1))="","",INDEX($P$6:$Q$40,MATCH(TRIM($C134),$O$6:$O$40,0),IF(TRIM($D134)="العينان",2,1))),"")</f>
        <v>650</v>
      </c>
      <c r="L134" s="277">
        <f t="shared" si="4"/>
        <v>474.5</v>
      </c>
      <c r="M134" s="277">
        <f t="shared" si="5"/>
        <v>175.5</v>
      </c>
      <c r="N134" s="216"/>
    </row>
    <row r="135" spans="1:14" ht="26" x14ac:dyDescent="0.6">
      <c r="A135" s="71">
        <v>136</v>
      </c>
      <c r="B135" s="120" t="s">
        <v>802</v>
      </c>
      <c r="C135" s="121" t="s">
        <v>1775</v>
      </c>
      <c r="D135" s="156" t="s">
        <v>1757</v>
      </c>
      <c r="E135" s="121">
        <v>1121702293</v>
      </c>
      <c r="F135" s="121" t="s">
        <v>1275</v>
      </c>
      <c r="G135" s="121">
        <v>60</v>
      </c>
      <c r="H135" s="122">
        <v>26610062401282</v>
      </c>
      <c r="I135" s="215">
        <v>46184</v>
      </c>
      <c r="J135" s="274" t="s">
        <v>1734</v>
      </c>
      <c r="K135" s="277" cm="1">
        <f t="array" ref="K135">IFERROR(IF(INDEX($P$6:$Q$40,MATCH(TRIM($C135),$O$6:$O$40,0),IF(TRIM($D135)="العينان",2,1))="","",INDEX($P$6:$Q$40,MATCH(TRIM($C135),$O$6:$O$40,0),IF(TRIM($D135)="العينان",2,1))),"")</f>
        <v>300</v>
      </c>
      <c r="L135" s="277">
        <f t="shared" si="4"/>
        <v>219</v>
      </c>
      <c r="M135" s="277">
        <f t="shared" si="5"/>
        <v>81</v>
      </c>
      <c r="N135" s="216"/>
    </row>
    <row r="136" spans="1:14" ht="26" x14ac:dyDescent="0.6">
      <c r="A136" s="71">
        <v>137</v>
      </c>
      <c r="B136" s="120" t="s">
        <v>803</v>
      </c>
      <c r="C136" s="121" t="s">
        <v>142</v>
      </c>
      <c r="D136" s="156" t="s">
        <v>1757</v>
      </c>
      <c r="E136" s="121">
        <v>1158017957</v>
      </c>
      <c r="F136" s="121" t="s">
        <v>1311</v>
      </c>
      <c r="G136" s="121">
        <v>24</v>
      </c>
      <c r="H136" s="122">
        <v>30204042400652</v>
      </c>
      <c r="I136" s="215">
        <v>46184</v>
      </c>
      <c r="J136" s="274" t="s">
        <v>1734</v>
      </c>
      <c r="K136" s="277" cm="1">
        <f t="array" ref="K136">IFERROR(IF(INDEX($P$6:$Q$40,MATCH(TRIM($C136),$O$6:$O$40,0),IF(TRIM($D136)="العينان",2,1))="","",INDEX($P$6:$Q$40,MATCH(TRIM($C136),$O$6:$O$40,0),IF(TRIM($D136)="العينان",2,1))),"")</f>
        <v>400</v>
      </c>
      <c r="L136" s="277">
        <f t="shared" si="4"/>
        <v>292</v>
      </c>
      <c r="M136" s="277">
        <f t="shared" si="5"/>
        <v>108</v>
      </c>
      <c r="N136" s="216"/>
    </row>
    <row r="137" spans="1:14" ht="26" x14ac:dyDescent="0.6">
      <c r="A137" s="71">
        <v>138</v>
      </c>
      <c r="B137" s="120" t="s">
        <v>804</v>
      </c>
      <c r="C137" s="121" t="s">
        <v>1783</v>
      </c>
      <c r="D137" s="156" t="s">
        <v>1757</v>
      </c>
      <c r="E137" s="121" t="s">
        <v>853</v>
      </c>
      <c r="F137" s="121" t="s">
        <v>212</v>
      </c>
      <c r="G137" s="121">
        <v>65</v>
      </c>
      <c r="H137" s="122">
        <v>26106232401851</v>
      </c>
      <c r="I137" s="215">
        <v>46184</v>
      </c>
      <c r="J137" s="274" t="s">
        <v>1734</v>
      </c>
      <c r="K137" s="277" cm="1">
        <f t="array" ref="K137">IFERROR(IF(INDEX($P$6:$Q$40,MATCH(TRIM($C137),$O$6:$O$40,0),IF(TRIM($D137)="العينان",2,1))="","",INDEX($P$6:$Q$40,MATCH(TRIM($C137),$O$6:$O$40,0),IF(TRIM($D137)="العينان",2,1))),"")</f>
        <v>750</v>
      </c>
      <c r="L137" s="277">
        <f t="shared" si="4"/>
        <v>547.5</v>
      </c>
      <c r="M137" s="277">
        <f t="shared" si="5"/>
        <v>202.5</v>
      </c>
      <c r="N137" s="216"/>
    </row>
    <row r="138" spans="1:14" ht="26" x14ac:dyDescent="0.6">
      <c r="A138" s="71">
        <v>139</v>
      </c>
      <c r="B138" s="120" t="s">
        <v>805</v>
      </c>
      <c r="C138" s="121" t="s">
        <v>215</v>
      </c>
      <c r="D138" s="156" t="s">
        <v>1758</v>
      </c>
      <c r="E138" s="121" t="s">
        <v>854</v>
      </c>
      <c r="F138" s="121" t="s">
        <v>212</v>
      </c>
      <c r="G138" s="121">
        <v>29</v>
      </c>
      <c r="H138" s="122">
        <v>29705202404858</v>
      </c>
      <c r="I138" s="215">
        <v>46184</v>
      </c>
      <c r="J138" s="274" t="s">
        <v>1734</v>
      </c>
      <c r="K138" s="277" cm="1">
        <f t="array" ref="K138">IFERROR(IF(INDEX($P$6:$Q$40,MATCH(TRIM($C138),$O$6:$O$40,0),IF(TRIM($D138)="العينان",2,1))="","",INDEX($P$6:$Q$40,MATCH(TRIM($C138),$O$6:$O$40,0),IF(TRIM($D138)="العينان",2,1))),"")</f>
        <v>150</v>
      </c>
      <c r="L138" s="277">
        <f t="shared" si="4"/>
        <v>109.5</v>
      </c>
      <c r="M138" s="277">
        <f t="shared" si="5"/>
        <v>40.5</v>
      </c>
      <c r="N138" s="216"/>
    </row>
    <row r="139" spans="1:14" ht="26" x14ac:dyDescent="0.6">
      <c r="A139" s="71">
        <v>140</v>
      </c>
      <c r="B139" s="120" t="s">
        <v>806</v>
      </c>
      <c r="C139" s="121" t="s">
        <v>1789</v>
      </c>
      <c r="D139" s="156" t="s">
        <v>1759</v>
      </c>
      <c r="E139" s="121" t="s">
        <v>855</v>
      </c>
      <c r="F139" s="121" t="s">
        <v>212</v>
      </c>
      <c r="G139" s="121">
        <v>72</v>
      </c>
      <c r="H139" s="122">
        <v>25405302200721</v>
      </c>
      <c r="I139" s="215">
        <v>46184</v>
      </c>
      <c r="J139" s="274" t="s">
        <v>1734</v>
      </c>
      <c r="K139" s="277" cm="1">
        <f t="array" ref="K139">IFERROR(IF(INDEX($P$6:$Q$40,MATCH(TRIM($C139),$O$6:$O$40,0),IF(TRIM($D139)="العينان",2,1))="","",INDEX($P$6:$Q$40,MATCH(TRIM($C139),$O$6:$O$40,0),IF(TRIM($D139)="العينان",2,1))),"")</f>
        <v>650</v>
      </c>
      <c r="L139" s="277">
        <f t="shared" si="4"/>
        <v>474.5</v>
      </c>
      <c r="M139" s="277">
        <f t="shared" si="5"/>
        <v>175.5</v>
      </c>
      <c r="N139" s="216"/>
    </row>
    <row r="140" spans="1:14" ht="26" x14ac:dyDescent="0.6">
      <c r="A140" s="71">
        <v>141</v>
      </c>
      <c r="B140" s="120" t="s">
        <v>807</v>
      </c>
      <c r="C140" s="121" t="s">
        <v>145</v>
      </c>
      <c r="D140" s="156" t="s">
        <v>1759</v>
      </c>
      <c r="E140" s="121" t="s">
        <v>856</v>
      </c>
      <c r="F140" s="121" t="s">
        <v>212</v>
      </c>
      <c r="G140" s="121">
        <v>40</v>
      </c>
      <c r="H140" s="122">
        <v>28603132201457</v>
      </c>
      <c r="I140" s="215">
        <v>46184</v>
      </c>
      <c r="J140" s="274" t="s">
        <v>1734</v>
      </c>
      <c r="K140" s="277" cm="1">
        <f t="array" ref="K140">IFERROR(IF(INDEX($P$6:$Q$40,MATCH(TRIM($C140),$O$6:$O$40,0),IF(TRIM($D140)="العينان",2,1))="","",INDEX($P$6:$Q$40,MATCH(TRIM($C140),$O$6:$O$40,0),IF(TRIM($D140)="العينان",2,1))),"")</f>
        <v>1200</v>
      </c>
      <c r="L140" s="277">
        <f t="shared" si="4"/>
        <v>876</v>
      </c>
      <c r="M140" s="277">
        <f t="shared" si="5"/>
        <v>324</v>
      </c>
      <c r="N140" s="216"/>
    </row>
    <row r="141" spans="1:14" ht="26" x14ac:dyDescent="0.6">
      <c r="A141" s="71">
        <v>143</v>
      </c>
      <c r="B141" s="120" t="s">
        <v>808</v>
      </c>
      <c r="C141" s="121" t="s">
        <v>142</v>
      </c>
      <c r="D141" s="156" t="s">
        <v>1757</v>
      </c>
      <c r="E141" s="121" t="s">
        <v>857</v>
      </c>
      <c r="F141" s="121" t="s">
        <v>212</v>
      </c>
      <c r="G141" s="121">
        <v>24</v>
      </c>
      <c r="H141" s="122">
        <v>30409152407319</v>
      </c>
      <c r="I141" s="215">
        <v>46186</v>
      </c>
      <c r="J141" s="274" t="s">
        <v>1733</v>
      </c>
      <c r="K141" s="277" cm="1">
        <f t="array" ref="K141">IFERROR(IF(INDEX($P$6:$Q$40,MATCH(TRIM($C141),$O$6:$O$40,0),IF(TRIM($D141)="العينان",2,1))="","",INDEX($P$6:$Q$40,MATCH(TRIM($C141),$O$6:$O$40,0),IF(TRIM($D141)="العينان",2,1))),"")</f>
        <v>400</v>
      </c>
      <c r="L141" s="277">
        <f t="shared" si="4"/>
        <v>300</v>
      </c>
      <c r="M141" s="277">
        <f t="shared" si="5"/>
        <v>100</v>
      </c>
      <c r="N141" s="216"/>
    </row>
    <row r="142" spans="1:14" ht="26" x14ac:dyDescent="0.6">
      <c r="A142" s="71">
        <v>144</v>
      </c>
      <c r="B142" s="120" t="s">
        <v>809</v>
      </c>
      <c r="C142" s="121" t="s">
        <v>142</v>
      </c>
      <c r="D142" s="156" t="s">
        <v>1759</v>
      </c>
      <c r="E142" s="121" t="s">
        <v>858</v>
      </c>
      <c r="F142" s="121" t="s">
        <v>212</v>
      </c>
      <c r="G142" s="121">
        <v>78</v>
      </c>
      <c r="H142" s="122">
        <v>24811032401782</v>
      </c>
      <c r="I142" s="215">
        <v>46186</v>
      </c>
      <c r="J142" s="274" t="s">
        <v>1733</v>
      </c>
      <c r="K142" s="277" cm="1">
        <f t="array" ref="K142">IFERROR(IF(INDEX($P$6:$Q$40,MATCH(TRIM($C142),$O$6:$O$40,0),IF(TRIM($D142)="العينان",2,1))="","",INDEX($P$6:$Q$40,MATCH(TRIM($C142),$O$6:$O$40,0),IF(TRIM($D142)="العينان",2,1))),"")</f>
        <v>650</v>
      </c>
      <c r="L142" s="277">
        <f t="shared" si="4"/>
        <v>487.5</v>
      </c>
      <c r="M142" s="277">
        <f t="shared" si="5"/>
        <v>162.5</v>
      </c>
      <c r="N142" s="216"/>
    </row>
    <row r="143" spans="1:14" ht="26" x14ac:dyDescent="0.6">
      <c r="A143" s="71">
        <v>145</v>
      </c>
      <c r="B143" s="120" t="s">
        <v>810</v>
      </c>
      <c r="C143" s="121" t="s">
        <v>1790</v>
      </c>
      <c r="D143" s="156" t="s">
        <v>1758</v>
      </c>
      <c r="E143" s="121" t="s">
        <v>859</v>
      </c>
      <c r="F143" s="121" t="s">
        <v>212</v>
      </c>
      <c r="G143" s="121">
        <v>78</v>
      </c>
      <c r="H143" s="122">
        <v>25405302200577</v>
      </c>
      <c r="I143" s="215">
        <v>46186</v>
      </c>
      <c r="J143" s="274" t="s">
        <v>1733</v>
      </c>
      <c r="K143" s="277" cm="1">
        <f t="array" ref="K143">IFERROR(IF(INDEX($P$6:$Q$40,MATCH(TRIM($C143),$O$6:$O$40,0),IF(TRIM($D143)="العينان",2,1))="","",INDEX($P$6:$Q$40,MATCH(TRIM($C143),$O$6:$O$40,0),IF(TRIM($D143)="العينان",2,1))),"")</f>
        <v>650</v>
      </c>
      <c r="L143" s="277">
        <f t="shared" si="4"/>
        <v>487.5</v>
      </c>
      <c r="M143" s="277">
        <f t="shared" si="5"/>
        <v>162.5</v>
      </c>
      <c r="N143" s="216"/>
    </row>
    <row r="144" spans="1:14" ht="26" x14ac:dyDescent="0.6">
      <c r="A144" s="71">
        <v>146</v>
      </c>
      <c r="B144" s="120" t="s">
        <v>811</v>
      </c>
      <c r="C144" s="121" t="s">
        <v>1791</v>
      </c>
      <c r="D144" s="156" t="s">
        <v>1759</v>
      </c>
      <c r="E144" s="121" t="s">
        <v>860</v>
      </c>
      <c r="F144" s="121" t="s">
        <v>212</v>
      </c>
      <c r="G144" s="121">
        <v>28</v>
      </c>
      <c r="H144" s="122">
        <v>2980626400909</v>
      </c>
      <c r="I144" s="215">
        <v>46186</v>
      </c>
      <c r="J144" s="274" t="s">
        <v>1733</v>
      </c>
      <c r="K144" s="277">
        <v>1200</v>
      </c>
      <c r="L144" s="277">
        <f t="shared" si="4"/>
        <v>900</v>
      </c>
      <c r="M144" s="277">
        <f t="shared" si="5"/>
        <v>300</v>
      </c>
      <c r="N144" s="216"/>
    </row>
    <row r="145" spans="1:14" ht="26" x14ac:dyDescent="0.6">
      <c r="A145" s="71">
        <v>147</v>
      </c>
      <c r="B145" s="120" t="s">
        <v>812</v>
      </c>
      <c r="C145" s="121" t="s">
        <v>1792</v>
      </c>
      <c r="D145" s="156" t="s">
        <v>1757</v>
      </c>
      <c r="E145" s="121" t="s">
        <v>861</v>
      </c>
      <c r="F145" s="121" t="s">
        <v>212</v>
      </c>
      <c r="G145" s="121">
        <v>43</v>
      </c>
      <c r="H145" s="122">
        <v>28308302402205</v>
      </c>
      <c r="I145" s="215">
        <v>46186</v>
      </c>
      <c r="J145" s="274" t="s">
        <v>1733</v>
      </c>
      <c r="K145" s="277">
        <v>1200</v>
      </c>
      <c r="L145" s="277">
        <f t="shared" si="4"/>
        <v>900</v>
      </c>
      <c r="M145" s="277">
        <f t="shared" si="5"/>
        <v>300</v>
      </c>
      <c r="N145" s="216"/>
    </row>
    <row r="146" spans="1:14" ht="26" x14ac:dyDescent="0.6">
      <c r="A146" s="71">
        <v>148</v>
      </c>
      <c r="B146" s="120" t="s">
        <v>813</v>
      </c>
      <c r="C146" s="121" t="s">
        <v>186</v>
      </c>
      <c r="D146" s="156" t="s">
        <v>1758</v>
      </c>
      <c r="E146" s="121" t="s">
        <v>862</v>
      </c>
      <c r="F146" s="121" t="s">
        <v>212</v>
      </c>
      <c r="G146" s="121">
        <v>59</v>
      </c>
      <c r="H146" s="122">
        <v>26701252401551</v>
      </c>
      <c r="I146" s="215">
        <v>46186</v>
      </c>
      <c r="J146" s="274" t="s">
        <v>1733</v>
      </c>
      <c r="K146" s="277" cm="1">
        <f t="array" ref="K146">IFERROR(IF(INDEX($P$6:$Q$40,MATCH(TRIM($C146),$O$6:$O$40,0),IF(TRIM($D146)="العينان",2,1))="","",INDEX($P$6:$Q$40,MATCH(TRIM($C146),$O$6:$O$40,0),IF(TRIM($D146)="العينان",2,1))),"")</f>
        <v>250</v>
      </c>
      <c r="L146" s="277">
        <f t="shared" si="4"/>
        <v>187.5</v>
      </c>
      <c r="M146" s="277">
        <f t="shared" si="5"/>
        <v>62.5</v>
      </c>
      <c r="N146" s="216"/>
    </row>
    <row r="147" spans="1:14" ht="26" x14ac:dyDescent="0.6">
      <c r="A147" s="71">
        <v>149</v>
      </c>
      <c r="B147" s="120" t="s">
        <v>814</v>
      </c>
      <c r="C147" s="121" t="s">
        <v>142</v>
      </c>
      <c r="D147" s="156" t="s">
        <v>1758</v>
      </c>
      <c r="E147" s="121" t="s">
        <v>863</v>
      </c>
      <c r="F147" s="121" t="s">
        <v>1311</v>
      </c>
      <c r="G147" s="121">
        <v>56</v>
      </c>
      <c r="H147" s="122">
        <v>27001132201291</v>
      </c>
      <c r="I147" s="215">
        <v>46186</v>
      </c>
      <c r="J147" s="274" t="s">
        <v>1733</v>
      </c>
      <c r="K147" s="277" cm="1">
        <f t="array" ref="K147">IFERROR(IF(INDEX($P$6:$Q$40,MATCH(TRIM($C147),$O$6:$O$40,0),IF(TRIM($D147)="العينان",2,1))="","",INDEX($P$6:$Q$40,MATCH(TRIM($C147),$O$6:$O$40,0),IF(TRIM($D147)="العينان",2,1))),"")</f>
        <v>400</v>
      </c>
      <c r="L147" s="277">
        <f t="shared" si="4"/>
        <v>300</v>
      </c>
      <c r="M147" s="277">
        <f t="shared" si="5"/>
        <v>100</v>
      </c>
      <c r="N147" s="216"/>
    </row>
    <row r="148" spans="1:14" ht="26" x14ac:dyDescent="0.6">
      <c r="A148" s="71">
        <v>150</v>
      </c>
      <c r="B148" s="120" t="s">
        <v>815</v>
      </c>
      <c r="C148" s="121" t="s">
        <v>1783</v>
      </c>
      <c r="D148" s="156" t="s">
        <v>1759</v>
      </c>
      <c r="E148" s="121" t="s">
        <v>864</v>
      </c>
      <c r="F148" s="121" t="s">
        <v>1311</v>
      </c>
      <c r="G148" s="121">
        <v>61</v>
      </c>
      <c r="H148" s="122">
        <v>26510252401942</v>
      </c>
      <c r="I148" s="215">
        <v>46186</v>
      </c>
      <c r="J148" s="274" t="s">
        <v>1733</v>
      </c>
      <c r="K148" s="277" cm="1">
        <f t="array" ref="K148">IFERROR(IF(INDEX($P$6:$Q$40,MATCH(TRIM($C148),$O$6:$O$40,0),IF(TRIM($D148)="العينان",2,1))="","",INDEX($P$6:$Q$40,MATCH(TRIM($C148),$O$6:$O$40,0),IF(TRIM($D148)="العينان",2,1))),"")</f>
        <v>1200</v>
      </c>
      <c r="L148" s="277">
        <f t="shared" si="4"/>
        <v>900</v>
      </c>
      <c r="M148" s="277">
        <f t="shared" si="5"/>
        <v>300</v>
      </c>
      <c r="N148" s="216"/>
    </row>
    <row r="149" spans="1:14" ht="26" x14ac:dyDescent="0.6">
      <c r="A149" s="71">
        <v>151</v>
      </c>
      <c r="B149" s="120" t="s">
        <v>816</v>
      </c>
      <c r="C149" s="121" t="s">
        <v>142</v>
      </c>
      <c r="D149" s="156" t="s">
        <v>1759</v>
      </c>
      <c r="E149" s="121" t="s">
        <v>865</v>
      </c>
      <c r="F149" s="121" t="s">
        <v>1311</v>
      </c>
      <c r="G149" s="121">
        <v>63</v>
      </c>
      <c r="H149" s="122">
        <v>26311182401297</v>
      </c>
      <c r="I149" s="215">
        <v>46186</v>
      </c>
      <c r="J149" s="274" t="s">
        <v>1733</v>
      </c>
      <c r="K149" s="277" cm="1">
        <f t="array" ref="K149">IFERROR(IF(INDEX($P$6:$Q$40,MATCH(TRIM($C149),$O$6:$O$40,0),IF(TRIM($D149)="العينان",2,1))="","",INDEX($P$6:$Q$40,MATCH(TRIM($C149),$O$6:$O$40,0),IF(TRIM($D149)="العينان",2,1))),"")</f>
        <v>650</v>
      </c>
      <c r="L149" s="277">
        <f t="shared" si="4"/>
        <v>487.5</v>
      </c>
      <c r="M149" s="277">
        <f t="shared" si="5"/>
        <v>162.5</v>
      </c>
      <c r="N149" s="216"/>
    </row>
    <row r="150" spans="1:14" ht="26" x14ac:dyDescent="0.6">
      <c r="A150" s="71">
        <v>152</v>
      </c>
      <c r="B150" s="120" t="s">
        <v>817</v>
      </c>
      <c r="C150" s="121" t="s">
        <v>1784</v>
      </c>
      <c r="D150" s="156" t="s">
        <v>1757</v>
      </c>
      <c r="E150" s="121" t="s">
        <v>866</v>
      </c>
      <c r="F150" s="121" t="s">
        <v>1311</v>
      </c>
      <c r="G150" s="121">
        <v>18</v>
      </c>
      <c r="H150" s="122">
        <v>30804032403898</v>
      </c>
      <c r="I150" s="215">
        <v>46186</v>
      </c>
      <c r="J150" s="274" t="s">
        <v>1733</v>
      </c>
      <c r="K150" s="277">
        <v>650</v>
      </c>
      <c r="L150" s="277">
        <f t="shared" si="4"/>
        <v>487.5</v>
      </c>
      <c r="M150" s="277">
        <f t="shared" si="5"/>
        <v>162.5</v>
      </c>
      <c r="N150" s="216"/>
    </row>
    <row r="151" spans="1:14" ht="26" x14ac:dyDescent="0.6">
      <c r="A151" s="71">
        <v>153</v>
      </c>
      <c r="B151" s="120" t="s">
        <v>818</v>
      </c>
      <c r="C151" s="121" t="s">
        <v>186</v>
      </c>
      <c r="D151" s="156" t="s">
        <v>1758</v>
      </c>
      <c r="E151" s="121" t="s">
        <v>867</v>
      </c>
      <c r="F151" s="121" t="s">
        <v>1311</v>
      </c>
      <c r="G151" s="121">
        <v>62</v>
      </c>
      <c r="H151" s="122">
        <v>26403022401195</v>
      </c>
      <c r="I151" s="215">
        <v>46186</v>
      </c>
      <c r="J151" s="274" t="s">
        <v>1733</v>
      </c>
      <c r="K151" s="277" cm="1">
        <f t="array" ref="K151">IFERROR(IF(INDEX($P$6:$Q$40,MATCH(TRIM($C151),$O$6:$O$40,0),IF(TRIM($D151)="العينان",2,1))="","",INDEX($P$6:$Q$40,MATCH(TRIM($C151),$O$6:$O$40,0),IF(TRIM($D151)="العينان",2,1))),"")</f>
        <v>250</v>
      </c>
      <c r="L151" s="277">
        <f t="shared" si="4"/>
        <v>187.5</v>
      </c>
      <c r="M151" s="277">
        <f t="shared" si="5"/>
        <v>62.5</v>
      </c>
      <c r="N151" s="216"/>
    </row>
    <row r="152" spans="1:14" ht="26" x14ac:dyDescent="0.6">
      <c r="A152" s="71">
        <v>154</v>
      </c>
      <c r="B152" s="120" t="s">
        <v>819</v>
      </c>
      <c r="C152" s="121" t="s">
        <v>142</v>
      </c>
      <c r="D152" s="156" t="s">
        <v>1759</v>
      </c>
      <c r="E152" s="121" t="s">
        <v>868</v>
      </c>
      <c r="F152" s="121" t="s">
        <v>1311</v>
      </c>
      <c r="G152" s="121">
        <v>28</v>
      </c>
      <c r="H152" s="122">
        <v>29804042401773</v>
      </c>
      <c r="I152" s="215">
        <v>46188</v>
      </c>
      <c r="J152" s="274" t="s">
        <v>1734</v>
      </c>
      <c r="K152" s="277" cm="1">
        <f t="array" ref="K152">IFERROR(IF(INDEX($P$6:$Q$40,MATCH(TRIM($C152),$O$6:$O$40,0),IF(TRIM($D152)="العينان",2,1))="","",INDEX($P$6:$Q$40,MATCH(TRIM($C152),$O$6:$O$40,0),IF(TRIM($D152)="العينان",2,1))),"")</f>
        <v>650</v>
      </c>
      <c r="L152" s="277">
        <f t="shared" si="4"/>
        <v>474.5</v>
      </c>
      <c r="M152" s="277">
        <f t="shared" si="5"/>
        <v>175.5</v>
      </c>
      <c r="N152" s="216"/>
    </row>
    <row r="153" spans="1:14" ht="26" x14ac:dyDescent="0.6">
      <c r="A153" s="71">
        <v>155</v>
      </c>
      <c r="B153" s="120" t="s">
        <v>820</v>
      </c>
      <c r="C153" s="121" t="s">
        <v>1793</v>
      </c>
      <c r="D153" s="156" t="s">
        <v>1758</v>
      </c>
      <c r="E153" s="121" t="s">
        <v>869</v>
      </c>
      <c r="F153" s="121" t="s">
        <v>1311</v>
      </c>
      <c r="G153" s="121">
        <v>32</v>
      </c>
      <c r="H153" s="122">
        <v>29401102406803</v>
      </c>
      <c r="I153" s="215">
        <v>46188</v>
      </c>
      <c r="J153" s="274" t="s">
        <v>1734</v>
      </c>
      <c r="K153" s="277">
        <v>400</v>
      </c>
      <c r="L153" s="277">
        <f t="shared" si="4"/>
        <v>292</v>
      </c>
      <c r="M153" s="277">
        <f t="shared" si="5"/>
        <v>108</v>
      </c>
      <c r="N153" s="216"/>
    </row>
    <row r="154" spans="1:14" ht="26" x14ac:dyDescent="0.6">
      <c r="A154" s="71">
        <v>156</v>
      </c>
      <c r="B154" s="120" t="s">
        <v>821</v>
      </c>
      <c r="C154" s="121" t="s">
        <v>186</v>
      </c>
      <c r="D154" s="156" t="s">
        <v>1758</v>
      </c>
      <c r="E154" s="121" t="s">
        <v>870</v>
      </c>
      <c r="F154" s="121" t="s">
        <v>1311</v>
      </c>
      <c r="G154" s="121">
        <v>44</v>
      </c>
      <c r="H154" s="122">
        <v>28211222402774</v>
      </c>
      <c r="I154" s="215">
        <v>46188</v>
      </c>
      <c r="J154" s="274" t="s">
        <v>1734</v>
      </c>
      <c r="K154" s="277" cm="1">
        <f t="array" ref="K154">IFERROR(IF(INDEX($P$6:$Q$40,MATCH(TRIM($C154),$O$6:$O$40,0),IF(TRIM($D154)="العينان",2,1))="","",INDEX($P$6:$Q$40,MATCH(TRIM($C154),$O$6:$O$40,0),IF(TRIM($D154)="العينان",2,1))),"")</f>
        <v>250</v>
      </c>
      <c r="L154" s="277">
        <f t="shared" si="4"/>
        <v>182.5</v>
      </c>
      <c r="M154" s="277">
        <f t="shared" si="5"/>
        <v>67.5</v>
      </c>
      <c r="N154" s="216"/>
    </row>
    <row r="155" spans="1:14" ht="26" x14ac:dyDescent="0.6">
      <c r="A155" s="71">
        <v>157</v>
      </c>
      <c r="B155" s="120" t="s">
        <v>822</v>
      </c>
      <c r="C155" s="121" t="s">
        <v>150</v>
      </c>
      <c r="D155" s="156" t="s">
        <v>1759</v>
      </c>
      <c r="E155" s="121" t="s">
        <v>871</v>
      </c>
      <c r="F155" s="121" t="s">
        <v>1311</v>
      </c>
      <c r="G155" s="121">
        <v>64</v>
      </c>
      <c r="H155" s="122">
        <v>26207132400549</v>
      </c>
      <c r="I155" s="215">
        <v>46188</v>
      </c>
      <c r="J155" s="274" t="s">
        <v>1734</v>
      </c>
      <c r="K155" s="277" cm="1">
        <f t="array" ref="K155">IFERROR(IF(INDEX($P$6:$Q$40,MATCH(TRIM($C155),$O$6:$O$40,0),IF(TRIM($D155)="العينان",2,1))="","",INDEX($P$6:$Q$40,MATCH(TRIM($C155),$O$6:$O$40,0),IF(TRIM($D155)="العينان",2,1))),"")</f>
        <v>550</v>
      </c>
      <c r="L155" s="277">
        <f t="shared" si="4"/>
        <v>401.5</v>
      </c>
      <c r="M155" s="277">
        <f t="shared" si="5"/>
        <v>148.5</v>
      </c>
      <c r="N155" s="216"/>
    </row>
    <row r="156" spans="1:14" ht="26" x14ac:dyDescent="0.6">
      <c r="A156" s="71">
        <v>158</v>
      </c>
      <c r="B156" s="120" t="s">
        <v>823</v>
      </c>
      <c r="C156" s="121" t="s">
        <v>1794</v>
      </c>
      <c r="D156" s="156" t="s">
        <v>1758</v>
      </c>
      <c r="E156" s="121" t="s">
        <v>872</v>
      </c>
      <c r="F156" s="121" t="s">
        <v>1311</v>
      </c>
      <c r="G156" s="121">
        <v>42</v>
      </c>
      <c r="H156" s="122">
        <v>28403292402221</v>
      </c>
      <c r="I156" s="215">
        <v>46188</v>
      </c>
      <c r="J156" s="274" t="s">
        <v>1734</v>
      </c>
      <c r="K156" s="277" cm="1">
        <f t="array" ref="K156">IFERROR(IF(INDEX($P$6:$Q$40,MATCH(TRIM($C156),$O$6:$O$40,0),IF(TRIM($D156)="العينان",2,1))="","",INDEX($P$6:$Q$40,MATCH(TRIM($C156),$O$6:$O$40,0),IF(TRIM($D156)="العينان",2,1))),"")</f>
        <v>650</v>
      </c>
      <c r="L156" s="277">
        <f t="shared" si="4"/>
        <v>474.5</v>
      </c>
      <c r="M156" s="277">
        <f t="shared" si="5"/>
        <v>175.5</v>
      </c>
      <c r="N156" s="216"/>
    </row>
    <row r="157" spans="1:14" ht="26" x14ac:dyDescent="0.6">
      <c r="A157" s="71">
        <v>159</v>
      </c>
      <c r="B157" s="120" t="s">
        <v>824</v>
      </c>
      <c r="C157" s="121" t="s">
        <v>1795</v>
      </c>
      <c r="D157" s="156" t="s">
        <v>1758</v>
      </c>
      <c r="E157" s="121" t="s">
        <v>873</v>
      </c>
      <c r="F157" s="121" t="s">
        <v>1311</v>
      </c>
      <c r="G157" s="121">
        <v>63</v>
      </c>
      <c r="H157" s="122">
        <v>26308032401484</v>
      </c>
      <c r="I157" s="215">
        <v>46188</v>
      </c>
      <c r="J157" s="274" t="s">
        <v>1734</v>
      </c>
      <c r="K157" s="277" cm="1">
        <f t="array" ref="K157">IFERROR(IF(INDEX($P$6:$Q$40,MATCH(TRIM($C157),$O$6:$O$40,0),IF(TRIM($D157)="العينان",2,1))="","",INDEX($P$6:$Q$40,MATCH(TRIM($C157),$O$6:$O$40,0),IF(TRIM($D157)="العينان",2,1))),"")</f>
        <v>350</v>
      </c>
      <c r="L157" s="277">
        <f t="shared" si="4"/>
        <v>255.5</v>
      </c>
      <c r="M157" s="277">
        <f t="shared" si="5"/>
        <v>94.5</v>
      </c>
      <c r="N157" s="216"/>
    </row>
    <row r="158" spans="1:14" ht="26" x14ac:dyDescent="0.6">
      <c r="A158" s="71">
        <v>160</v>
      </c>
      <c r="B158" s="120" t="s">
        <v>825</v>
      </c>
      <c r="C158" s="121" t="s">
        <v>142</v>
      </c>
      <c r="D158" s="156" t="s">
        <v>1759</v>
      </c>
      <c r="E158" s="121" t="s">
        <v>874</v>
      </c>
      <c r="F158" s="121" t="s">
        <v>1443</v>
      </c>
      <c r="G158" s="121">
        <v>56</v>
      </c>
      <c r="H158" s="122">
        <v>27007192401794</v>
      </c>
      <c r="I158" s="215">
        <v>46188</v>
      </c>
      <c r="J158" s="274" t="s">
        <v>1734</v>
      </c>
      <c r="K158" s="277" cm="1">
        <f t="array" ref="K158">IFERROR(IF(INDEX($P$6:$Q$40,MATCH(TRIM($C158),$O$6:$O$40,0),IF(TRIM($D158)="العينان",2,1))="","",INDEX($P$6:$Q$40,MATCH(TRIM($C158),$O$6:$O$40,0),IF(TRIM($D158)="العينان",2,1))),"")</f>
        <v>650</v>
      </c>
      <c r="L158" s="277">
        <f t="shared" si="4"/>
        <v>474.5</v>
      </c>
      <c r="M158" s="277">
        <f t="shared" si="5"/>
        <v>175.5</v>
      </c>
      <c r="N158" s="216"/>
    </row>
    <row r="159" spans="1:14" ht="26" x14ac:dyDescent="0.6">
      <c r="A159" s="71">
        <v>161</v>
      </c>
      <c r="B159" s="120" t="s">
        <v>826</v>
      </c>
      <c r="C159" s="121" t="s">
        <v>142</v>
      </c>
      <c r="D159" s="156" t="s">
        <v>1759</v>
      </c>
      <c r="E159" s="121" t="s">
        <v>875</v>
      </c>
      <c r="F159" s="121" t="s">
        <v>1443</v>
      </c>
      <c r="G159" s="121">
        <v>10</v>
      </c>
      <c r="H159" s="122">
        <v>31607302402981</v>
      </c>
      <c r="I159" s="215">
        <v>46188</v>
      </c>
      <c r="J159" s="274" t="s">
        <v>1734</v>
      </c>
      <c r="K159" s="277" cm="1">
        <f t="array" ref="K159">IFERROR(IF(INDEX($P$6:$Q$40,MATCH(TRIM($C159),$O$6:$O$40,0),IF(TRIM($D159)="العينان",2,1))="","",INDEX($P$6:$Q$40,MATCH(TRIM($C159),$O$6:$O$40,0),IF(TRIM($D159)="العينان",2,1))),"")</f>
        <v>650</v>
      </c>
      <c r="L159" s="277">
        <f t="shared" si="4"/>
        <v>474.5</v>
      </c>
      <c r="M159" s="277">
        <f t="shared" si="5"/>
        <v>175.5</v>
      </c>
      <c r="N159" s="216"/>
    </row>
    <row r="160" spans="1:14" ht="26" x14ac:dyDescent="0.6">
      <c r="A160" s="71">
        <v>162</v>
      </c>
      <c r="B160" s="120" t="s">
        <v>827</v>
      </c>
      <c r="C160" s="121" t="s">
        <v>142</v>
      </c>
      <c r="D160" s="156" t="s">
        <v>1759</v>
      </c>
      <c r="E160" s="121" t="s">
        <v>876</v>
      </c>
      <c r="F160" s="121" t="s">
        <v>1443</v>
      </c>
      <c r="G160" s="121">
        <v>46</v>
      </c>
      <c r="H160" s="122">
        <v>28001092403175</v>
      </c>
      <c r="I160" s="215">
        <v>46188</v>
      </c>
      <c r="J160" s="274" t="s">
        <v>1734</v>
      </c>
      <c r="K160" s="277" cm="1">
        <f t="array" ref="K160">IFERROR(IF(INDEX($P$6:$Q$40,MATCH(TRIM($C160),$O$6:$O$40,0),IF(TRIM($D160)="العينان",2,1))="","",INDEX($P$6:$Q$40,MATCH(TRIM($C160),$O$6:$O$40,0),IF(TRIM($D160)="العينان",2,1))),"")</f>
        <v>650</v>
      </c>
      <c r="L160" s="277">
        <f t="shared" si="4"/>
        <v>474.5</v>
      </c>
      <c r="M160" s="277">
        <f t="shared" si="5"/>
        <v>175.5</v>
      </c>
      <c r="N160" s="216"/>
    </row>
    <row r="161" spans="1:14" ht="26" x14ac:dyDescent="0.6">
      <c r="A161" s="71">
        <v>163</v>
      </c>
      <c r="B161" s="120" t="s">
        <v>828</v>
      </c>
      <c r="C161" s="121" t="s">
        <v>142</v>
      </c>
      <c r="D161" s="156" t="s">
        <v>1759</v>
      </c>
      <c r="E161" s="121" t="s">
        <v>877</v>
      </c>
      <c r="F161" s="121" t="s">
        <v>1443</v>
      </c>
      <c r="G161" s="121">
        <v>62</v>
      </c>
      <c r="H161" s="122">
        <v>26406062401154</v>
      </c>
      <c r="I161" s="215">
        <v>46188</v>
      </c>
      <c r="J161" s="274" t="s">
        <v>1734</v>
      </c>
      <c r="K161" s="277" cm="1">
        <f t="array" ref="K161">IFERROR(IF(INDEX($P$6:$Q$40,MATCH(TRIM($C161),$O$6:$O$40,0),IF(TRIM($D161)="العينان",2,1))="","",INDEX($P$6:$Q$40,MATCH(TRIM($C161),$O$6:$O$40,0),IF(TRIM($D161)="العينان",2,1))),"")</f>
        <v>650</v>
      </c>
      <c r="L161" s="277">
        <f t="shared" si="4"/>
        <v>474.5</v>
      </c>
      <c r="M161" s="277">
        <f t="shared" si="5"/>
        <v>175.5</v>
      </c>
      <c r="N161" s="216"/>
    </row>
    <row r="162" spans="1:14" ht="26" x14ac:dyDescent="0.6">
      <c r="A162" s="71">
        <v>164</v>
      </c>
      <c r="B162" s="120" t="s">
        <v>829</v>
      </c>
      <c r="C162" s="121" t="s">
        <v>142</v>
      </c>
      <c r="D162" s="156" t="s">
        <v>1759</v>
      </c>
      <c r="E162" s="121" t="s">
        <v>878</v>
      </c>
      <c r="F162" s="121" t="s">
        <v>1443</v>
      </c>
      <c r="G162" s="121">
        <v>57</v>
      </c>
      <c r="H162" s="122">
        <v>27911282403051</v>
      </c>
      <c r="I162" s="215">
        <v>46188</v>
      </c>
      <c r="J162" s="274" t="s">
        <v>1734</v>
      </c>
      <c r="K162" s="277" cm="1">
        <f t="array" ref="K162">IFERROR(IF(INDEX($P$6:$Q$40,MATCH(TRIM($C162),$O$6:$O$40,0),IF(TRIM($D162)="العينان",2,1))="","",INDEX($P$6:$Q$40,MATCH(TRIM($C162),$O$6:$O$40,0),IF(TRIM($D162)="العينان",2,1))),"")</f>
        <v>650</v>
      </c>
      <c r="L162" s="277">
        <f t="shared" si="4"/>
        <v>474.5</v>
      </c>
      <c r="M162" s="277">
        <f t="shared" si="5"/>
        <v>175.5</v>
      </c>
      <c r="N162" s="216"/>
    </row>
    <row r="163" spans="1:14" ht="26" x14ac:dyDescent="0.6">
      <c r="A163" s="71">
        <v>165</v>
      </c>
      <c r="B163" s="120" t="s">
        <v>830</v>
      </c>
      <c r="C163" s="121" t="s">
        <v>1796</v>
      </c>
      <c r="D163" s="156" t="s">
        <v>1757</v>
      </c>
      <c r="E163" s="121" t="s">
        <v>879</v>
      </c>
      <c r="F163" s="121" t="s">
        <v>1443</v>
      </c>
      <c r="G163" s="121">
        <v>58</v>
      </c>
      <c r="H163" s="122">
        <v>26802062401548</v>
      </c>
      <c r="I163" s="215">
        <v>46188</v>
      </c>
      <c r="J163" s="274" t="s">
        <v>1734</v>
      </c>
      <c r="K163" s="277" cm="1">
        <f t="array" ref="K163">IFERROR(IF(INDEX($P$6:$Q$40,MATCH(TRIM($C163),$O$6:$O$40,0),IF(TRIM($D163)="العينان",2,1))="","",INDEX($P$6:$Q$40,MATCH(TRIM($C163),$O$6:$O$40,0),IF(TRIM($D163)="العينان",2,1))),"")</f>
        <v>750</v>
      </c>
      <c r="L163" s="277">
        <f t="shared" si="4"/>
        <v>547.5</v>
      </c>
      <c r="M163" s="277">
        <f t="shared" si="5"/>
        <v>202.5</v>
      </c>
      <c r="N163" s="216"/>
    </row>
    <row r="164" spans="1:14" ht="26" x14ac:dyDescent="0.6">
      <c r="A164" s="71">
        <v>166</v>
      </c>
      <c r="B164" s="120" t="s">
        <v>831</v>
      </c>
      <c r="C164" s="121" t="s">
        <v>142</v>
      </c>
      <c r="D164" s="156" t="s">
        <v>1759</v>
      </c>
      <c r="E164" s="121" t="s">
        <v>880</v>
      </c>
      <c r="F164" s="121" t="s">
        <v>1275</v>
      </c>
      <c r="G164" s="121">
        <v>12</v>
      </c>
      <c r="H164" s="122">
        <v>31403092402008</v>
      </c>
      <c r="I164" s="215">
        <v>46191</v>
      </c>
      <c r="J164" s="274" t="s">
        <v>1734</v>
      </c>
      <c r="K164" s="277" cm="1">
        <f t="array" ref="K164">IFERROR(IF(INDEX($P$6:$Q$40,MATCH(TRIM($C164),$O$6:$O$40,0),IF(TRIM($D164)="العينان",2,1))="","",INDEX($P$6:$Q$40,MATCH(TRIM($C164),$O$6:$O$40,0),IF(TRIM($D164)="العينان",2,1))),"")</f>
        <v>650</v>
      </c>
      <c r="L164" s="277">
        <f t="shared" si="4"/>
        <v>474.5</v>
      </c>
      <c r="M164" s="277">
        <f t="shared" si="5"/>
        <v>175.5</v>
      </c>
      <c r="N164" s="216"/>
    </row>
    <row r="165" spans="1:14" ht="26" x14ac:dyDescent="0.6">
      <c r="A165" s="71">
        <v>167</v>
      </c>
      <c r="B165" s="120" t="s">
        <v>832</v>
      </c>
      <c r="C165" s="121" t="s">
        <v>150</v>
      </c>
      <c r="D165" s="156" t="s">
        <v>1759</v>
      </c>
      <c r="E165" s="121" t="s">
        <v>881</v>
      </c>
      <c r="F165" s="121" t="s">
        <v>1275</v>
      </c>
      <c r="G165" s="121">
        <v>50</v>
      </c>
      <c r="H165" s="122">
        <v>27601012410871</v>
      </c>
      <c r="I165" s="215">
        <v>46191</v>
      </c>
      <c r="J165" s="274" t="s">
        <v>1734</v>
      </c>
      <c r="K165" s="277" cm="1">
        <f t="array" ref="K165">IFERROR(IF(INDEX($P$6:$Q$40,MATCH(TRIM($C165),$O$6:$O$40,0),IF(TRIM($D165)="العينان",2,1))="","",INDEX($P$6:$Q$40,MATCH(TRIM($C165),$O$6:$O$40,0),IF(TRIM($D165)="العينان",2,1))),"")</f>
        <v>550</v>
      </c>
      <c r="L165" s="277">
        <f t="shared" si="4"/>
        <v>401.5</v>
      </c>
      <c r="M165" s="277">
        <f t="shared" si="5"/>
        <v>148.5</v>
      </c>
      <c r="N165" s="216"/>
    </row>
    <row r="166" spans="1:14" ht="26" x14ac:dyDescent="0.6">
      <c r="A166" s="71">
        <v>168</v>
      </c>
      <c r="B166" s="120" t="s">
        <v>833</v>
      </c>
      <c r="C166" s="121" t="s">
        <v>1797</v>
      </c>
      <c r="D166" s="156" t="s">
        <v>1759</v>
      </c>
      <c r="E166" s="121" t="s">
        <v>882</v>
      </c>
      <c r="F166" s="121" t="s">
        <v>1275</v>
      </c>
      <c r="G166" s="121">
        <v>13</v>
      </c>
      <c r="H166" s="122">
        <v>31303122403247</v>
      </c>
      <c r="I166" s="215">
        <v>46191</v>
      </c>
      <c r="J166" s="274" t="s">
        <v>1734</v>
      </c>
      <c r="K166" s="277">
        <v>550</v>
      </c>
      <c r="L166" s="277">
        <f t="shared" si="4"/>
        <v>401.5</v>
      </c>
      <c r="M166" s="277">
        <f t="shared" si="5"/>
        <v>148.5</v>
      </c>
      <c r="N166" s="216"/>
    </row>
    <row r="167" spans="1:14" ht="26" x14ac:dyDescent="0.6">
      <c r="A167" s="71">
        <v>169</v>
      </c>
      <c r="B167" s="120" t="s">
        <v>834</v>
      </c>
      <c r="C167" s="121" t="s">
        <v>142</v>
      </c>
      <c r="D167" s="156" t="s">
        <v>1758</v>
      </c>
      <c r="E167" s="121" t="s">
        <v>883</v>
      </c>
      <c r="F167" s="121" t="s">
        <v>1275</v>
      </c>
      <c r="G167" s="121">
        <v>39</v>
      </c>
      <c r="H167" s="122">
        <v>28708012408909</v>
      </c>
      <c r="I167" s="215">
        <v>46191</v>
      </c>
      <c r="J167" s="274" t="s">
        <v>1734</v>
      </c>
      <c r="K167" s="277" cm="1">
        <f t="array" ref="K167">IFERROR(IF(INDEX($P$6:$Q$40,MATCH(TRIM($C167),$O$6:$O$40,0),IF(TRIM($D167)="العينان",2,1))="","",INDEX($P$6:$Q$40,MATCH(TRIM($C167),$O$6:$O$40,0),IF(TRIM($D167)="العينان",2,1))),"")</f>
        <v>400</v>
      </c>
      <c r="L167" s="277">
        <f t="shared" si="4"/>
        <v>292</v>
      </c>
      <c r="M167" s="277">
        <f t="shared" si="5"/>
        <v>108</v>
      </c>
      <c r="N167" s="216"/>
    </row>
    <row r="168" spans="1:14" ht="26" x14ac:dyDescent="0.6">
      <c r="A168" s="71">
        <v>170</v>
      </c>
      <c r="B168" s="120" t="s">
        <v>835</v>
      </c>
      <c r="C168" s="121" t="s">
        <v>142</v>
      </c>
      <c r="D168" s="156" t="s">
        <v>1759</v>
      </c>
      <c r="E168" s="121" t="s">
        <v>884</v>
      </c>
      <c r="F168" s="121" t="s">
        <v>1275</v>
      </c>
      <c r="G168" s="121">
        <v>36</v>
      </c>
      <c r="H168" s="122">
        <v>29011132402338</v>
      </c>
      <c r="I168" s="215">
        <v>46191</v>
      </c>
      <c r="J168" s="274" t="s">
        <v>1734</v>
      </c>
      <c r="K168" s="277" cm="1">
        <f t="array" ref="K168">IFERROR(IF(INDEX($P$6:$Q$40,MATCH(TRIM($C168),$O$6:$O$40,0),IF(TRIM($D168)="العينان",2,1))="","",INDEX($P$6:$Q$40,MATCH(TRIM($C168),$O$6:$O$40,0),IF(TRIM($D168)="العينان",2,1))),"")</f>
        <v>650</v>
      </c>
      <c r="L168" s="277">
        <f t="shared" si="4"/>
        <v>474.5</v>
      </c>
      <c r="M168" s="277">
        <f t="shared" si="5"/>
        <v>175.5</v>
      </c>
      <c r="N168" s="216"/>
    </row>
    <row r="169" spans="1:14" ht="26" x14ac:dyDescent="0.6">
      <c r="A169" s="71">
        <v>171</v>
      </c>
      <c r="B169" s="120" t="s">
        <v>836</v>
      </c>
      <c r="C169" s="121" t="s">
        <v>142</v>
      </c>
      <c r="D169" s="156" t="s">
        <v>1759</v>
      </c>
      <c r="E169" s="121" t="s">
        <v>885</v>
      </c>
      <c r="F169" s="121" t="s">
        <v>1275</v>
      </c>
      <c r="G169" s="121">
        <v>57</v>
      </c>
      <c r="H169" s="122">
        <v>26910052401679</v>
      </c>
      <c r="I169" s="215">
        <v>46191</v>
      </c>
      <c r="J169" s="274" t="s">
        <v>1734</v>
      </c>
      <c r="K169" s="277" cm="1">
        <f t="array" ref="K169">IFERROR(IF(INDEX($P$6:$Q$40,MATCH(TRIM($C169),$O$6:$O$40,0),IF(TRIM($D169)="العينان",2,1))="","",INDEX($P$6:$Q$40,MATCH(TRIM($C169),$O$6:$O$40,0),IF(TRIM($D169)="العينان",2,1))),"")</f>
        <v>650</v>
      </c>
      <c r="L169" s="277">
        <f t="shared" si="4"/>
        <v>474.5</v>
      </c>
      <c r="M169" s="277">
        <f t="shared" si="5"/>
        <v>175.5</v>
      </c>
      <c r="N169" s="216"/>
    </row>
    <row r="170" spans="1:14" ht="26" x14ac:dyDescent="0.6">
      <c r="A170" s="71">
        <v>172</v>
      </c>
      <c r="B170" s="120" t="s">
        <v>837</v>
      </c>
      <c r="C170" s="121" t="s">
        <v>142</v>
      </c>
      <c r="D170" s="156" t="s">
        <v>1759</v>
      </c>
      <c r="E170" s="121" t="s">
        <v>886</v>
      </c>
      <c r="F170" s="121" t="s">
        <v>1275</v>
      </c>
      <c r="G170" s="121">
        <v>29</v>
      </c>
      <c r="H170" s="122">
        <v>29707172201399</v>
      </c>
      <c r="I170" s="215">
        <v>46191</v>
      </c>
      <c r="J170" s="274" t="s">
        <v>1734</v>
      </c>
      <c r="K170" s="277" cm="1">
        <f t="array" ref="K170">IFERROR(IF(INDEX($P$6:$Q$40,MATCH(TRIM($C170),$O$6:$O$40,0),IF(TRIM($D170)="العينان",2,1))="","",INDEX($P$6:$Q$40,MATCH(TRIM($C170),$O$6:$O$40,0),IF(TRIM($D170)="العينان",2,1))),"")</f>
        <v>650</v>
      </c>
      <c r="L170" s="277">
        <f t="shared" si="4"/>
        <v>474.5</v>
      </c>
      <c r="M170" s="277">
        <f t="shared" si="5"/>
        <v>175.5</v>
      </c>
      <c r="N170" s="216"/>
    </row>
    <row r="171" spans="1:14" ht="26" x14ac:dyDescent="0.6">
      <c r="A171" s="71">
        <v>173</v>
      </c>
      <c r="B171" s="120" t="s">
        <v>838</v>
      </c>
      <c r="C171" s="121" t="s">
        <v>142</v>
      </c>
      <c r="D171" s="156" t="s">
        <v>1757</v>
      </c>
      <c r="E171" s="121" t="s">
        <v>887</v>
      </c>
      <c r="F171" s="121" t="s">
        <v>1275</v>
      </c>
      <c r="G171" s="121">
        <v>38</v>
      </c>
      <c r="H171" s="122">
        <v>28810262402751</v>
      </c>
      <c r="I171" s="215">
        <v>46191</v>
      </c>
      <c r="J171" s="274" t="s">
        <v>1734</v>
      </c>
      <c r="K171" s="277" cm="1">
        <f t="array" ref="K171">IFERROR(IF(INDEX($P$6:$Q$40,MATCH(TRIM($C171),$O$6:$O$40,0),IF(TRIM($D171)="العينان",2,1))="","",INDEX($P$6:$Q$40,MATCH(TRIM($C171),$O$6:$O$40,0),IF(TRIM($D171)="العينان",2,1))),"")</f>
        <v>400</v>
      </c>
      <c r="L171" s="277">
        <f t="shared" si="4"/>
        <v>292</v>
      </c>
      <c r="M171" s="277">
        <f t="shared" si="5"/>
        <v>108</v>
      </c>
      <c r="N171" s="216"/>
    </row>
    <row r="172" spans="1:14" ht="26" x14ac:dyDescent="0.6">
      <c r="A172" s="71">
        <v>174</v>
      </c>
      <c r="B172" s="120" t="s">
        <v>839</v>
      </c>
      <c r="C172" s="121" t="s">
        <v>142</v>
      </c>
      <c r="D172" s="156" t="s">
        <v>1757</v>
      </c>
      <c r="E172" s="121" t="s">
        <v>888</v>
      </c>
      <c r="F172" s="121" t="s">
        <v>1275</v>
      </c>
      <c r="G172" s="121">
        <v>63</v>
      </c>
      <c r="H172" s="122">
        <v>26308182200835</v>
      </c>
      <c r="I172" s="215">
        <v>46191</v>
      </c>
      <c r="J172" s="274" t="s">
        <v>1734</v>
      </c>
      <c r="K172" s="277" cm="1">
        <f t="array" ref="K172">IFERROR(IF(INDEX($P$6:$Q$40,MATCH(TRIM($C172),$O$6:$O$40,0),IF(TRIM($D172)="العينان",2,1))="","",INDEX($P$6:$Q$40,MATCH(TRIM($C172),$O$6:$O$40,0),IF(TRIM($D172)="العينان",2,1))),"")</f>
        <v>400</v>
      </c>
      <c r="L172" s="277">
        <f t="shared" si="4"/>
        <v>292</v>
      </c>
      <c r="M172" s="277">
        <f t="shared" si="5"/>
        <v>108</v>
      </c>
      <c r="N172" s="216"/>
    </row>
    <row r="173" spans="1:14" ht="26" x14ac:dyDescent="0.6">
      <c r="A173" s="71">
        <v>175</v>
      </c>
      <c r="B173" s="120" t="s">
        <v>840</v>
      </c>
      <c r="C173" s="121" t="s">
        <v>142</v>
      </c>
      <c r="D173" s="156" t="s">
        <v>1757</v>
      </c>
      <c r="E173" s="121" t="s">
        <v>889</v>
      </c>
      <c r="F173" s="121" t="s">
        <v>1275</v>
      </c>
      <c r="G173" s="121">
        <v>68</v>
      </c>
      <c r="H173" s="122">
        <v>25810222401581</v>
      </c>
      <c r="I173" s="215">
        <v>46191</v>
      </c>
      <c r="J173" s="274" t="s">
        <v>1734</v>
      </c>
      <c r="K173" s="277" cm="1">
        <f t="array" ref="K173">IFERROR(IF(INDEX($P$6:$Q$40,MATCH(TRIM($C173),$O$6:$O$40,0),IF(TRIM($D173)="العينان",2,1))="","",INDEX($P$6:$Q$40,MATCH(TRIM($C173),$O$6:$O$40,0),IF(TRIM($D173)="العينان",2,1))),"")</f>
        <v>400</v>
      </c>
      <c r="L173" s="277">
        <f t="shared" si="4"/>
        <v>292</v>
      </c>
      <c r="M173" s="277">
        <f t="shared" si="5"/>
        <v>108</v>
      </c>
      <c r="N173" s="216"/>
    </row>
    <row r="174" spans="1:14" ht="26" x14ac:dyDescent="0.6">
      <c r="A174" s="71">
        <v>176</v>
      </c>
      <c r="B174" s="120" t="s">
        <v>841</v>
      </c>
      <c r="C174" s="121" t="s">
        <v>142</v>
      </c>
      <c r="D174" s="156" t="s">
        <v>1759</v>
      </c>
      <c r="E174" s="121" t="s">
        <v>890</v>
      </c>
      <c r="F174" s="121" t="s">
        <v>1275</v>
      </c>
      <c r="G174" s="121">
        <v>17</v>
      </c>
      <c r="H174" s="122">
        <v>30911212401304</v>
      </c>
      <c r="I174" s="215">
        <v>46193</v>
      </c>
      <c r="J174" s="274" t="s">
        <v>1733</v>
      </c>
      <c r="K174" s="277" cm="1">
        <f t="array" ref="K174">IFERROR(IF(INDEX($P$6:$Q$40,MATCH(TRIM($C174),$O$6:$O$40,0),IF(TRIM($D174)="العينان",2,1))="","",INDEX($P$6:$Q$40,MATCH(TRIM($C174),$O$6:$O$40,0),IF(TRIM($D174)="العينان",2,1))),"")</f>
        <v>650</v>
      </c>
      <c r="L174" s="277">
        <f t="shared" si="4"/>
        <v>487.5</v>
      </c>
      <c r="M174" s="277">
        <f t="shared" si="5"/>
        <v>162.5</v>
      </c>
      <c r="N174" s="216"/>
    </row>
    <row r="175" spans="1:14" ht="26" x14ac:dyDescent="0.6">
      <c r="A175" s="71">
        <v>177</v>
      </c>
      <c r="B175" s="120" t="s">
        <v>842</v>
      </c>
      <c r="C175" s="121" t="s">
        <v>142</v>
      </c>
      <c r="D175" s="156" t="s">
        <v>1758</v>
      </c>
      <c r="E175" s="121" t="s">
        <v>891</v>
      </c>
      <c r="F175" s="121" t="s">
        <v>1275</v>
      </c>
      <c r="G175" s="121">
        <v>59</v>
      </c>
      <c r="H175" s="122">
        <v>26704042401388</v>
      </c>
      <c r="I175" s="215">
        <v>46193</v>
      </c>
      <c r="J175" s="274" t="s">
        <v>1733</v>
      </c>
      <c r="K175" s="277" cm="1">
        <f t="array" ref="K175">IFERROR(IF(INDEX($P$6:$Q$40,MATCH(TRIM($C175),$O$6:$O$40,0),IF(TRIM($D175)="العينان",2,1))="","",INDEX($P$6:$Q$40,MATCH(TRIM($C175),$O$6:$O$40,0),IF(TRIM($D175)="العينان",2,1))),"")</f>
        <v>400</v>
      </c>
      <c r="L175" s="277">
        <f t="shared" si="4"/>
        <v>300</v>
      </c>
      <c r="M175" s="277">
        <f t="shared" si="5"/>
        <v>100</v>
      </c>
      <c r="N175" s="216"/>
    </row>
    <row r="176" spans="1:14" ht="26" x14ac:dyDescent="0.6">
      <c r="A176" s="71">
        <v>178</v>
      </c>
      <c r="B176" s="120" t="s">
        <v>843</v>
      </c>
      <c r="C176" s="121" t="s">
        <v>142</v>
      </c>
      <c r="D176" s="156" t="s">
        <v>1757</v>
      </c>
      <c r="E176" s="121" t="s">
        <v>892</v>
      </c>
      <c r="F176" s="121" t="s">
        <v>1275</v>
      </c>
      <c r="G176" s="121">
        <v>63</v>
      </c>
      <c r="H176" s="122">
        <v>26308062401152</v>
      </c>
      <c r="I176" s="215">
        <v>46193</v>
      </c>
      <c r="J176" s="274" t="s">
        <v>1733</v>
      </c>
      <c r="K176" s="277" cm="1">
        <f t="array" ref="K176">IFERROR(IF(INDEX($P$6:$Q$40,MATCH(TRIM($C176),$O$6:$O$40,0),IF(TRIM($D176)="العينان",2,1))="","",INDEX($P$6:$Q$40,MATCH(TRIM($C176),$O$6:$O$40,0),IF(TRIM($D176)="العينان",2,1))),"")</f>
        <v>400</v>
      </c>
      <c r="L176" s="277">
        <f t="shared" si="4"/>
        <v>300</v>
      </c>
      <c r="M176" s="277">
        <f t="shared" si="5"/>
        <v>100</v>
      </c>
      <c r="N176" s="216"/>
    </row>
    <row r="177" spans="1:14" ht="26" x14ac:dyDescent="0.6">
      <c r="A177" s="71">
        <v>179</v>
      </c>
      <c r="B177" s="120" t="s">
        <v>844</v>
      </c>
      <c r="C177" s="121" t="s">
        <v>186</v>
      </c>
      <c r="D177" s="156" t="s">
        <v>1757</v>
      </c>
      <c r="E177" s="121" t="s">
        <v>893</v>
      </c>
      <c r="F177" s="121" t="s">
        <v>1275</v>
      </c>
      <c r="G177" s="121">
        <v>69</v>
      </c>
      <c r="H177" s="122">
        <v>25708072401431</v>
      </c>
      <c r="I177" s="215">
        <v>46193</v>
      </c>
      <c r="J177" s="274" t="s">
        <v>1733</v>
      </c>
      <c r="K177" s="277" cm="1">
        <f t="array" ref="K177">IFERROR(IF(INDEX($P$6:$Q$40,MATCH(TRIM($C177),$O$6:$O$40,0),IF(TRIM($D177)="العينان",2,1))="","",INDEX($P$6:$Q$40,MATCH(TRIM($C177),$O$6:$O$40,0),IF(TRIM($D177)="العينان",2,1))),"")</f>
        <v>250</v>
      </c>
      <c r="L177" s="277">
        <f t="shared" si="4"/>
        <v>187.5</v>
      </c>
      <c r="M177" s="277">
        <f t="shared" si="5"/>
        <v>62.5</v>
      </c>
      <c r="N177" s="216"/>
    </row>
    <row r="178" spans="1:14" ht="26" x14ac:dyDescent="0.6">
      <c r="A178" s="71">
        <v>180</v>
      </c>
      <c r="B178" s="120" t="s">
        <v>845</v>
      </c>
      <c r="C178" s="121" t="s">
        <v>186</v>
      </c>
      <c r="D178" s="156" t="s">
        <v>1757</v>
      </c>
      <c r="E178" s="121" t="s">
        <v>894</v>
      </c>
      <c r="F178" s="121" t="s">
        <v>1275</v>
      </c>
      <c r="G178" s="121">
        <v>58</v>
      </c>
      <c r="H178" s="122">
        <v>26802162401111</v>
      </c>
      <c r="I178" s="215">
        <v>46193</v>
      </c>
      <c r="J178" s="274" t="s">
        <v>1733</v>
      </c>
      <c r="K178" s="277" cm="1">
        <f t="array" ref="K178">IFERROR(IF(INDEX($P$6:$Q$40,MATCH(TRIM($C178),$O$6:$O$40,0),IF(TRIM($D178)="العينان",2,1))="","",INDEX($P$6:$Q$40,MATCH(TRIM($C178),$O$6:$O$40,0),IF(TRIM($D178)="العينان",2,1))),"")</f>
        <v>250</v>
      </c>
      <c r="L178" s="277">
        <f t="shared" si="4"/>
        <v>187.5</v>
      </c>
      <c r="M178" s="277">
        <f t="shared" si="5"/>
        <v>62.5</v>
      </c>
      <c r="N178" s="216"/>
    </row>
    <row r="179" spans="1:14" ht="26" x14ac:dyDescent="0.6">
      <c r="A179" s="71">
        <v>181</v>
      </c>
      <c r="B179" s="120" t="s">
        <v>846</v>
      </c>
      <c r="C179" s="121" t="s">
        <v>145</v>
      </c>
      <c r="D179" s="156" t="s">
        <v>1757</v>
      </c>
      <c r="E179" s="121" t="s">
        <v>895</v>
      </c>
      <c r="F179" s="121" t="s">
        <v>1275</v>
      </c>
      <c r="G179" s="121">
        <v>63</v>
      </c>
      <c r="H179" s="122">
        <v>26308252401981</v>
      </c>
      <c r="I179" s="215">
        <v>46193</v>
      </c>
      <c r="J179" s="274" t="s">
        <v>1733</v>
      </c>
      <c r="K179" s="277" cm="1">
        <f t="array" ref="K179">IFERROR(IF(INDEX($P$6:$Q$40,MATCH(TRIM($C179),$O$6:$O$40,0),IF(TRIM($D179)="العينان",2,1))="","",INDEX($P$6:$Q$40,MATCH(TRIM($C179),$O$6:$O$40,0),IF(TRIM($D179)="العينان",2,1))),"")</f>
        <v>750</v>
      </c>
      <c r="L179" s="277">
        <f t="shared" si="4"/>
        <v>562.5</v>
      </c>
      <c r="M179" s="277">
        <f t="shared" si="5"/>
        <v>187.5</v>
      </c>
      <c r="N179" s="216"/>
    </row>
    <row r="180" spans="1:14" ht="26" x14ac:dyDescent="0.6">
      <c r="A180" s="71">
        <v>182</v>
      </c>
      <c r="B180" s="120" t="s">
        <v>847</v>
      </c>
      <c r="C180" s="121" t="s">
        <v>142</v>
      </c>
      <c r="D180" s="156" t="s">
        <v>1759</v>
      </c>
      <c r="E180" s="121" t="s">
        <v>896</v>
      </c>
      <c r="F180" s="121" t="s">
        <v>1275</v>
      </c>
      <c r="G180" s="121">
        <v>55</v>
      </c>
      <c r="H180" s="122">
        <v>27101162402083</v>
      </c>
      <c r="I180" s="215">
        <v>46193</v>
      </c>
      <c r="J180" s="274" t="s">
        <v>1733</v>
      </c>
      <c r="K180" s="277" cm="1">
        <f t="array" ref="K180">IFERROR(IF(INDEX($P$6:$Q$40,MATCH(TRIM($C180),$O$6:$O$40,0),IF(TRIM($D180)="العينان",2,1))="","",INDEX($P$6:$Q$40,MATCH(TRIM($C180),$O$6:$O$40,0),IF(TRIM($D180)="العينان",2,1))),"")</f>
        <v>650</v>
      </c>
      <c r="L180" s="277">
        <f t="shared" si="4"/>
        <v>487.5</v>
      </c>
      <c r="M180" s="277">
        <f t="shared" si="5"/>
        <v>162.5</v>
      </c>
      <c r="N180" s="216"/>
    </row>
    <row r="181" spans="1:14" ht="26" x14ac:dyDescent="0.6">
      <c r="A181" s="71">
        <v>183</v>
      </c>
      <c r="B181" s="120" t="s">
        <v>848</v>
      </c>
      <c r="C181" s="121" t="s">
        <v>142</v>
      </c>
      <c r="D181" s="156" t="s">
        <v>1758</v>
      </c>
      <c r="E181" s="121" t="s">
        <v>897</v>
      </c>
      <c r="F181" s="121" t="s">
        <v>1275</v>
      </c>
      <c r="G181" s="121">
        <v>73</v>
      </c>
      <c r="H181" s="122">
        <v>25305092400931</v>
      </c>
      <c r="I181" s="215">
        <v>46193</v>
      </c>
      <c r="J181" s="274" t="s">
        <v>1733</v>
      </c>
      <c r="K181" s="277" cm="1">
        <f t="array" ref="K181">IFERROR(IF(INDEX($P$6:$Q$40,MATCH(TRIM($C181),$O$6:$O$40,0),IF(TRIM($D181)="العينان",2,1))="","",INDEX($P$6:$Q$40,MATCH(TRIM($C181),$O$6:$O$40,0),IF(TRIM($D181)="العينان",2,1))),"")</f>
        <v>400</v>
      </c>
      <c r="L181" s="277">
        <f t="shared" si="4"/>
        <v>300</v>
      </c>
      <c r="M181" s="277">
        <f t="shared" si="5"/>
        <v>100</v>
      </c>
      <c r="N181" s="275"/>
    </row>
    <row r="182" spans="1:14" ht="26" x14ac:dyDescent="0.6">
      <c r="A182" s="71">
        <v>184</v>
      </c>
      <c r="B182" s="120" t="s">
        <v>849</v>
      </c>
      <c r="C182" s="121" t="s">
        <v>142</v>
      </c>
      <c r="D182" s="156" t="s">
        <v>1758</v>
      </c>
      <c r="E182" s="121" t="s">
        <v>898</v>
      </c>
      <c r="F182" s="121" t="s">
        <v>1275</v>
      </c>
      <c r="G182" s="121">
        <v>81</v>
      </c>
      <c r="H182" s="122">
        <v>24503092401025</v>
      </c>
      <c r="I182" s="215">
        <v>46193</v>
      </c>
      <c r="J182" s="274" t="s">
        <v>1733</v>
      </c>
      <c r="K182" s="277" cm="1">
        <f t="array" ref="K182">IFERROR(IF(INDEX($P$6:$Q$40,MATCH(TRIM($C182),$O$6:$O$40,0),IF(TRIM($D182)="العينان",2,1))="","",INDEX($P$6:$Q$40,MATCH(TRIM($C182),$O$6:$O$40,0),IF(TRIM($D182)="العينان",2,1))),"")</f>
        <v>400</v>
      </c>
      <c r="L182" s="277">
        <f t="shared" si="4"/>
        <v>300</v>
      </c>
      <c r="M182" s="277">
        <f t="shared" si="5"/>
        <v>100</v>
      </c>
      <c r="N182" s="216"/>
    </row>
    <row r="183" spans="1:14" ht="26" x14ac:dyDescent="0.6">
      <c r="A183" s="71">
        <v>185</v>
      </c>
      <c r="B183" s="120" t="s">
        <v>850</v>
      </c>
      <c r="C183" s="121" t="s">
        <v>1798</v>
      </c>
      <c r="D183" s="156" t="s">
        <v>1758</v>
      </c>
      <c r="E183" s="121" t="s">
        <v>899</v>
      </c>
      <c r="F183" s="121" t="s">
        <v>1275</v>
      </c>
      <c r="G183" s="121">
        <v>28</v>
      </c>
      <c r="H183" s="122">
        <v>29807012415834</v>
      </c>
      <c r="I183" s="215">
        <v>46193</v>
      </c>
      <c r="J183" s="274" t="s">
        <v>1733</v>
      </c>
      <c r="K183" s="277">
        <v>400</v>
      </c>
      <c r="L183" s="277">
        <f t="shared" si="4"/>
        <v>300</v>
      </c>
      <c r="M183" s="277">
        <f t="shared" si="5"/>
        <v>100</v>
      </c>
      <c r="N183" s="216"/>
    </row>
    <row r="184" spans="1:14" ht="26" x14ac:dyDescent="0.6">
      <c r="A184" s="71">
        <v>186</v>
      </c>
      <c r="B184" s="120" t="s">
        <v>851</v>
      </c>
      <c r="C184" s="121" t="s">
        <v>186</v>
      </c>
      <c r="D184" s="156" t="s">
        <v>1758</v>
      </c>
      <c r="E184" s="121" t="s">
        <v>900</v>
      </c>
      <c r="F184" s="121" t="s">
        <v>1275</v>
      </c>
      <c r="G184" s="121">
        <v>58</v>
      </c>
      <c r="H184" s="122">
        <v>27611192401888</v>
      </c>
      <c r="I184" s="215">
        <v>46193</v>
      </c>
      <c r="J184" s="274" t="s">
        <v>1733</v>
      </c>
      <c r="K184" s="277" cm="1">
        <f t="array" ref="K184">IFERROR(IF(INDEX($P$6:$Q$40,MATCH(TRIM($C184),$O$6:$O$40,0),IF(TRIM($D184)="العينان",2,1))="","",INDEX($P$6:$Q$40,MATCH(TRIM($C184),$O$6:$O$40,0),IF(TRIM($D184)="العينان",2,1))),"")</f>
        <v>250</v>
      </c>
      <c r="L184" s="277">
        <f t="shared" si="4"/>
        <v>187.5</v>
      </c>
      <c r="M184" s="277">
        <f t="shared" si="5"/>
        <v>62.5</v>
      </c>
      <c r="N184" s="216"/>
    </row>
    <row r="185" spans="1:14" ht="26" x14ac:dyDescent="0.6">
      <c r="A185" s="71">
        <v>187</v>
      </c>
      <c r="B185" s="120" t="s">
        <v>852</v>
      </c>
      <c r="C185" s="121" t="s">
        <v>186</v>
      </c>
      <c r="D185" s="156" t="s">
        <v>1758</v>
      </c>
      <c r="E185" s="121">
        <v>1253712403</v>
      </c>
      <c r="F185" s="121" t="s">
        <v>1275</v>
      </c>
      <c r="G185" s="121">
        <v>68</v>
      </c>
      <c r="H185" s="122">
        <v>25804032401119</v>
      </c>
      <c r="I185" s="215">
        <v>46193</v>
      </c>
      <c r="J185" s="274" t="s">
        <v>1733</v>
      </c>
      <c r="K185" s="277" cm="1">
        <f t="array" ref="K185">IFERROR(IF(INDEX($P$6:$Q$40,MATCH(TRIM($C185),$O$6:$O$40,0),IF(TRIM($D185)="العينان",2,1))="","",INDEX($P$6:$Q$40,MATCH(TRIM($C185),$O$6:$O$40,0),IF(TRIM($D185)="العينان",2,1))),"")</f>
        <v>250</v>
      </c>
      <c r="L185" s="277">
        <f t="shared" si="4"/>
        <v>187.5</v>
      </c>
      <c r="M185" s="277">
        <f t="shared" si="5"/>
        <v>62.5</v>
      </c>
      <c r="N185" s="216"/>
    </row>
    <row r="186" spans="1:14" ht="26" x14ac:dyDescent="0.6">
      <c r="A186" s="71">
        <v>188</v>
      </c>
      <c r="B186" s="120" t="s">
        <v>901</v>
      </c>
      <c r="C186" s="121" t="s">
        <v>145</v>
      </c>
      <c r="D186" s="156" t="s">
        <v>1758</v>
      </c>
      <c r="E186" s="121" t="s">
        <v>943</v>
      </c>
      <c r="F186" s="121" t="s">
        <v>1275</v>
      </c>
      <c r="G186" s="121">
        <v>65</v>
      </c>
      <c r="H186" s="122">
        <v>26105112401258</v>
      </c>
      <c r="I186" s="215">
        <v>46195</v>
      </c>
      <c r="J186" s="274" t="s">
        <v>1734</v>
      </c>
      <c r="K186" s="277" cm="1">
        <f t="array" ref="K186">IFERROR(IF(INDEX($P$6:$Q$40,MATCH(TRIM($C186),$O$6:$O$40,0),IF(TRIM($D186)="العينان",2,1))="","",INDEX($P$6:$Q$40,MATCH(TRIM($C186),$O$6:$O$40,0),IF(TRIM($D186)="العينان",2,1))),"")</f>
        <v>750</v>
      </c>
      <c r="L186" s="277">
        <f t="shared" si="4"/>
        <v>547.5</v>
      </c>
      <c r="M186" s="277">
        <f t="shared" si="5"/>
        <v>202.5</v>
      </c>
      <c r="N186" s="216"/>
    </row>
    <row r="187" spans="1:14" ht="26" x14ac:dyDescent="0.6">
      <c r="A187" s="71">
        <v>189</v>
      </c>
      <c r="B187" s="120" t="s">
        <v>902</v>
      </c>
      <c r="C187" s="121" t="s">
        <v>142</v>
      </c>
      <c r="D187" s="156" t="s">
        <v>1759</v>
      </c>
      <c r="E187" s="121" t="s">
        <v>944</v>
      </c>
      <c r="F187" s="121" t="s">
        <v>1275</v>
      </c>
      <c r="G187" s="121">
        <v>67</v>
      </c>
      <c r="H187" s="122">
        <v>25909072401827</v>
      </c>
      <c r="I187" s="215">
        <v>46195</v>
      </c>
      <c r="J187" s="274" t="s">
        <v>1734</v>
      </c>
      <c r="K187" s="277" cm="1">
        <f t="array" ref="K187">IFERROR(IF(INDEX($P$6:$Q$40,MATCH(TRIM($C187),$O$6:$O$40,0),IF(TRIM($D187)="العينان",2,1))="","",INDEX($P$6:$Q$40,MATCH(TRIM($C187),$O$6:$O$40,0),IF(TRIM($D187)="العينان",2,1))),"")</f>
        <v>650</v>
      </c>
      <c r="L187" s="277">
        <f t="shared" si="4"/>
        <v>474.5</v>
      </c>
      <c r="M187" s="277">
        <f t="shared" si="5"/>
        <v>175.5</v>
      </c>
      <c r="N187" s="216"/>
    </row>
    <row r="188" spans="1:14" ht="26" x14ac:dyDescent="0.6">
      <c r="A188" s="71">
        <v>190</v>
      </c>
      <c r="B188" s="120" t="s">
        <v>903</v>
      </c>
      <c r="C188" s="121" t="s">
        <v>142</v>
      </c>
      <c r="D188" s="156" t="s">
        <v>1759</v>
      </c>
      <c r="E188" s="121" t="s">
        <v>945</v>
      </c>
      <c r="F188" s="121" t="s">
        <v>1275</v>
      </c>
      <c r="G188" s="121">
        <v>57</v>
      </c>
      <c r="H188" s="122">
        <v>26909292401511</v>
      </c>
      <c r="I188" s="215">
        <v>46195</v>
      </c>
      <c r="J188" s="274" t="s">
        <v>1734</v>
      </c>
      <c r="K188" s="277" cm="1">
        <f t="array" ref="K188">IFERROR(IF(INDEX($P$6:$Q$40,MATCH(TRIM($C188),$O$6:$O$40,0),IF(TRIM($D188)="العينان",2,1))="","",INDEX($P$6:$Q$40,MATCH(TRIM($C188),$O$6:$O$40,0),IF(TRIM($D188)="العينان",2,1))),"")</f>
        <v>650</v>
      </c>
      <c r="L188" s="277">
        <f t="shared" si="4"/>
        <v>474.5</v>
      </c>
      <c r="M188" s="277">
        <f t="shared" si="5"/>
        <v>175.5</v>
      </c>
      <c r="N188" s="216"/>
    </row>
    <row r="189" spans="1:14" ht="26" x14ac:dyDescent="0.6">
      <c r="A189" s="71">
        <v>191</v>
      </c>
      <c r="B189" s="120" t="s">
        <v>904</v>
      </c>
      <c r="C189" s="121" t="s">
        <v>142</v>
      </c>
      <c r="D189" s="156" t="s">
        <v>1757</v>
      </c>
      <c r="E189" s="121" t="s">
        <v>946</v>
      </c>
      <c r="F189" s="121" t="s">
        <v>1275</v>
      </c>
      <c r="G189" s="121">
        <v>75</v>
      </c>
      <c r="H189" s="122">
        <v>25111112400631</v>
      </c>
      <c r="I189" s="215">
        <v>46195</v>
      </c>
      <c r="J189" s="274" t="s">
        <v>1734</v>
      </c>
      <c r="K189" s="277" cm="1">
        <f t="array" ref="K189">IFERROR(IF(INDEX($P$6:$Q$40,MATCH(TRIM($C189),$O$6:$O$40,0),IF(TRIM($D189)="العينان",2,1))="","",INDEX($P$6:$Q$40,MATCH(TRIM($C189),$O$6:$O$40,0),IF(TRIM($D189)="العينان",2,1))),"")</f>
        <v>400</v>
      </c>
      <c r="L189" s="277">
        <f t="shared" si="4"/>
        <v>292</v>
      </c>
      <c r="M189" s="277">
        <f t="shared" si="5"/>
        <v>108</v>
      </c>
      <c r="N189" s="216"/>
    </row>
    <row r="190" spans="1:14" ht="26" x14ac:dyDescent="0.6">
      <c r="A190" s="71">
        <v>192</v>
      </c>
      <c r="B190" s="120" t="s">
        <v>905</v>
      </c>
      <c r="C190" s="121" t="s">
        <v>142</v>
      </c>
      <c r="D190" s="156" t="s">
        <v>1759</v>
      </c>
      <c r="E190" s="121" t="s">
        <v>947</v>
      </c>
      <c r="F190" s="121" t="s">
        <v>1275</v>
      </c>
      <c r="G190" s="121">
        <v>42</v>
      </c>
      <c r="H190" s="122">
        <v>28406012405091</v>
      </c>
      <c r="I190" s="215">
        <v>46195</v>
      </c>
      <c r="J190" s="274" t="s">
        <v>1734</v>
      </c>
      <c r="K190" s="277" cm="1">
        <f t="array" ref="K190">IFERROR(IF(INDEX($P$6:$Q$40,MATCH(TRIM($C190),$O$6:$O$40,0),IF(TRIM($D190)="العينان",2,1))="","",INDEX($P$6:$Q$40,MATCH(TRIM($C190),$O$6:$O$40,0),IF(TRIM($D190)="العينان",2,1))),"")</f>
        <v>650</v>
      </c>
      <c r="L190" s="277">
        <f t="shared" si="4"/>
        <v>474.5</v>
      </c>
      <c r="M190" s="277">
        <f t="shared" si="5"/>
        <v>175.5</v>
      </c>
      <c r="N190" s="216"/>
    </row>
    <row r="191" spans="1:14" ht="26" x14ac:dyDescent="0.6">
      <c r="A191" s="71">
        <v>193</v>
      </c>
      <c r="B191" s="120" t="s">
        <v>906</v>
      </c>
      <c r="C191" s="121" t="s">
        <v>142</v>
      </c>
      <c r="D191" s="156" t="s">
        <v>1757</v>
      </c>
      <c r="E191" s="121" t="s">
        <v>948</v>
      </c>
      <c r="F191" s="121" t="s">
        <v>1275</v>
      </c>
      <c r="G191" s="121">
        <v>62</v>
      </c>
      <c r="H191" s="122">
        <v>26404192400998</v>
      </c>
      <c r="I191" s="215">
        <v>46195</v>
      </c>
      <c r="J191" s="274" t="s">
        <v>1734</v>
      </c>
      <c r="K191" s="277" cm="1">
        <f t="array" ref="K191">IFERROR(IF(INDEX($P$6:$Q$40,MATCH(TRIM($C191),$O$6:$O$40,0),IF(TRIM($D191)="العينان",2,1))="","",INDEX($P$6:$Q$40,MATCH(TRIM($C191),$O$6:$O$40,0),IF(TRIM($D191)="العينان",2,1))),"")</f>
        <v>400</v>
      </c>
      <c r="L191" s="277">
        <f t="shared" si="4"/>
        <v>292</v>
      </c>
      <c r="M191" s="277">
        <f t="shared" si="5"/>
        <v>108</v>
      </c>
      <c r="N191" s="216"/>
    </row>
    <row r="192" spans="1:14" ht="26" x14ac:dyDescent="0.6">
      <c r="A192" s="71">
        <v>194</v>
      </c>
      <c r="B192" s="120" t="s">
        <v>907</v>
      </c>
      <c r="C192" s="121" t="s">
        <v>142</v>
      </c>
      <c r="D192" s="156" t="s">
        <v>1757</v>
      </c>
      <c r="E192" s="121" t="s">
        <v>949</v>
      </c>
      <c r="F192" s="121" t="s">
        <v>1275</v>
      </c>
      <c r="G192" s="121">
        <v>70</v>
      </c>
      <c r="H192" s="122">
        <v>25612082401598</v>
      </c>
      <c r="I192" s="215">
        <v>46195</v>
      </c>
      <c r="J192" s="274" t="s">
        <v>1734</v>
      </c>
      <c r="K192" s="277" cm="1">
        <f t="array" ref="K192">IFERROR(IF(INDEX($P$6:$Q$40,MATCH(TRIM($C192),$O$6:$O$40,0),IF(TRIM($D192)="العينان",2,1))="","",INDEX($P$6:$Q$40,MATCH(TRIM($C192),$O$6:$O$40,0),IF(TRIM($D192)="العينان",2,1))),"")</f>
        <v>400</v>
      </c>
      <c r="L192" s="277">
        <f t="shared" si="4"/>
        <v>292</v>
      </c>
      <c r="M192" s="277">
        <f t="shared" si="5"/>
        <v>108</v>
      </c>
      <c r="N192" s="216"/>
    </row>
    <row r="193" spans="1:14" ht="26" x14ac:dyDescent="0.6">
      <c r="A193" s="71">
        <v>195</v>
      </c>
      <c r="B193" s="120" t="s">
        <v>908</v>
      </c>
      <c r="C193" s="121" t="s">
        <v>142</v>
      </c>
      <c r="D193" s="156" t="s">
        <v>1759</v>
      </c>
      <c r="E193" s="121" t="s">
        <v>950</v>
      </c>
      <c r="F193" s="121" t="s">
        <v>1275</v>
      </c>
      <c r="G193" s="121">
        <v>63</v>
      </c>
      <c r="H193" s="122">
        <v>26304262400998</v>
      </c>
      <c r="I193" s="215">
        <v>46195</v>
      </c>
      <c r="J193" s="274" t="s">
        <v>1734</v>
      </c>
      <c r="K193" s="277" cm="1">
        <f t="array" ref="K193">IFERROR(IF(INDEX($P$6:$Q$40,MATCH(TRIM($C193),$O$6:$O$40,0),IF(TRIM($D193)="العينان",2,1))="","",INDEX($P$6:$Q$40,MATCH(TRIM($C193),$O$6:$O$40,0),IF(TRIM($D193)="العينان",2,1))),"")</f>
        <v>650</v>
      </c>
      <c r="L193" s="277">
        <f t="shared" si="4"/>
        <v>474.5</v>
      </c>
      <c r="M193" s="277">
        <f t="shared" si="5"/>
        <v>175.5</v>
      </c>
      <c r="N193" s="216"/>
    </row>
    <row r="194" spans="1:14" ht="26" x14ac:dyDescent="0.6">
      <c r="A194" s="71">
        <v>196</v>
      </c>
      <c r="B194" s="120" t="s">
        <v>909</v>
      </c>
      <c r="C194" s="121" t="s">
        <v>145</v>
      </c>
      <c r="D194" s="156" t="s">
        <v>1759</v>
      </c>
      <c r="E194" s="121" t="s">
        <v>951</v>
      </c>
      <c r="F194" s="121" t="s">
        <v>1275</v>
      </c>
      <c r="G194" s="121">
        <v>72</v>
      </c>
      <c r="H194" s="122">
        <v>25410192400897</v>
      </c>
      <c r="I194" s="215">
        <v>46195</v>
      </c>
      <c r="J194" s="274" t="s">
        <v>1734</v>
      </c>
      <c r="K194" s="277" cm="1">
        <f t="array" ref="K194">IFERROR(IF(INDEX($P$6:$Q$40,MATCH(TRIM($C194),$O$6:$O$40,0),IF(TRIM($D194)="العينان",2,1))="","",INDEX($P$6:$Q$40,MATCH(TRIM($C194),$O$6:$O$40,0),IF(TRIM($D194)="العينان",2,1))),"")</f>
        <v>1200</v>
      </c>
      <c r="L194" s="277">
        <f t="shared" si="4"/>
        <v>876</v>
      </c>
      <c r="M194" s="277">
        <f t="shared" si="5"/>
        <v>324</v>
      </c>
      <c r="N194" s="216"/>
    </row>
    <row r="195" spans="1:14" ht="26" x14ac:dyDescent="0.6">
      <c r="A195" s="71">
        <v>197</v>
      </c>
      <c r="B195" s="120" t="s">
        <v>910</v>
      </c>
      <c r="C195" s="121" t="s">
        <v>145</v>
      </c>
      <c r="D195" s="156" t="s">
        <v>1759</v>
      </c>
      <c r="E195" s="121" t="s">
        <v>952</v>
      </c>
      <c r="F195" s="121" t="s">
        <v>1275</v>
      </c>
      <c r="G195" s="121">
        <v>63</v>
      </c>
      <c r="H195" s="122">
        <v>26308302400841</v>
      </c>
      <c r="I195" s="215">
        <v>46195</v>
      </c>
      <c r="J195" s="274" t="s">
        <v>1734</v>
      </c>
      <c r="K195" s="277" cm="1">
        <f t="array" ref="K195">IFERROR(IF(INDEX($P$6:$Q$40,MATCH(TRIM($C195),$O$6:$O$40,0),IF(TRIM($D195)="العينان",2,1))="","",INDEX($P$6:$Q$40,MATCH(TRIM($C195),$O$6:$O$40,0),IF(TRIM($D195)="العينان",2,1))),"")</f>
        <v>1200</v>
      </c>
      <c r="L195" s="277">
        <f t="shared" ref="L195:L258" si="6">IF($K195="","",$K195-$M195)</f>
        <v>876</v>
      </c>
      <c r="M195" s="277">
        <f t="shared" ref="M195:M258" si="7">IF($K195="","",$K195*IFERROR(VLOOKUP(TRIM($J195),$O$2:$P$3,2,FALSE),0))</f>
        <v>324</v>
      </c>
      <c r="N195" s="216"/>
    </row>
    <row r="196" spans="1:14" ht="26" x14ac:dyDescent="0.6">
      <c r="A196" s="71">
        <v>198</v>
      </c>
      <c r="B196" s="120" t="s">
        <v>911</v>
      </c>
      <c r="C196" s="121" t="s">
        <v>142</v>
      </c>
      <c r="D196" s="156" t="s">
        <v>1759</v>
      </c>
      <c r="E196" s="121" t="s">
        <v>953</v>
      </c>
      <c r="F196" s="121" t="s">
        <v>1275</v>
      </c>
      <c r="G196" s="121">
        <v>34</v>
      </c>
      <c r="H196" s="122">
        <v>29208262402516</v>
      </c>
      <c r="I196" s="215">
        <v>46195</v>
      </c>
      <c r="J196" s="274" t="s">
        <v>1734</v>
      </c>
      <c r="K196" s="277" cm="1">
        <f t="array" ref="K196">IFERROR(IF(INDEX($P$6:$Q$40,MATCH(TRIM($C196),$O$6:$O$40,0),IF(TRIM($D196)="العينان",2,1))="","",INDEX($P$6:$Q$40,MATCH(TRIM($C196),$O$6:$O$40,0),IF(TRIM($D196)="العينان",2,1))),"")</f>
        <v>650</v>
      </c>
      <c r="L196" s="277">
        <f t="shared" si="6"/>
        <v>474.5</v>
      </c>
      <c r="M196" s="277">
        <f t="shared" si="7"/>
        <v>175.5</v>
      </c>
      <c r="N196" s="216"/>
    </row>
    <row r="197" spans="1:14" ht="26" x14ac:dyDescent="0.6">
      <c r="A197" s="71">
        <v>199</v>
      </c>
      <c r="B197" s="120" t="s">
        <v>912</v>
      </c>
      <c r="C197" s="121" t="s">
        <v>142</v>
      </c>
      <c r="D197" s="156" t="s">
        <v>1759</v>
      </c>
      <c r="E197" s="121" t="s">
        <v>954</v>
      </c>
      <c r="F197" s="121" t="s">
        <v>1275</v>
      </c>
      <c r="G197" s="121">
        <v>70</v>
      </c>
      <c r="H197" s="122">
        <v>25611252402288</v>
      </c>
      <c r="I197" s="215">
        <v>46195</v>
      </c>
      <c r="J197" s="274" t="s">
        <v>1734</v>
      </c>
      <c r="K197" s="277" cm="1">
        <f t="array" ref="K197">IFERROR(IF(INDEX($P$6:$Q$40,MATCH(TRIM($C197),$O$6:$O$40,0),IF(TRIM($D197)="العينان",2,1))="","",INDEX($P$6:$Q$40,MATCH(TRIM($C197),$O$6:$O$40,0),IF(TRIM($D197)="العينان",2,1))),"")</f>
        <v>650</v>
      </c>
      <c r="L197" s="277">
        <f t="shared" si="6"/>
        <v>474.5</v>
      </c>
      <c r="M197" s="277">
        <f t="shared" si="7"/>
        <v>175.5</v>
      </c>
      <c r="N197" s="216"/>
    </row>
    <row r="198" spans="1:14" ht="26" x14ac:dyDescent="0.6">
      <c r="A198" s="71">
        <v>200</v>
      </c>
      <c r="B198" s="120" t="s">
        <v>913</v>
      </c>
      <c r="C198" s="121" t="s">
        <v>142</v>
      </c>
      <c r="D198" s="156" t="s">
        <v>1759</v>
      </c>
      <c r="E198" s="121">
        <v>1552100366</v>
      </c>
      <c r="F198" s="121" t="s">
        <v>1275</v>
      </c>
      <c r="G198" s="121">
        <v>17</v>
      </c>
      <c r="H198" s="122">
        <v>30904252404423</v>
      </c>
      <c r="I198" s="215">
        <v>46198</v>
      </c>
      <c r="J198" s="274" t="s">
        <v>1734</v>
      </c>
      <c r="K198" s="277" cm="1">
        <f t="array" ref="K198">IFERROR(IF(INDEX($P$6:$Q$40,MATCH(TRIM($C198),$O$6:$O$40,0),IF(TRIM($D198)="العينان",2,1))="","",INDEX($P$6:$Q$40,MATCH(TRIM($C198),$O$6:$O$40,0),IF(TRIM($D198)="العينان",2,1))),"")</f>
        <v>650</v>
      </c>
      <c r="L198" s="277">
        <f t="shared" si="6"/>
        <v>474.5</v>
      </c>
      <c r="M198" s="277">
        <f t="shared" si="7"/>
        <v>175.5</v>
      </c>
      <c r="N198" s="216"/>
    </row>
    <row r="199" spans="1:14" ht="26" x14ac:dyDescent="0.6">
      <c r="A199" s="71">
        <v>201</v>
      </c>
      <c r="B199" s="120" t="s">
        <v>914</v>
      </c>
      <c r="C199" s="121" t="s">
        <v>142</v>
      </c>
      <c r="D199" s="156" t="s">
        <v>1759</v>
      </c>
      <c r="E199" s="121" t="s">
        <v>955</v>
      </c>
      <c r="F199" s="121" t="s">
        <v>1275</v>
      </c>
      <c r="G199" s="121">
        <v>71</v>
      </c>
      <c r="H199" s="122">
        <v>25502052401992</v>
      </c>
      <c r="I199" s="215">
        <v>46198</v>
      </c>
      <c r="J199" s="274" t="s">
        <v>1734</v>
      </c>
      <c r="K199" s="277" cm="1">
        <f t="array" ref="K199">IFERROR(IF(INDEX($P$6:$Q$40,MATCH(TRIM($C199),$O$6:$O$40,0),IF(TRIM($D199)="العينان",2,1))="","",INDEX($P$6:$Q$40,MATCH(TRIM($C199),$O$6:$O$40,0),IF(TRIM($D199)="العينان",2,1))),"")</f>
        <v>650</v>
      </c>
      <c r="L199" s="277">
        <f t="shared" si="6"/>
        <v>474.5</v>
      </c>
      <c r="M199" s="277">
        <f t="shared" si="7"/>
        <v>175.5</v>
      </c>
      <c r="N199" s="216"/>
    </row>
    <row r="200" spans="1:14" ht="26" x14ac:dyDescent="0.6">
      <c r="A200" s="71">
        <v>202</v>
      </c>
      <c r="B200" s="120" t="s">
        <v>915</v>
      </c>
      <c r="C200" s="121" t="s">
        <v>142</v>
      </c>
      <c r="D200" s="156" t="s">
        <v>1758</v>
      </c>
      <c r="E200" s="121" t="s">
        <v>866</v>
      </c>
      <c r="F200" s="121" t="s">
        <v>1275</v>
      </c>
      <c r="G200" s="121">
        <v>62</v>
      </c>
      <c r="H200" s="122">
        <v>26403022401195</v>
      </c>
      <c r="I200" s="215">
        <v>46198</v>
      </c>
      <c r="J200" s="274" t="s">
        <v>1734</v>
      </c>
      <c r="K200" s="277" cm="1">
        <f t="array" ref="K200">IFERROR(IF(INDEX($P$6:$Q$40,MATCH(TRIM($C200),$O$6:$O$40,0),IF(TRIM($D200)="العينان",2,1))="","",INDEX($P$6:$Q$40,MATCH(TRIM($C200),$O$6:$O$40,0),IF(TRIM($D200)="العينان",2,1))),"")</f>
        <v>400</v>
      </c>
      <c r="L200" s="277">
        <f t="shared" si="6"/>
        <v>292</v>
      </c>
      <c r="M200" s="277">
        <f t="shared" si="7"/>
        <v>108</v>
      </c>
      <c r="N200" s="216"/>
    </row>
    <row r="201" spans="1:14" ht="26" x14ac:dyDescent="0.6">
      <c r="A201" s="71">
        <v>203</v>
      </c>
      <c r="B201" s="120" t="s">
        <v>916</v>
      </c>
      <c r="C201" s="121" t="s">
        <v>142</v>
      </c>
      <c r="D201" s="156" t="s">
        <v>1759</v>
      </c>
      <c r="E201" s="121" t="s">
        <v>956</v>
      </c>
      <c r="F201" s="121" t="s">
        <v>1275</v>
      </c>
      <c r="G201" s="121">
        <v>11</v>
      </c>
      <c r="H201" s="122">
        <v>31501052405766</v>
      </c>
      <c r="I201" s="215">
        <v>46198</v>
      </c>
      <c r="J201" s="274" t="s">
        <v>1734</v>
      </c>
      <c r="K201" s="277" cm="1">
        <f t="array" ref="K201">IFERROR(IF(INDEX($P$6:$Q$40,MATCH(TRIM($C201),$O$6:$O$40,0),IF(TRIM($D201)="العينان",2,1))="","",INDEX($P$6:$Q$40,MATCH(TRIM($C201),$O$6:$O$40,0),IF(TRIM($D201)="العينان",2,1))),"")</f>
        <v>650</v>
      </c>
      <c r="L201" s="277">
        <f t="shared" si="6"/>
        <v>474.5</v>
      </c>
      <c r="M201" s="277">
        <f t="shared" si="7"/>
        <v>175.5</v>
      </c>
      <c r="N201" s="216"/>
    </row>
    <row r="202" spans="1:14" ht="26" x14ac:dyDescent="0.6">
      <c r="A202" s="71">
        <v>204</v>
      </c>
      <c r="B202" s="120" t="s">
        <v>917</v>
      </c>
      <c r="C202" s="121" t="s">
        <v>142</v>
      </c>
      <c r="D202" s="156" t="s">
        <v>1759</v>
      </c>
      <c r="E202" s="121" t="s">
        <v>957</v>
      </c>
      <c r="F202" s="121" t="s">
        <v>1275</v>
      </c>
      <c r="G202" s="121">
        <v>57</v>
      </c>
      <c r="H202" s="122">
        <v>26911052401918</v>
      </c>
      <c r="I202" s="215">
        <v>46198</v>
      </c>
      <c r="J202" s="274" t="s">
        <v>1734</v>
      </c>
      <c r="K202" s="277" cm="1">
        <f t="array" ref="K202">IFERROR(IF(INDEX($P$6:$Q$40,MATCH(TRIM($C202),$O$6:$O$40,0),IF(TRIM($D202)="العينان",2,1))="","",INDEX($P$6:$Q$40,MATCH(TRIM($C202),$O$6:$O$40,0),IF(TRIM($D202)="العينان",2,1))),"")</f>
        <v>650</v>
      </c>
      <c r="L202" s="277">
        <f t="shared" si="6"/>
        <v>474.5</v>
      </c>
      <c r="M202" s="277">
        <f t="shared" si="7"/>
        <v>175.5</v>
      </c>
      <c r="N202" s="216"/>
    </row>
    <row r="203" spans="1:14" ht="26" x14ac:dyDescent="0.6">
      <c r="A203" s="71">
        <v>205</v>
      </c>
      <c r="B203" s="120" t="s">
        <v>918</v>
      </c>
      <c r="C203" s="121" t="s">
        <v>142</v>
      </c>
      <c r="D203" s="156" t="s">
        <v>1759</v>
      </c>
      <c r="E203" s="121">
        <v>1147899540</v>
      </c>
      <c r="F203" s="121" t="s">
        <v>1275</v>
      </c>
      <c r="G203" s="121">
        <v>77</v>
      </c>
      <c r="H203" s="122">
        <v>24901232400534</v>
      </c>
      <c r="I203" s="215">
        <v>46198</v>
      </c>
      <c r="J203" s="274" t="s">
        <v>1734</v>
      </c>
      <c r="K203" s="277" cm="1">
        <f t="array" ref="K203">IFERROR(IF(INDEX($P$6:$Q$40,MATCH(TRIM($C203),$O$6:$O$40,0),IF(TRIM($D203)="العينان",2,1))="","",INDEX($P$6:$Q$40,MATCH(TRIM($C203),$O$6:$O$40,0),IF(TRIM($D203)="العينان",2,1))),"")</f>
        <v>650</v>
      </c>
      <c r="L203" s="277">
        <f t="shared" si="6"/>
        <v>474.5</v>
      </c>
      <c r="M203" s="277">
        <f t="shared" si="7"/>
        <v>175.5</v>
      </c>
      <c r="N203" s="216"/>
    </row>
    <row r="204" spans="1:14" ht="26" x14ac:dyDescent="0.6">
      <c r="A204" s="71">
        <v>206</v>
      </c>
      <c r="B204" s="120" t="s">
        <v>919</v>
      </c>
      <c r="C204" s="121" t="s">
        <v>142</v>
      </c>
      <c r="D204" s="156" t="s">
        <v>1759</v>
      </c>
      <c r="E204" s="121" t="s">
        <v>958</v>
      </c>
      <c r="F204" s="121" t="s">
        <v>1275</v>
      </c>
      <c r="G204" s="121">
        <v>39</v>
      </c>
      <c r="H204" s="122">
        <v>28705062401965</v>
      </c>
      <c r="I204" s="215">
        <v>46198</v>
      </c>
      <c r="J204" s="274" t="s">
        <v>1734</v>
      </c>
      <c r="K204" s="277" cm="1">
        <f t="array" ref="K204">IFERROR(IF(INDEX($P$6:$Q$40,MATCH(TRIM($C204),$O$6:$O$40,0),IF(TRIM($D204)="العينان",2,1))="","",INDEX($P$6:$Q$40,MATCH(TRIM($C204),$O$6:$O$40,0),IF(TRIM($D204)="العينان",2,1))),"")</f>
        <v>650</v>
      </c>
      <c r="L204" s="277">
        <f t="shared" si="6"/>
        <v>474.5</v>
      </c>
      <c r="M204" s="277">
        <f t="shared" si="7"/>
        <v>175.5</v>
      </c>
      <c r="N204" s="216"/>
    </row>
    <row r="205" spans="1:14" ht="26" x14ac:dyDescent="0.6">
      <c r="A205" s="71">
        <v>207</v>
      </c>
      <c r="B205" s="120" t="s">
        <v>920</v>
      </c>
      <c r="C205" s="121" t="s">
        <v>1783</v>
      </c>
      <c r="D205" s="156" t="s">
        <v>1759</v>
      </c>
      <c r="E205" s="121" t="s">
        <v>959</v>
      </c>
      <c r="F205" s="121" t="s">
        <v>1275</v>
      </c>
      <c r="G205" s="121">
        <v>59</v>
      </c>
      <c r="H205" s="122">
        <v>26911092401481</v>
      </c>
      <c r="I205" s="215">
        <v>46198</v>
      </c>
      <c r="J205" s="274" t="s">
        <v>1734</v>
      </c>
      <c r="K205" s="277" cm="1">
        <f t="array" ref="K205">IFERROR(IF(INDEX($P$6:$Q$40,MATCH(TRIM($C205),$O$6:$O$40,0),IF(TRIM($D205)="العينان",2,1))="","",INDEX($P$6:$Q$40,MATCH(TRIM($C205),$O$6:$O$40,0),IF(TRIM($D205)="العينان",2,1))),"")</f>
        <v>1200</v>
      </c>
      <c r="L205" s="277">
        <f t="shared" si="6"/>
        <v>876</v>
      </c>
      <c r="M205" s="277">
        <f t="shared" si="7"/>
        <v>324</v>
      </c>
      <c r="N205" s="216"/>
    </row>
    <row r="206" spans="1:14" ht="26" x14ac:dyDescent="0.6">
      <c r="A206" s="71">
        <v>208</v>
      </c>
      <c r="B206" s="120" t="s">
        <v>921</v>
      </c>
      <c r="C206" s="121" t="s">
        <v>142</v>
      </c>
      <c r="D206" s="156" t="s">
        <v>1759</v>
      </c>
      <c r="E206" s="121" t="s">
        <v>960</v>
      </c>
      <c r="F206" s="121" t="s">
        <v>1275</v>
      </c>
      <c r="G206" s="121">
        <v>83</v>
      </c>
      <c r="H206" s="122">
        <v>24305242400697</v>
      </c>
      <c r="I206" s="215">
        <v>46198</v>
      </c>
      <c r="J206" s="274" t="s">
        <v>1734</v>
      </c>
      <c r="K206" s="277" cm="1">
        <f t="array" ref="K206">IFERROR(IF(INDEX($P$6:$Q$40,MATCH(TRIM($C206),$O$6:$O$40,0),IF(TRIM($D206)="العينان",2,1))="","",INDEX($P$6:$Q$40,MATCH(TRIM($C206),$O$6:$O$40,0),IF(TRIM($D206)="العينان",2,1))),"")</f>
        <v>650</v>
      </c>
      <c r="L206" s="277">
        <f t="shared" si="6"/>
        <v>474.5</v>
      </c>
      <c r="M206" s="277">
        <f t="shared" si="7"/>
        <v>175.5</v>
      </c>
      <c r="N206" s="216"/>
    </row>
    <row r="207" spans="1:14" ht="26" x14ac:dyDescent="0.6">
      <c r="A207" s="71">
        <v>209</v>
      </c>
      <c r="B207" s="120" t="s">
        <v>922</v>
      </c>
      <c r="C207" s="121" t="s">
        <v>145</v>
      </c>
      <c r="D207" s="156" t="s">
        <v>1759</v>
      </c>
      <c r="E207" s="121" t="s">
        <v>961</v>
      </c>
      <c r="F207" s="121" t="s">
        <v>212</v>
      </c>
      <c r="G207" s="121">
        <v>29</v>
      </c>
      <c r="H207" s="122">
        <v>29704102400963</v>
      </c>
      <c r="I207" s="215">
        <v>46198</v>
      </c>
      <c r="J207" s="274" t="s">
        <v>1734</v>
      </c>
      <c r="K207" s="277" cm="1">
        <f t="array" ref="K207">IFERROR(IF(INDEX($P$6:$Q$40,MATCH(TRIM($C207),$O$6:$O$40,0),IF(TRIM($D207)="العينان",2,1))="","",INDEX($P$6:$Q$40,MATCH(TRIM($C207),$O$6:$O$40,0),IF(TRIM($D207)="العينان",2,1))),"")</f>
        <v>1200</v>
      </c>
      <c r="L207" s="277">
        <f t="shared" si="6"/>
        <v>876</v>
      </c>
      <c r="M207" s="277">
        <f t="shared" si="7"/>
        <v>324</v>
      </c>
      <c r="N207" s="216"/>
    </row>
    <row r="208" spans="1:14" ht="26" x14ac:dyDescent="0.6">
      <c r="A208" s="71">
        <v>210</v>
      </c>
      <c r="B208" s="120" t="s">
        <v>923</v>
      </c>
      <c r="C208" s="121" t="s">
        <v>145</v>
      </c>
      <c r="D208" s="156" t="s">
        <v>1759</v>
      </c>
      <c r="E208" s="121" t="s">
        <v>962</v>
      </c>
      <c r="F208" s="121"/>
      <c r="G208" s="121">
        <v>59</v>
      </c>
      <c r="H208" s="122">
        <v>26709092401585</v>
      </c>
      <c r="I208" s="215">
        <v>46200</v>
      </c>
      <c r="J208" s="274" t="s">
        <v>1733</v>
      </c>
      <c r="K208" s="277" cm="1">
        <f t="array" ref="K208">IFERROR(IF(INDEX($P$6:$Q$40,MATCH(TRIM($C208),$O$6:$O$40,0),IF(TRIM($D208)="العينان",2,1))="","",INDEX($P$6:$Q$40,MATCH(TRIM($C208),$O$6:$O$40,0),IF(TRIM($D208)="العينان",2,1))),"")</f>
        <v>1200</v>
      </c>
      <c r="L208" s="277">
        <f t="shared" si="6"/>
        <v>900</v>
      </c>
      <c r="M208" s="277">
        <f t="shared" si="7"/>
        <v>300</v>
      </c>
      <c r="N208" s="216"/>
    </row>
    <row r="209" spans="1:14" ht="26.25" customHeight="1" x14ac:dyDescent="0.6">
      <c r="A209" s="71">
        <v>211</v>
      </c>
      <c r="B209" s="120" t="s">
        <v>924</v>
      </c>
      <c r="C209" s="127" t="s">
        <v>1799</v>
      </c>
      <c r="D209" s="160" t="s">
        <v>1759</v>
      </c>
      <c r="E209" s="121" t="s">
        <v>963</v>
      </c>
      <c r="F209" s="121" t="s">
        <v>212</v>
      </c>
      <c r="G209" s="121">
        <v>62</v>
      </c>
      <c r="H209" s="122">
        <v>26411122401977</v>
      </c>
      <c r="I209" s="215">
        <v>46200</v>
      </c>
      <c r="J209" s="274" t="s">
        <v>1733</v>
      </c>
      <c r="K209" s="277">
        <v>1200</v>
      </c>
      <c r="L209" s="277">
        <f t="shared" si="6"/>
        <v>900</v>
      </c>
      <c r="M209" s="277">
        <f t="shared" si="7"/>
        <v>300</v>
      </c>
      <c r="N209" s="216"/>
    </row>
    <row r="210" spans="1:14" ht="26" x14ac:dyDescent="0.6">
      <c r="A210" s="71">
        <v>212</v>
      </c>
      <c r="B210" s="120" t="s">
        <v>925</v>
      </c>
      <c r="C210" s="121" t="s">
        <v>1783</v>
      </c>
      <c r="D210" s="156" t="s">
        <v>1759</v>
      </c>
      <c r="E210" s="121" t="s">
        <v>964</v>
      </c>
      <c r="F210" s="121" t="s">
        <v>212</v>
      </c>
      <c r="G210" s="121">
        <v>55</v>
      </c>
      <c r="H210" s="122">
        <v>27104152401754</v>
      </c>
      <c r="I210" s="215">
        <v>46200</v>
      </c>
      <c r="J210" s="274" t="s">
        <v>1733</v>
      </c>
      <c r="K210" s="277" cm="1">
        <f t="array" ref="K210">IFERROR(IF(INDEX($P$6:$Q$40,MATCH(TRIM($C210),$O$6:$O$40,0),IF(TRIM($D210)="العينان",2,1))="","",INDEX($P$6:$Q$40,MATCH(TRIM($C210),$O$6:$O$40,0),IF(TRIM($D210)="العينان",2,1))),"")</f>
        <v>1200</v>
      </c>
      <c r="L210" s="277">
        <f t="shared" si="6"/>
        <v>900</v>
      </c>
      <c r="M210" s="277">
        <f t="shared" si="7"/>
        <v>300</v>
      </c>
      <c r="N210" s="216"/>
    </row>
    <row r="211" spans="1:14" ht="26" x14ac:dyDescent="0.6">
      <c r="A211" s="71">
        <v>213</v>
      </c>
      <c r="B211" s="120" t="s">
        <v>819</v>
      </c>
      <c r="C211" s="121" t="s">
        <v>142</v>
      </c>
      <c r="D211" s="156" t="s">
        <v>1759</v>
      </c>
      <c r="E211" s="121" t="s">
        <v>867</v>
      </c>
      <c r="F211" s="121" t="s">
        <v>212</v>
      </c>
      <c r="G211" s="121">
        <v>58</v>
      </c>
      <c r="H211" s="122">
        <v>26804042401773</v>
      </c>
      <c r="I211" s="215">
        <v>46200</v>
      </c>
      <c r="J211" s="274" t="s">
        <v>1733</v>
      </c>
      <c r="K211" s="277" cm="1">
        <f t="array" ref="K211">IFERROR(IF(INDEX($P$6:$Q$40,MATCH(TRIM($C211),$O$6:$O$40,0),IF(TRIM($D211)="العينان",2,1))="","",INDEX($P$6:$Q$40,MATCH(TRIM($C211),$O$6:$O$40,0),IF(TRIM($D211)="العينان",2,1))),"")</f>
        <v>650</v>
      </c>
      <c r="L211" s="277">
        <f t="shared" si="6"/>
        <v>487.5</v>
      </c>
      <c r="M211" s="277">
        <f t="shared" si="7"/>
        <v>162.5</v>
      </c>
      <c r="N211" s="216"/>
    </row>
    <row r="212" spans="1:14" ht="26" x14ac:dyDescent="0.6">
      <c r="A212" s="71">
        <v>214</v>
      </c>
      <c r="B212" s="120" t="s">
        <v>826</v>
      </c>
      <c r="C212" s="121" t="s">
        <v>142</v>
      </c>
      <c r="D212" s="156" t="s">
        <v>1759</v>
      </c>
      <c r="E212" s="121" t="s">
        <v>874</v>
      </c>
      <c r="F212" s="121" t="s">
        <v>212</v>
      </c>
      <c r="G212" s="121">
        <v>10</v>
      </c>
      <c r="H212" s="122">
        <v>31607302402981</v>
      </c>
      <c r="I212" s="215">
        <v>46200</v>
      </c>
      <c r="J212" s="274" t="s">
        <v>1733</v>
      </c>
      <c r="K212" s="277" cm="1">
        <f t="array" ref="K212">IFERROR(IF(INDEX($P$6:$Q$40,MATCH(TRIM($C212),$O$6:$O$40,0),IF(TRIM($D212)="العينان",2,1))="","",INDEX($P$6:$Q$40,MATCH(TRIM($C212),$O$6:$O$40,0),IF(TRIM($D212)="العينان",2,1))),"")</f>
        <v>650</v>
      </c>
      <c r="L212" s="277">
        <f t="shared" si="6"/>
        <v>487.5</v>
      </c>
      <c r="M212" s="277">
        <f t="shared" si="7"/>
        <v>162.5</v>
      </c>
      <c r="N212" s="216"/>
    </row>
    <row r="213" spans="1:14" ht="26" x14ac:dyDescent="0.6">
      <c r="A213" s="71">
        <v>215</v>
      </c>
      <c r="B213" s="120" t="s">
        <v>843</v>
      </c>
      <c r="C213" s="121" t="s">
        <v>142</v>
      </c>
      <c r="D213" s="156" t="s">
        <v>1757</v>
      </c>
      <c r="E213" s="121" t="s">
        <v>891</v>
      </c>
      <c r="F213" s="121" t="s">
        <v>212</v>
      </c>
      <c r="G213" s="121">
        <v>63</v>
      </c>
      <c r="H213" s="122">
        <v>26308062401152</v>
      </c>
      <c r="I213" s="215">
        <v>46200</v>
      </c>
      <c r="J213" s="274" t="s">
        <v>1733</v>
      </c>
      <c r="K213" s="277" cm="1">
        <f t="array" ref="K213">IFERROR(IF(INDEX($P$6:$Q$40,MATCH(TRIM($C213),$O$6:$O$40,0),IF(TRIM($D213)="العينان",2,1))="","",INDEX($P$6:$Q$40,MATCH(TRIM($C213),$O$6:$O$40,0),IF(TRIM($D213)="العينان",2,1))),"")</f>
        <v>400</v>
      </c>
      <c r="L213" s="277">
        <f t="shared" si="6"/>
        <v>300</v>
      </c>
      <c r="M213" s="277">
        <f t="shared" si="7"/>
        <v>100</v>
      </c>
      <c r="N213" s="216"/>
    </row>
    <row r="214" spans="1:14" ht="26" x14ac:dyDescent="0.6">
      <c r="A214" s="71">
        <v>216</v>
      </c>
      <c r="B214" s="120" t="s">
        <v>926</v>
      </c>
      <c r="C214" s="121" t="s">
        <v>142</v>
      </c>
      <c r="D214" s="156" t="s">
        <v>1759</v>
      </c>
      <c r="E214" s="121" t="s">
        <v>965</v>
      </c>
      <c r="F214" s="121" t="s">
        <v>212</v>
      </c>
      <c r="G214" s="121">
        <v>51</v>
      </c>
      <c r="H214" s="122">
        <v>27507232401957</v>
      </c>
      <c r="I214" s="215">
        <v>46200</v>
      </c>
      <c r="J214" s="274" t="s">
        <v>1733</v>
      </c>
      <c r="K214" s="277" cm="1">
        <f t="array" ref="K214">IFERROR(IF(INDEX($P$6:$Q$40,MATCH(TRIM($C214),$O$6:$O$40,0),IF(TRIM($D214)="العينان",2,1))="","",INDEX($P$6:$Q$40,MATCH(TRIM($C214),$O$6:$O$40,0),IF(TRIM($D214)="العينان",2,1))),"")</f>
        <v>650</v>
      </c>
      <c r="L214" s="277">
        <f t="shared" si="6"/>
        <v>487.5</v>
      </c>
      <c r="M214" s="277">
        <f t="shared" si="7"/>
        <v>162.5</v>
      </c>
      <c r="N214" s="216"/>
    </row>
    <row r="215" spans="1:14" ht="26" x14ac:dyDescent="0.6">
      <c r="A215" s="71">
        <v>217</v>
      </c>
      <c r="B215" s="120" t="s">
        <v>927</v>
      </c>
      <c r="C215" s="121" t="s">
        <v>145</v>
      </c>
      <c r="D215" s="156" t="s">
        <v>1759</v>
      </c>
      <c r="E215" s="121" t="s">
        <v>966</v>
      </c>
      <c r="F215" s="121" t="s">
        <v>212</v>
      </c>
      <c r="G215" s="121">
        <v>72</v>
      </c>
      <c r="H215" s="122">
        <v>25201162413694</v>
      </c>
      <c r="I215" s="215">
        <v>46200</v>
      </c>
      <c r="J215" s="274" t="s">
        <v>1733</v>
      </c>
      <c r="K215" s="277" cm="1">
        <f t="array" ref="K215">IFERROR(IF(INDEX($P$6:$Q$40,MATCH(TRIM($C215),$O$6:$O$40,0),IF(TRIM($D215)="العينان",2,1))="","",INDEX($P$6:$Q$40,MATCH(TRIM($C215),$O$6:$O$40,0),IF(TRIM($D215)="العينان",2,1))),"")</f>
        <v>1200</v>
      </c>
      <c r="L215" s="277">
        <f t="shared" si="6"/>
        <v>900</v>
      </c>
      <c r="M215" s="277">
        <f t="shared" si="7"/>
        <v>300</v>
      </c>
      <c r="N215" s="216"/>
    </row>
    <row r="216" spans="1:14" ht="26" x14ac:dyDescent="0.6">
      <c r="A216" s="71">
        <v>218</v>
      </c>
      <c r="B216" s="120" t="s">
        <v>928</v>
      </c>
      <c r="C216" s="121" t="s">
        <v>1800</v>
      </c>
      <c r="D216" s="156" t="s">
        <v>1759</v>
      </c>
      <c r="E216" s="121" t="s">
        <v>967</v>
      </c>
      <c r="F216" s="121" t="s">
        <v>212</v>
      </c>
      <c r="G216" s="121">
        <v>69</v>
      </c>
      <c r="H216" s="122">
        <v>25705082402193</v>
      </c>
      <c r="I216" s="215">
        <v>46200</v>
      </c>
      <c r="J216" s="274" t="s">
        <v>1733</v>
      </c>
      <c r="K216" s="277" cm="1">
        <f t="array" ref="K216">IFERROR(IF(INDEX($P$6:$Q$40,MATCH(TRIM($C216),$O$6:$O$40,0),IF(TRIM($D216)="العينان",2,1))="","",INDEX($P$6:$Q$40,MATCH(TRIM($C216),$O$6:$O$40,0),IF(TRIM($D216)="العينان",2,1))),"")</f>
        <v>1200</v>
      </c>
      <c r="L216" s="277">
        <f t="shared" si="6"/>
        <v>900</v>
      </c>
      <c r="M216" s="277">
        <f t="shared" si="7"/>
        <v>300</v>
      </c>
      <c r="N216" s="216"/>
    </row>
    <row r="217" spans="1:14" ht="26" x14ac:dyDescent="0.6">
      <c r="A217" s="71">
        <v>219</v>
      </c>
      <c r="B217" s="120" t="s">
        <v>929</v>
      </c>
      <c r="C217" s="121" t="s">
        <v>1798</v>
      </c>
      <c r="D217" s="156" t="s">
        <v>1758</v>
      </c>
      <c r="E217" s="121" t="s">
        <v>968</v>
      </c>
      <c r="F217" s="121" t="s">
        <v>212</v>
      </c>
      <c r="G217" s="121">
        <v>60</v>
      </c>
      <c r="H217" s="122">
        <v>26606022401177</v>
      </c>
      <c r="I217" s="215">
        <v>46200</v>
      </c>
      <c r="J217" s="274" t="s">
        <v>1733</v>
      </c>
      <c r="K217" s="277">
        <v>400</v>
      </c>
      <c r="L217" s="277">
        <f t="shared" si="6"/>
        <v>300</v>
      </c>
      <c r="M217" s="277">
        <f t="shared" si="7"/>
        <v>100</v>
      </c>
      <c r="N217" s="216"/>
    </row>
    <row r="218" spans="1:14" ht="26" x14ac:dyDescent="0.6">
      <c r="A218" s="71">
        <v>221</v>
      </c>
      <c r="B218" s="120" t="s">
        <v>930</v>
      </c>
      <c r="C218" s="121" t="s">
        <v>142</v>
      </c>
      <c r="D218" s="156" t="s">
        <v>1759</v>
      </c>
      <c r="E218" s="121" t="s">
        <v>969</v>
      </c>
      <c r="F218" s="121" t="s">
        <v>212</v>
      </c>
      <c r="G218" s="121">
        <v>73</v>
      </c>
      <c r="H218" s="122">
        <v>25311292401175</v>
      </c>
      <c r="I218" s="215">
        <v>46200</v>
      </c>
      <c r="J218" s="274" t="s">
        <v>1733</v>
      </c>
      <c r="K218" s="277" cm="1">
        <f t="array" ref="K218">IFERROR(IF(INDEX($P$6:$Q$40,MATCH(TRIM($C218),$O$6:$O$40,0),IF(TRIM($D218)="العينان",2,1))="","",INDEX($P$6:$Q$40,MATCH(TRIM($C218),$O$6:$O$40,0),IF(TRIM($D218)="العينان",2,1))),"")</f>
        <v>650</v>
      </c>
      <c r="L218" s="277">
        <f t="shared" si="6"/>
        <v>487.5</v>
      </c>
      <c r="M218" s="277">
        <f t="shared" si="7"/>
        <v>162.5</v>
      </c>
      <c r="N218" s="216"/>
    </row>
    <row r="219" spans="1:14" ht="26" x14ac:dyDescent="0.6">
      <c r="A219" s="71">
        <v>222</v>
      </c>
      <c r="B219" s="120" t="s">
        <v>931</v>
      </c>
      <c r="C219" s="121" t="s">
        <v>142</v>
      </c>
      <c r="D219" s="156" t="s">
        <v>1757</v>
      </c>
      <c r="E219" s="121" t="s">
        <v>970</v>
      </c>
      <c r="F219" s="121" t="s">
        <v>212</v>
      </c>
      <c r="G219" s="121">
        <v>66</v>
      </c>
      <c r="H219" s="122">
        <v>26012142401653</v>
      </c>
      <c r="I219" s="215">
        <v>46202</v>
      </c>
      <c r="J219" s="274" t="s">
        <v>1734</v>
      </c>
      <c r="K219" s="277" cm="1">
        <f t="array" ref="K219">IFERROR(IF(INDEX($P$6:$Q$40,MATCH(TRIM($C219),$O$6:$O$40,0),IF(TRIM($D219)="العينان",2,1))="","",INDEX($P$6:$Q$40,MATCH(TRIM($C219),$O$6:$O$40,0),IF(TRIM($D219)="العينان",2,1))),"")</f>
        <v>400</v>
      </c>
      <c r="L219" s="277">
        <f t="shared" si="6"/>
        <v>292</v>
      </c>
      <c r="M219" s="277">
        <f t="shared" si="7"/>
        <v>108</v>
      </c>
      <c r="N219" s="216"/>
    </row>
    <row r="220" spans="1:14" ht="26" x14ac:dyDescent="0.6">
      <c r="A220" s="71">
        <v>223</v>
      </c>
      <c r="B220" s="120" t="s">
        <v>932</v>
      </c>
      <c r="C220" s="121" t="s">
        <v>142</v>
      </c>
      <c r="D220" s="156" t="s">
        <v>1759</v>
      </c>
      <c r="E220" s="121" t="s">
        <v>971</v>
      </c>
      <c r="F220" s="121" t="s">
        <v>212</v>
      </c>
      <c r="G220" s="121">
        <v>42</v>
      </c>
      <c r="H220" s="122">
        <v>28206022401931</v>
      </c>
      <c r="I220" s="215">
        <v>46202</v>
      </c>
      <c r="J220" s="274" t="s">
        <v>1734</v>
      </c>
      <c r="K220" s="277" cm="1">
        <f t="array" ref="K220">IFERROR(IF(INDEX($P$6:$Q$40,MATCH(TRIM($C220),$O$6:$O$40,0),IF(TRIM($D220)="العينان",2,1))="","",INDEX($P$6:$Q$40,MATCH(TRIM($C220),$O$6:$O$40,0),IF(TRIM($D220)="العينان",2,1))),"")</f>
        <v>650</v>
      </c>
      <c r="L220" s="277">
        <f t="shared" si="6"/>
        <v>474.5</v>
      </c>
      <c r="M220" s="277">
        <f t="shared" si="7"/>
        <v>175.5</v>
      </c>
      <c r="N220" s="216"/>
    </row>
    <row r="221" spans="1:14" ht="26" x14ac:dyDescent="0.6">
      <c r="A221" s="71">
        <v>224</v>
      </c>
      <c r="B221" s="120" t="s">
        <v>933</v>
      </c>
      <c r="C221" s="121" t="s">
        <v>145</v>
      </c>
      <c r="D221" s="156" t="s">
        <v>1759</v>
      </c>
      <c r="E221" s="121" t="s">
        <v>972</v>
      </c>
      <c r="F221" s="121" t="s">
        <v>212</v>
      </c>
      <c r="G221" s="121">
        <v>70</v>
      </c>
      <c r="H221" s="122">
        <v>25609172401103</v>
      </c>
      <c r="I221" s="215">
        <v>46202</v>
      </c>
      <c r="J221" s="274" t="s">
        <v>1734</v>
      </c>
      <c r="K221" s="277" cm="1">
        <f t="array" ref="K221">IFERROR(IF(INDEX($P$6:$Q$40,MATCH(TRIM($C221),$O$6:$O$40,0),IF(TRIM($D221)="العينان",2,1))="","",INDEX($P$6:$Q$40,MATCH(TRIM($C221),$O$6:$O$40,0),IF(TRIM($D221)="العينان",2,1))),"")</f>
        <v>1200</v>
      </c>
      <c r="L221" s="277">
        <f t="shared" si="6"/>
        <v>876</v>
      </c>
      <c r="M221" s="277">
        <f t="shared" si="7"/>
        <v>324</v>
      </c>
      <c r="N221" s="216"/>
    </row>
    <row r="222" spans="1:14" ht="26" x14ac:dyDescent="0.6">
      <c r="A222" s="71">
        <v>225</v>
      </c>
      <c r="B222" s="120" t="s">
        <v>934</v>
      </c>
      <c r="C222" s="121" t="s">
        <v>145</v>
      </c>
      <c r="D222" s="156" t="s">
        <v>1759</v>
      </c>
      <c r="E222" s="121" t="s">
        <v>973</v>
      </c>
      <c r="F222" s="121" t="s">
        <v>212</v>
      </c>
      <c r="G222" s="121">
        <v>60</v>
      </c>
      <c r="H222" s="122">
        <v>26602012402919</v>
      </c>
      <c r="I222" s="215">
        <v>46202</v>
      </c>
      <c r="J222" s="274" t="s">
        <v>1734</v>
      </c>
      <c r="K222" s="277" cm="1">
        <f t="array" ref="K222">IFERROR(IF(INDEX($P$6:$Q$40,MATCH(TRIM($C222),$O$6:$O$40,0),IF(TRIM($D222)="العينان",2,1))="","",INDEX($P$6:$Q$40,MATCH(TRIM($C222),$O$6:$O$40,0),IF(TRIM($D222)="العينان",2,1))),"")</f>
        <v>1200</v>
      </c>
      <c r="L222" s="277">
        <f t="shared" si="6"/>
        <v>876</v>
      </c>
      <c r="M222" s="277">
        <f t="shared" si="7"/>
        <v>324</v>
      </c>
      <c r="N222" s="216"/>
    </row>
    <row r="223" spans="1:14" ht="26" x14ac:dyDescent="0.6">
      <c r="A223" s="71">
        <v>226</v>
      </c>
      <c r="B223" s="120" t="s">
        <v>935</v>
      </c>
      <c r="C223" s="121" t="s">
        <v>142</v>
      </c>
      <c r="D223" s="156" t="s">
        <v>1759</v>
      </c>
      <c r="E223" s="121" t="s">
        <v>974</v>
      </c>
      <c r="F223" s="121" t="s">
        <v>212</v>
      </c>
      <c r="G223" s="121">
        <v>67</v>
      </c>
      <c r="H223" s="122">
        <v>25907142200414</v>
      </c>
      <c r="I223" s="215">
        <v>46202</v>
      </c>
      <c r="J223" s="274" t="s">
        <v>1734</v>
      </c>
      <c r="K223" s="277" cm="1">
        <f t="array" ref="K223">IFERROR(IF(INDEX($P$6:$Q$40,MATCH(TRIM($C223),$O$6:$O$40,0),IF(TRIM($D223)="العينان",2,1))="","",INDEX($P$6:$Q$40,MATCH(TRIM($C223),$O$6:$O$40,0),IF(TRIM($D223)="العينان",2,1))),"")</f>
        <v>650</v>
      </c>
      <c r="L223" s="277">
        <f t="shared" si="6"/>
        <v>474.5</v>
      </c>
      <c r="M223" s="277">
        <f t="shared" si="7"/>
        <v>175.5</v>
      </c>
      <c r="N223" s="216"/>
    </row>
    <row r="224" spans="1:14" ht="26" x14ac:dyDescent="0.6">
      <c r="A224" s="71">
        <v>227</v>
      </c>
      <c r="B224" s="120" t="s">
        <v>936</v>
      </c>
      <c r="C224" s="121" t="s">
        <v>150</v>
      </c>
      <c r="D224" s="156" t="s">
        <v>1759</v>
      </c>
      <c r="E224" s="121" t="s">
        <v>975</v>
      </c>
      <c r="F224" s="121" t="s">
        <v>212</v>
      </c>
      <c r="G224" s="121">
        <v>58</v>
      </c>
      <c r="H224" s="122">
        <v>26809242401613</v>
      </c>
      <c r="I224" s="215">
        <v>46202</v>
      </c>
      <c r="J224" s="274" t="s">
        <v>1734</v>
      </c>
      <c r="K224" s="277" cm="1">
        <f t="array" ref="K224">IFERROR(IF(INDEX($P$6:$Q$40,MATCH(TRIM($C224),$O$6:$O$40,0),IF(TRIM($D224)="العينان",2,1))="","",INDEX($P$6:$Q$40,MATCH(TRIM($C224),$O$6:$O$40,0),IF(TRIM($D224)="العينان",2,1))),"")</f>
        <v>550</v>
      </c>
      <c r="L224" s="277">
        <f t="shared" si="6"/>
        <v>401.5</v>
      </c>
      <c r="M224" s="277">
        <f t="shared" si="7"/>
        <v>148.5</v>
      </c>
      <c r="N224" s="216"/>
    </row>
    <row r="225" spans="1:14" ht="26" x14ac:dyDescent="0.6">
      <c r="A225" s="71">
        <v>228</v>
      </c>
      <c r="B225" s="120" t="s">
        <v>937</v>
      </c>
      <c r="C225" s="121" t="s">
        <v>142</v>
      </c>
      <c r="D225" s="156" t="s">
        <v>1757</v>
      </c>
      <c r="E225" s="121" t="s">
        <v>976</v>
      </c>
      <c r="F225" s="121" t="s">
        <v>212</v>
      </c>
      <c r="G225" s="121">
        <v>64</v>
      </c>
      <c r="H225" s="122">
        <v>26202192400872</v>
      </c>
      <c r="I225" s="215">
        <v>46202</v>
      </c>
      <c r="J225" s="274" t="s">
        <v>1734</v>
      </c>
      <c r="K225" s="277" cm="1">
        <f t="array" ref="K225">IFERROR(IF(INDEX($P$6:$Q$40,MATCH(TRIM($C225),$O$6:$O$40,0),IF(TRIM($D225)="العينان",2,1))="","",INDEX($P$6:$Q$40,MATCH(TRIM($C225),$O$6:$O$40,0),IF(TRIM($D225)="العينان",2,1))),"")</f>
        <v>400</v>
      </c>
      <c r="L225" s="277">
        <f t="shared" si="6"/>
        <v>292</v>
      </c>
      <c r="M225" s="277">
        <f t="shared" si="7"/>
        <v>108</v>
      </c>
      <c r="N225" s="216"/>
    </row>
    <row r="226" spans="1:14" ht="26" x14ac:dyDescent="0.6">
      <c r="A226" s="71">
        <v>229</v>
      </c>
      <c r="B226" s="120" t="s">
        <v>938</v>
      </c>
      <c r="C226" s="121" t="s">
        <v>142</v>
      </c>
      <c r="D226" s="156" t="s">
        <v>1758</v>
      </c>
      <c r="E226" s="121" t="s">
        <v>977</v>
      </c>
      <c r="F226" s="121" t="s">
        <v>1443</v>
      </c>
      <c r="G226" s="121">
        <v>65</v>
      </c>
      <c r="H226" s="122">
        <v>26108142400808</v>
      </c>
      <c r="I226" s="215">
        <v>46202</v>
      </c>
      <c r="J226" s="274" t="s">
        <v>1734</v>
      </c>
      <c r="K226" s="277" cm="1">
        <f t="array" ref="K226">IFERROR(IF(INDEX($P$6:$Q$40,MATCH(TRIM($C226),$O$6:$O$40,0),IF(TRIM($D226)="العينان",2,1))="","",INDEX($P$6:$Q$40,MATCH(TRIM($C226),$O$6:$O$40,0),IF(TRIM($D226)="العينان",2,1))),"")</f>
        <v>400</v>
      </c>
      <c r="L226" s="277">
        <f t="shared" si="6"/>
        <v>292</v>
      </c>
      <c r="M226" s="277">
        <f t="shared" si="7"/>
        <v>108</v>
      </c>
      <c r="N226" s="216"/>
    </row>
    <row r="227" spans="1:14" ht="30.75" customHeight="1" x14ac:dyDescent="0.6">
      <c r="A227" s="71">
        <v>230</v>
      </c>
      <c r="B227" s="120" t="s">
        <v>939</v>
      </c>
      <c r="C227" s="127" t="s">
        <v>1801</v>
      </c>
      <c r="D227" s="160" t="s">
        <v>1804</v>
      </c>
      <c r="E227" s="121" t="s">
        <v>978</v>
      </c>
      <c r="F227" s="121" t="s">
        <v>1275</v>
      </c>
      <c r="G227" s="121">
        <v>43</v>
      </c>
      <c r="H227" s="122">
        <v>28303172402729</v>
      </c>
      <c r="I227" s="215">
        <v>46202</v>
      </c>
      <c r="J227" s="274" t="s">
        <v>1734</v>
      </c>
      <c r="K227" s="277">
        <v>1200</v>
      </c>
      <c r="L227" s="277">
        <f t="shared" si="6"/>
        <v>876</v>
      </c>
      <c r="M227" s="277">
        <f t="shared" si="7"/>
        <v>324</v>
      </c>
      <c r="N227" s="216"/>
    </row>
    <row r="228" spans="1:14" ht="26" x14ac:dyDescent="0.6">
      <c r="A228" s="71">
        <v>231</v>
      </c>
      <c r="B228" s="120" t="s">
        <v>940</v>
      </c>
      <c r="C228" s="121" t="s">
        <v>150</v>
      </c>
      <c r="D228" s="156" t="s">
        <v>1759</v>
      </c>
      <c r="E228" s="121" t="s">
        <v>979</v>
      </c>
      <c r="F228" s="121" t="s">
        <v>1443</v>
      </c>
      <c r="G228" s="121">
        <v>51</v>
      </c>
      <c r="H228" s="122">
        <v>27508312400958</v>
      </c>
      <c r="I228" s="215">
        <v>46202</v>
      </c>
      <c r="J228" s="274" t="s">
        <v>1734</v>
      </c>
      <c r="K228" s="277" cm="1">
        <f t="array" ref="K228">IFERROR(IF(INDEX($P$6:$Q$40,MATCH(TRIM($C228),$O$6:$O$40,0),IF(TRIM($D228)="العينان",2,1))="","",INDEX($P$6:$Q$40,MATCH(TRIM($C228),$O$6:$O$40,0),IF(TRIM($D228)="العينان",2,1))),"")</f>
        <v>550</v>
      </c>
      <c r="L228" s="277">
        <f t="shared" si="6"/>
        <v>401.5</v>
      </c>
      <c r="M228" s="277">
        <f t="shared" si="7"/>
        <v>148.5</v>
      </c>
      <c r="N228" s="216"/>
    </row>
    <row r="229" spans="1:14" ht="26" x14ac:dyDescent="0.6">
      <c r="A229" s="71">
        <v>232</v>
      </c>
      <c r="B229" s="120" t="s">
        <v>941</v>
      </c>
      <c r="C229" s="121" t="s">
        <v>142</v>
      </c>
      <c r="D229" s="156" t="s">
        <v>1758</v>
      </c>
      <c r="E229" s="121" t="s">
        <v>980</v>
      </c>
      <c r="F229" s="121" t="s">
        <v>1443</v>
      </c>
      <c r="G229" s="121">
        <v>52</v>
      </c>
      <c r="H229" s="122">
        <v>27401132402759</v>
      </c>
      <c r="I229" s="215">
        <v>46202</v>
      </c>
      <c r="J229" s="274" t="s">
        <v>1734</v>
      </c>
      <c r="K229" s="277" cm="1">
        <f t="array" ref="K229">IFERROR(IF(INDEX($P$6:$Q$40,MATCH(TRIM($C229),$O$6:$O$40,0),IF(TRIM($D229)="العينان",2,1))="","",INDEX($P$6:$Q$40,MATCH(TRIM($C229),$O$6:$O$40,0),IF(TRIM($D229)="العينان",2,1))),"")</f>
        <v>400</v>
      </c>
      <c r="L229" s="277">
        <f t="shared" si="6"/>
        <v>292</v>
      </c>
      <c r="M229" s="277">
        <f t="shared" si="7"/>
        <v>108</v>
      </c>
      <c r="N229" s="216"/>
    </row>
    <row r="230" spans="1:14" ht="26" x14ac:dyDescent="0.6">
      <c r="A230" s="71">
        <v>233</v>
      </c>
      <c r="B230" s="120" t="s">
        <v>942</v>
      </c>
      <c r="C230" s="121" t="s">
        <v>142</v>
      </c>
      <c r="D230" s="156" t="s">
        <v>1759</v>
      </c>
      <c r="E230" s="121" t="s">
        <v>981</v>
      </c>
      <c r="F230" s="121" t="s">
        <v>1443</v>
      </c>
      <c r="G230" s="121">
        <v>74</v>
      </c>
      <c r="H230" s="122">
        <v>25201102402111</v>
      </c>
      <c r="I230" s="215">
        <v>46202</v>
      </c>
      <c r="J230" s="274" t="s">
        <v>1734</v>
      </c>
      <c r="K230" s="277" cm="1">
        <f t="array" ref="K230">IFERROR(IF(INDEX($P$6:$Q$40,MATCH(TRIM($C230),$O$6:$O$40,0),IF(TRIM($D230)="العينان",2,1))="","",INDEX($P$6:$Q$40,MATCH(TRIM($C230),$O$6:$O$40,0),IF(TRIM($D230)="العينان",2,1))),"")</f>
        <v>650</v>
      </c>
      <c r="L230" s="277">
        <f t="shared" si="6"/>
        <v>474.5</v>
      </c>
      <c r="M230" s="277">
        <f t="shared" si="7"/>
        <v>175.5</v>
      </c>
      <c r="N230" s="216"/>
    </row>
    <row r="231" spans="1:14" ht="26" x14ac:dyDescent="0.6">
      <c r="A231" s="71">
        <v>234</v>
      </c>
      <c r="B231" s="120" t="s">
        <v>982</v>
      </c>
      <c r="C231" s="121" t="s">
        <v>142</v>
      </c>
      <c r="D231" s="156" t="s">
        <v>1759</v>
      </c>
      <c r="E231" s="121">
        <v>1112254879</v>
      </c>
      <c r="F231" s="121" t="s">
        <v>1443</v>
      </c>
      <c r="G231" s="121">
        <v>27</v>
      </c>
      <c r="H231" s="122">
        <v>29902092403206</v>
      </c>
      <c r="I231" s="215">
        <v>46205</v>
      </c>
      <c r="J231" s="274" t="s">
        <v>1734</v>
      </c>
      <c r="K231" s="277" cm="1">
        <f t="array" ref="K231">IFERROR(IF(INDEX($P$6:$Q$40,MATCH(TRIM($C231),$O$6:$O$40,0),IF(TRIM($D231)="العينان",2,1))="","",INDEX($P$6:$Q$40,MATCH(TRIM($C231),$O$6:$O$40,0),IF(TRIM($D231)="العينان",2,1))),"")</f>
        <v>650</v>
      </c>
      <c r="L231" s="277">
        <f t="shared" si="6"/>
        <v>474.5</v>
      </c>
      <c r="M231" s="277">
        <f t="shared" si="7"/>
        <v>175.5</v>
      </c>
      <c r="N231" s="216"/>
    </row>
    <row r="232" spans="1:14" ht="26" x14ac:dyDescent="0.6">
      <c r="A232" s="71">
        <v>235</v>
      </c>
      <c r="B232" s="120" t="s">
        <v>983</v>
      </c>
      <c r="C232" s="121" t="s">
        <v>186</v>
      </c>
      <c r="D232" s="156" t="s">
        <v>1759</v>
      </c>
      <c r="E232" s="121">
        <v>1156969768</v>
      </c>
      <c r="F232" s="121" t="s">
        <v>1443</v>
      </c>
      <c r="G232" s="121">
        <v>67</v>
      </c>
      <c r="H232" s="122">
        <v>25906222401775</v>
      </c>
      <c r="I232" s="215">
        <v>46205</v>
      </c>
      <c r="J232" s="274" t="s">
        <v>1734</v>
      </c>
      <c r="K232" s="277" cm="1">
        <f t="array" ref="K232">IFERROR(IF(INDEX($P$6:$Q$40,MATCH(TRIM($C232),$O$6:$O$40,0),IF(TRIM($D232)="العينان",2,1))="","",INDEX($P$6:$Q$40,MATCH(TRIM($C232),$O$6:$O$40,0),IF(TRIM($D232)="العينان",2,1))),"")</f>
        <v>450</v>
      </c>
      <c r="L232" s="277">
        <f t="shared" si="6"/>
        <v>328.5</v>
      </c>
      <c r="M232" s="277">
        <f t="shared" si="7"/>
        <v>121.50000000000001</v>
      </c>
      <c r="N232" s="216"/>
    </row>
    <row r="233" spans="1:14" ht="26" x14ac:dyDescent="0.6">
      <c r="A233" s="71">
        <v>236</v>
      </c>
      <c r="B233" s="120" t="s">
        <v>984</v>
      </c>
      <c r="C233" s="121" t="s">
        <v>150</v>
      </c>
      <c r="D233" s="156" t="s">
        <v>1759</v>
      </c>
      <c r="E233" s="121">
        <v>1557123545</v>
      </c>
      <c r="F233" s="121" t="s">
        <v>1443</v>
      </c>
      <c r="G233" s="121">
        <v>67</v>
      </c>
      <c r="H233" s="122">
        <v>25909142400947</v>
      </c>
      <c r="I233" s="215">
        <v>46205</v>
      </c>
      <c r="J233" s="274" t="s">
        <v>1734</v>
      </c>
      <c r="K233" s="277" cm="1">
        <f t="array" ref="K233">IFERROR(IF(INDEX($P$6:$Q$40,MATCH(TRIM($C233),$O$6:$O$40,0),IF(TRIM($D233)="العينان",2,1))="","",INDEX($P$6:$Q$40,MATCH(TRIM($C233),$O$6:$O$40,0),IF(TRIM($D233)="العينان",2,1))),"")</f>
        <v>550</v>
      </c>
      <c r="L233" s="277">
        <f t="shared" si="6"/>
        <v>401.5</v>
      </c>
      <c r="M233" s="277">
        <f t="shared" si="7"/>
        <v>148.5</v>
      </c>
      <c r="N233" s="216"/>
    </row>
    <row r="234" spans="1:14" ht="26" x14ac:dyDescent="0.6">
      <c r="A234" s="71">
        <v>237</v>
      </c>
      <c r="B234" s="120" t="s">
        <v>985</v>
      </c>
      <c r="C234" s="121" t="s">
        <v>142</v>
      </c>
      <c r="D234" s="156" t="s">
        <v>1759</v>
      </c>
      <c r="E234" s="121">
        <v>1020525159</v>
      </c>
      <c r="F234" s="121" t="s">
        <v>1443</v>
      </c>
      <c r="G234" s="121">
        <v>23</v>
      </c>
      <c r="H234" s="122">
        <v>30302152409126</v>
      </c>
      <c r="I234" s="215">
        <v>46205</v>
      </c>
      <c r="J234" s="274" t="s">
        <v>1734</v>
      </c>
      <c r="K234" s="277" cm="1">
        <f t="array" ref="K234">IFERROR(IF(INDEX($P$6:$Q$40,MATCH(TRIM($C234),$O$6:$O$40,0),IF(TRIM($D234)="العينان",2,1))="","",INDEX($P$6:$Q$40,MATCH(TRIM($C234),$O$6:$O$40,0),IF(TRIM($D234)="العينان",2,1))),"")</f>
        <v>650</v>
      </c>
      <c r="L234" s="277">
        <f t="shared" si="6"/>
        <v>474.5</v>
      </c>
      <c r="M234" s="277">
        <f t="shared" si="7"/>
        <v>175.5</v>
      </c>
      <c r="N234" s="216"/>
    </row>
    <row r="235" spans="1:14" ht="26" x14ac:dyDescent="0.6">
      <c r="A235" s="71">
        <v>238</v>
      </c>
      <c r="B235" s="120" t="s">
        <v>986</v>
      </c>
      <c r="C235" s="121" t="s">
        <v>1788</v>
      </c>
      <c r="D235" s="156" t="s">
        <v>1758</v>
      </c>
      <c r="E235" s="121">
        <v>1115327771</v>
      </c>
      <c r="F235" s="121" t="s">
        <v>1443</v>
      </c>
      <c r="G235" s="121">
        <v>58</v>
      </c>
      <c r="H235" s="122">
        <v>26811082401632</v>
      </c>
      <c r="I235" s="215">
        <v>46205</v>
      </c>
      <c r="J235" s="274" t="s">
        <v>1734</v>
      </c>
      <c r="K235" s="277" cm="1">
        <f t="array" ref="K235">IFERROR(IF(INDEX($P$6:$Q$40,MATCH(TRIM($C235),$O$6:$O$40,0),IF(TRIM($D235)="العينان",2,1))="","",INDEX($P$6:$Q$40,MATCH(TRIM($C235),$O$6:$O$40,0),IF(TRIM($D235)="العينان",2,1))),"")</f>
        <v>750</v>
      </c>
      <c r="L235" s="277">
        <f t="shared" si="6"/>
        <v>547.5</v>
      </c>
      <c r="M235" s="277">
        <f t="shared" si="7"/>
        <v>202.5</v>
      </c>
      <c r="N235" s="216"/>
    </row>
    <row r="236" spans="1:14" ht="26" x14ac:dyDescent="0.6">
      <c r="A236" s="71">
        <v>239</v>
      </c>
      <c r="B236" s="120" t="s">
        <v>987</v>
      </c>
      <c r="C236" s="121" t="s">
        <v>142</v>
      </c>
      <c r="D236" s="156" t="s">
        <v>1759</v>
      </c>
      <c r="E236" s="121">
        <v>1003551588</v>
      </c>
      <c r="F236" s="121" t="s">
        <v>1443</v>
      </c>
      <c r="G236" s="121">
        <v>40</v>
      </c>
      <c r="H236" s="122">
        <v>28609262401405</v>
      </c>
      <c r="I236" s="215">
        <v>46205</v>
      </c>
      <c r="J236" s="274" t="s">
        <v>1734</v>
      </c>
      <c r="K236" s="277" cm="1">
        <f t="array" ref="K236">IFERROR(IF(INDEX($P$6:$Q$40,MATCH(TRIM($C236),$O$6:$O$40,0),IF(TRIM($D236)="العينان",2,1))="","",INDEX($P$6:$Q$40,MATCH(TRIM($C236),$O$6:$O$40,0),IF(TRIM($D236)="العينان",2,1))),"")</f>
        <v>650</v>
      </c>
      <c r="L236" s="277">
        <f t="shared" si="6"/>
        <v>474.5</v>
      </c>
      <c r="M236" s="277">
        <f t="shared" si="7"/>
        <v>175.5</v>
      </c>
      <c r="N236" s="216"/>
    </row>
    <row r="237" spans="1:14" ht="26" x14ac:dyDescent="0.6">
      <c r="A237" s="71">
        <v>240</v>
      </c>
      <c r="B237" s="120" t="s">
        <v>988</v>
      </c>
      <c r="C237" s="121" t="s">
        <v>186</v>
      </c>
      <c r="D237" s="156" t="s">
        <v>1758</v>
      </c>
      <c r="E237" s="121">
        <v>1222954844</v>
      </c>
      <c r="F237" s="121" t="s">
        <v>1443</v>
      </c>
      <c r="G237" s="121">
        <v>62</v>
      </c>
      <c r="H237" s="122">
        <v>26405062401492</v>
      </c>
      <c r="I237" s="215">
        <v>46205</v>
      </c>
      <c r="J237" s="274" t="s">
        <v>1734</v>
      </c>
      <c r="K237" s="277" cm="1">
        <f t="array" ref="K237">IFERROR(IF(INDEX($P$6:$Q$40,MATCH(TRIM($C237),$O$6:$O$40,0),IF(TRIM($D237)="العينان",2,1))="","",INDEX($P$6:$Q$40,MATCH(TRIM($C237),$O$6:$O$40,0),IF(TRIM($D237)="العينان",2,1))),"")</f>
        <v>250</v>
      </c>
      <c r="L237" s="277">
        <f t="shared" si="6"/>
        <v>182.5</v>
      </c>
      <c r="M237" s="277">
        <f t="shared" si="7"/>
        <v>67.5</v>
      </c>
      <c r="N237" s="216"/>
    </row>
    <row r="238" spans="1:14" ht="26" x14ac:dyDescent="0.6">
      <c r="A238" s="71">
        <v>241</v>
      </c>
      <c r="B238" s="120" t="s">
        <v>989</v>
      </c>
      <c r="C238" s="121" t="s">
        <v>150</v>
      </c>
      <c r="D238" s="156" t="s">
        <v>1759</v>
      </c>
      <c r="E238" s="121">
        <v>1146376992</v>
      </c>
      <c r="F238" s="121" t="s">
        <v>1275</v>
      </c>
      <c r="G238" s="121">
        <v>32</v>
      </c>
      <c r="H238" s="122">
        <v>29412092400137</v>
      </c>
      <c r="I238" s="215">
        <v>46205</v>
      </c>
      <c r="J238" s="274" t="s">
        <v>1734</v>
      </c>
      <c r="K238" s="277" cm="1">
        <f t="array" ref="K238">IFERROR(IF(INDEX($P$6:$Q$40,MATCH(TRIM($C238),$O$6:$O$40,0),IF(TRIM($D238)="العينان",2,1))="","",INDEX($P$6:$Q$40,MATCH(TRIM($C238),$O$6:$O$40,0),IF(TRIM($D238)="العينان",2,1))),"")</f>
        <v>550</v>
      </c>
      <c r="L238" s="277">
        <f t="shared" si="6"/>
        <v>401.5</v>
      </c>
      <c r="M238" s="277">
        <f t="shared" si="7"/>
        <v>148.5</v>
      </c>
      <c r="N238" s="216"/>
    </row>
    <row r="239" spans="1:14" ht="26" x14ac:dyDescent="0.6">
      <c r="A239" s="71">
        <v>242</v>
      </c>
      <c r="B239" s="120" t="s">
        <v>990</v>
      </c>
      <c r="C239" s="121" t="s">
        <v>145</v>
      </c>
      <c r="D239" s="156" t="s">
        <v>1759</v>
      </c>
      <c r="E239" s="121">
        <v>1122428045</v>
      </c>
      <c r="F239" s="121" t="s">
        <v>1275</v>
      </c>
      <c r="G239" s="121">
        <v>58</v>
      </c>
      <c r="H239" s="122">
        <v>26803192200567</v>
      </c>
      <c r="I239" s="215">
        <v>46205</v>
      </c>
      <c r="J239" s="274" t="s">
        <v>1734</v>
      </c>
      <c r="K239" s="277" cm="1">
        <f t="array" ref="K239">IFERROR(IF(INDEX($P$6:$Q$40,MATCH(TRIM($C239),$O$6:$O$40,0),IF(TRIM($D239)="العينان",2,1))="","",INDEX($P$6:$Q$40,MATCH(TRIM($C239),$O$6:$O$40,0),IF(TRIM($D239)="العينان",2,1))),"")</f>
        <v>1200</v>
      </c>
      <c r="L239" s="277">
        <f t="shared" si="6"/>
        <v>876</v>
      </c>
      <c r="M239" s="277">
        <f t="shared" si="7"/>
        <v>324</v>
      </c>
      <c r="N239" s="216"/>
    </row>
    <row r="240" spans="1:14" ht="26" x14ac:dyDescent="0.6">
      <c r="A240" s="71">
        <v>243</v>
      </c>
      <c r="B240" s="120" t="s">
        <v>991</v>
      </c>
      <c r="C240" s="121" t="s">
        <v>142</v>
      </c>
      <c r="D240" s="156" t="s">
        <v>1758</v>
      </c>
      <c r="E240" s="121">
        <v>1022226864</v>
      </c>
      <c r="F240" s="121" t="s">
        <v>1275</v>
      </c>
      <c r="G240" s="121">
        <v>68</v>
      </c>
      <c r="H240" s="122">
        <v>25803010202701</v>
      </c>
      <c r="I240" s="215">
        <v>46205</v>
      </c>
      <c r="J240" s="274" t="s">
        <v>1734</v>
      </c>
      <c r="K240" s="277" cm="1">
        <f t="array" ref="K240">IFERROR(IF(INDEX($P$6:$Q$40,MATCH(TRIM($C240),$O$6:$O$40,0),IF(TRIM($D240)="العينان",2,1))="","",INDEX($P$6:$Q$40,MATCH(TRIM($C240),$O$6:$O$40,0),IF(TRIM($D240)="العينان",2,1))),"")</f>
        <v>400</v>
      </c>
      <c r="L240" s="277">
        <f t="shared" si="6"/>
        <v>292</v>
      </c>
      <c r="M240" s="277">
        <f t="shared" si="7"/>
        <v>108</v>
      </c>
      <c r="N240" s="216"/>
    </row>
    <row r="241" spans="1:14" ht="26" x14ac:dyDescent="0.6">
      <c r="A241" s="71">
        <v>244</v>
      </c>
      <c r="B241" s="120" t="s">
        <v>942</v>
      </c>
      <c r="C241" s="121" t="s">
        <v>142</v>
      </c>
      <c r="D241" s="156" t="s">
        <v>1759</v>
      </c>
      <c r="E241" s="121">
        <v>1118541566</v>
      </c>
      <c r="F241" s="121" t="s">
        <v>1275</v>
      </c>
      <c r="G241" s="121">
        <v>74</v>
      </c>
      <c r="H241" s="122">
        <v>25201102402111</v>
      </c>
      <c r="I241" s="215">
        <v>46205</v>
      </c>
      <c r="J241" s="274" t="s">
        <v>1734</v>
      </c>
      <c r="K241" s="277" cm="1">
        <f t="array" ref="K241">IFERROR(IF(INDEX($P$6:$Q$40,MATCH(TRIM($C241),$O$6:$O$40,0),IF(TRIM($D241)="العينان",2,1))="","",INDEX($P$6:$Q$40,MATCH(TRIM($C241),$O$6:$O$40,0),IF(TRIM($D241)="العينان",2,1))),"")</f>
        <v>650</v>
      </c>
      <c r="L241" s="277">
        <f t="shared" si="6"/>
        <v>474.5</v>
      </c>
      <c r="M241" s="277">
        <f t="shared" si="7"/>
        <v>175.5</v>
      </c>
      <c r="N241" s="216"/>
    </row>
    <row r="242" spans="1:14" ht="26" x14ac:dyDescent="0.6">
      <c r="A242" s="71">
        <v>245</v>
      </c>
      <c r="B242" s="120" t="s">
        <v>992</v>
      </c>
      <c r="C242" s="121" t="s">
        <v>142</v>
      </c>
      <c r="D242" s="156" t="s">
        <v>1759</v>
      </c>
      <c r="E242" s="121">
        <v>1130201262</v>
      </c>
      <c r="F242" s="121" t="s">
        <v>1275</v>
      </c>
      <c r="G242" s="121">
        <v>43</v>
      </c>
      <c r="H242" s="122">
        <v>28305292401303</v>
      </c>
      <c r="I242" s="215">
        <v>46205</v>
      </c>
      <c r="J242" s="274" t="s">
        <v>1734</v>
      </c>
      <c r="K242" s="277" cm="1">
        <f t="array" ref="K242">IFERROR(IF(INDEX($P$6:$Q$40,MATCH(TRIM($C242),$O$6:$O$40,0),IF(TRIM($D242)="العينان",2,1))="","",INDEX($P$6:$Q$40,MATCH(TRIM($C242),$O$6:$O$40,0),IF(TRIM($D242)="العينان",2,1))),"")</f>
        <v>650</v>
      </c>
      <c r="L242" s="277">
        <f t="shared" si="6"/>
        <v>474.5</v>
      </c>
      <c r="M242" s="277">
        <f t="shared" si="7"/>
        <v>175.5</v>
      </c>
      <c r="N242" s="216"/>
    </row>
    <row r="243" spans="1:14" ht="26" x14ac:dyDescent="0.6">
      <c r="A243" s="71">
        <v>246</v>
      </c>
      <c r="B243" s="120" t="s">
        <v>993</v>
      </c>
      <c r="C243" s="121" t="s">
        <v>186</v>
      </c>
      <c r="D243" s="156" t="s">
        <v>1757</v>
      </c>
      <c r="E243" s="121">
        <v>1126737874</v>
      </c>
      <c r="F243" s="121" t="s">
        <v>1275</v>
      </c>
      <c r="G243" s="121">
        <v>61</v>
      </c>
      <c r="H243" s="122">
        <v>26501282401476</v>
      </c>
      <c r="I243" s="215">
        <v>46209</v>
      </c>
      <c r="J243" s="274" t="s">
        <v>1734</v>
      </c>
      <c r="K243" s="277" cm="1">
        <f t="array" ref="K243">IFERROR(IF(INDEX($P$6:$Q$40,MATCH(TRIM($C243),$O$6:$O$40,0),IF(TRIM($D243)="العينان",2,1))="","",INDEX($P$6:$Q$40,MATCH(TRIM($C243),$O$6:$O$40,0),IF(TRIM($D243)="العينان",2,1))),"")</f>
        <v>250</v>
      </c>
      <c r="L243" s="277">
        <f t="shared" si="6"/>
        <v>182.5</v>
      </c>
      <c r="M243" s="277">
        <f t="shared" si="7"/>
        <v>67.5</v>
      </c>
      <c r="N243" s="216"/>
    </row>
    <row r="244" spans="1:14" ht="26" x14ac:dyDescent="0.6">
      <c r="A244" s="71">
        <v>247</v>
      </c>
      <c r="B244" s="120" t="s">
        <v>994</v>
      </c>
      <c r="C244" s="121" t="s">
        <v>142</v>
      </c>
      <c r="D244" s="156" t="s">
        <v>1759</v>
      </c>
      <c r="E244" s="121">
        <v>1117153393</v>
      </c>
      <c r="F244" s="121" t="s">
        <v>1275</v>
      </c>
      <c r="G244" s="121">
        <v>34</v>
      </c>
      <c r="H244" s="122">
        <v>29211072202082</v>
      </c>
      <c r="I244" s="215">
        <v>46209</v>
      </c>
      <c r="J244" s="274" t="s">
        <v>1734</v>
      </c>
      <c r="K244" s="277" cm="1">
        <f t="array" ref="K244">IFERROR(IF(INDEX($P$6:$Q$40,MATCH(TRIM($C244),$O$6:$O$40,0),IF(TRIM($D244)="العينان",2,1))="","",INDEX($P$6:$Q$40,MATCH(TRIM($C244),$O$6:$O$40,0),IF(TRIM($D244)="العينان",2,1))),"")</f>
        <v>650</v>
      </c>
      <c r="L244" s="277">
        <f t="shared" si="6"/>
        <v>474.5</v>
      </c>
      <c r="M244" s="277">
        <f t="shared" si="7"/>
        <v>175.5</v>
      </c>
      <c r="N244" s="216"/>
    </row>
    <row r="245" spans="1:14" ht="26" x14ac:dyDescent="0.6">
      <c r="A245" s="71">
        <v>248</v>
      </c>
      <c r="B245" s="120" t="s">
        <v>995</v>
      </c>
      <c r="C245" s="121" t="s">
        <v>142</v>
      </c>
      <c r="D245" s="156" t="s">
        <v>1758</v>
      </c>
      <c r="E245" s="121">
        <v>1123260019</v>
      </c>
      <c r="F245" s="121" t="s">
        <v>1275</v>
      </c>
      <c r="G245" s="121">
        <v>32</v>
      </c>
      <c r="H245" s="122">
        <v>29406052404148</v>
      </c>
      <c r="I245" s="215">
        <v>46209</v>
      </c>
      <c r="J245" s="274" t="s">
        <v>1734</v>
      </c>
      <c r="K245" s="277" cm="1">
        <f t="array" ref="K245">IFERROR(IF(INDEX($P$6:$Q$40,MATCH(TRIM($C245),$O$6:$O$40,0),IF(TRIM($D245)="العينان",2,1))="","",INDEX($P$6:$Q$40,MATCH(TRIM($C245),$O$6:$O$40,0),IF(TRIM($D245)="العينان",2,1))),"")</f>
        <v>400</v>
      </c>
      <c r="L245" s="277">
        <f t="shared" si="6"/>
        <v>292</v>
      </c>
      <c r="M245" s="277">
        <f t="shared" si="7"/>
        <v>108</v>
      </c>
      <c r="N245" s="216"/>
    </row>
    <row r="246" spans="1:14" ht="27" customHeight="1" x14ac:dyDescent="0.5">
      <c r="A246" s="130">
        <v>249</v>
      </c>
      <c r="B246" s="131" t="s">
        <v>996</v>
      </c>
      <c r="C246" s="127" t="s">
        <v>1704</v>
      </c>
      <c r="D246" s="156" t="s">
        <v>1758</v>
      </c>
      <c r="E246" s="121">
        <v>1152137507</v>
      </c>
      <c r="F246" s="121" t="s">
        <v>1275</v>
      </c>
      <c r="G246" s="121">
        <v>37</v>
      </c>
      <c r="H246" s="122">
        <v>28902202404188</v>
      </c>
      <c r="I246" s="215">
        <v>46209</v>
      </c>
      <c r="J246" s="274" t="s">
        <v>1734</v>
      </c>
      <c r="K246" s="277">
        <v>400</v>
      </c>
      <c r="L246" s="277">
        <f t="shared" si="6"/>
        <v>292</v>
      </c>
      <c r="M246" s="277">
        <f t="shared" si="7"/>
        <v>108</v>
      </c>
      <c r="N246" s="216"/>
    </row>
    <row r="247" spans="1:14" ht="42" x14ac:dyDescent="0.6">
      <c r="A247" s="71">
        <v>250</v>
      </c>
      <c r="B247" s="120" t="s">
        <v>997</v>
      </c>
      <c r="C247" s="127" t="s">
        <v>1802</v>
      </c>
      <c r="D247" s="156" t="s">
        <v>1758</v>
      </c>
      <c r="E247" s="121">
        <v>1036482049</v>
      </c>
      <c r="F247" s="121" t="s">
        <v>1275</v>
      </c>
      <c r="G247" s="121">
        <v>46</v>
      </c>
      <c r="H247" s="122">
        <v>28007202402607</v>
      </c>
      <c r="I247" s="215">
        <v>46209</v>
      </c>
      <c r="J247" s="274" t="s">
        <v>1734</v>
      </c>
      <c r="K247" s="277">
        <v>650</v>
      </c>
      <c r="L247" s="277">
        <f t="shared" si="6"/>
        <v>474.5</v>
      </c>
      <c r="M247" s="277">
        <f t="shared" si="7"/>
        <v>175.5</v>
      </c>
      <c r="N247" s="216"/>
    </row>
    <row r="248" spans="1:14" ht="42" x14ac:dyDescent="0.6">
      <c r="A248" s="71">
        <v>251</v>
      </c>
      <c r="B248" s="120" t="s">
        <v>1735</v>
      </c>
      <c r="C248" s="121" t="s">
        <v>142</v>
      </c>
      <c r="D248" s="156" t="s">
        <v>1757</v>
      </c>
      <c r="E248" s="121">
        <v>1203960313</v>
      </c>
      <c r="F248" s="121" t="s">
        <v>212</v>
      </c>
      <c r="G248" s="127" t="s">
        <v>1736</v>
      </c>
      <c r="H248" s="122">
        <v>26709262400805</v>
      </c>
      <c r="I248" s="215">
        <v>46212</v>
      </c>
      <c r="J248" s="274" t="s">
        <v>1734</v>
      </c>
      <c r="K248" s="277" cm="1">
        <f t="array" ref="K248">IFERROR(IF(INDEX($P$6:$Q$40,MATCH(TRIM($C248),$O$6:$O$40,0),IF(TRIM($D248)="العينان",2,1))="","",INDEX($P$6:$Q$40,MATCH(TRIM($C248),$O$6:$O$40,0),IF(TRIM($D248)="العينان",2,1))),"")</f>
        <v>400</v>
      </c>
      <c r="L248" s="277">
        <f t="shared" si="6"/>
        <v>292</v>
      </c>
      <c r="M248" s="277">
        <f t="shared" si="7"/>
        <v>108</v>
      </c>
      <c r="N248" s="216"/>
    </row>
    <row r="249" spans="1:14" ht="26" x14ac:dyDescent="0.6">
      <c r="A249" s="71">
        <v>252</v>
      </c>
      <c r="B249" s="120" t="s">
        <v>1737</v>
      </c>
      <c r="C249" s="121" t="s">
        <v>142</v>
      </c>
      <c r="D249" s="156" t="s">
        <v>1758</v>
      </c>
      <c r="E249" s="121">
        <v>1112806273</v>
      </c>
      <c r="F249" s="121" t="s">
        <v>212</v>
      </c>
      <c r="G249" s="121">
        <v>60</v>
      </c>
      <c r="H249" s="122">
        <v>26712062201787</v>
      </c>
      <c r="I249" s="215">
        <v>46212</v>
      </c>
      <c r="J249" s="274" t="s">
        <v>1734</v>
      </c>
      <c r="K249" s="277" cm="1">
        <f t="array" ref="K249">IFERROR(IF(INDEX($P$6:$Q$40,MATCH(TRIM($C249),$O$6:$O$40,0),IF(TRIM($D249)="العينان",2,1))="","",INDEX($P$6:$Q$40,MATCH(TRIM($C249),$O$6:$O$40,0),IF(TRIM($D249)="العينان",2,1))),"")</f>
        <v>400</v>
      </c>
      <c r="L249" s="277">
        <f t="shared" si="6"/>
        <v>292</v>
      </c>
      <c r="M249" s="277">
        <f t="shared" si="7"/>
        <v>108</v>
      </c>
      <c r="N249" s="216"/>
    </row>
    <row r="250" spans="1:14" ht="26" x14ac:dyDescent="0.6">
      <c r="A250" s="71">
        <v>253</v>
      </c>
      <c r="B250" s="120" t="s">
        <v>1738</v>
      </c>
      <c r="C250" s="121" t="s">
        <v>142</v>
      </c>
      <c r="D250" s="156" t="s">
        <v>1759</v>
      </c>
      <c r="E250" s="121">
        <v>1114835920</v>
      </c>
      <c r="F250" s="121" t="s">
        <v>212</v>
      </c>
      <c r="G250" s="121">
        <v>55</v>
      </c>
      <c r="H250" s="122">
        <v>26312142201615</v>
      </c>
      <c r="I250" s="215">
        <v>46212</v>
      </c>
      <c r="J250" s="274" t="s">
        <v>1734</v>
      </c>
      <c r="K250" s="277" cm="1">
        <f t="array" ref="K250">IFERROR(IF(INDEX($P$6:$Q$40,MATCH(TRIM($C250),$O$6:$O$40,0),IF(TRIM($D250)="العينان",2,1))="","",INDEX($P$6:$Q$40,MATCH(TRIM($C250),$O$6:$O$40,0),IF(TRIM($D250)="العينان",2,1))),"")</f>
        <v>650</v>
      </c>
      <c r="L250" s="277">
        <f t="shared" si="6"/>
        <v>474.5</v>
      </c>
      <c r="M250" s="277">
        <f t="shared" si="7"/>
        <v>175.5</v>
      </c>
      <c r="N250" s="216"/>
    </row>
    <row r="251" spans="1:14" ht="26" x14ac:dyDescent="0.6">
      <c r="A251" s="71">
        <v>254</v>
      </c>
      <c r="B251" s="120" t="s">
        <v>1739</v>
      </c>
      <c r="C251" s="121" t="s">
        <v>1792</v>
      </c>
      <c r="D251" s="156" t="s">
        <v>1758</v>
      </c>
      <c r="E251" s="121">
        <v>1145891342</v>
      </c>
      <c r="F251" s="121" t="s">
        <v>212</v>
      </c>
      <c r="G251" s="121">
        <v>68</v>
      </c>
      <c r="H251" s="122">
        <v>25812212401713</v>
      </c>
      <c r="I251" s="215">
        <v>46212</v>
      </c>
      <c r="J251" s="274" t="s">
        <v>1734</v>
      </c>
      <c r="K251" s="277">
        <v>650</v>
      </c>
      <c r="L251" s="277">
        <f t="shared" si="6"/>
        <v>474.5</v>
      </c>
      <c r="M251" s="277">
        <f t="shared" si="7"/>
        <v>175.5</v>
      </c>
      <c r="N251" s="216"/>
    </row>
    <row r="252" spans="1:14" ht="26" x14ac:dyDescent="0.6">
      <c r="A252" s="71">
        <v>255</v>
      </c>
      <c r="B252" s="120" t="s">
        <v>1740</v>
      </c>
      <c r="C252" s="121" t="s">
        <v>145</v>
      </c>
      <c r="D252" s="156" t="s">
        <v>1757</v>
      </c>
      <c r="E252" s="121">
        <v>1144395377</v>
      </c>
      <c r="F252" s="121" t="s">
        <v>212</v>
      </c>
      <c r="G252" s="121">
        <v>64</v>
      </c>
      <c r="H252" s="122">
        <v>26201012403309</v>
      </c>
      <c r="I252" s="215">
        <v>46214</v>
      </c>
      <c r="J252" s="274" t="s">
        <v>1733</v>
      </c>
      <c r="K252" s="277" cm="1">
        <f t="array" ref="K252">IFERROR(IF(INDEX($P$6:$Q$40,MATCH(TRIM($C252),$O$6:$O$40,0),IF(TRIM($D252)="العينان",2,1))="","",INDEX($P$6:$Q$40,MATCH(TRIM($C252),$O$6:$O$40,0),IF(TRIM($D252)="العينان",2,1))),"")</f>
        <v>750</v>
      </c>
      <c r="L252" s="277">
        <f t="shared" si="6"/>
        <v>562.5</v>
      </c>
      <c r="M252" s="277">
        <f t="shared" si="7"/>
        <v>187.5</v>
      </c>
      <c r="N252" s="216"/>
    </row>
    <row r="253" spans="1:14" ht="26" x14ac:dyDescent="0.6">
      <c r="A253" s="71">
        <v>256</v>
      </c>
      <c r="B253" s="120" t="s">
        <v>1741</v>
      </c>
      <c r="C253" s="121" t="s">
        <v>200</v>
      </c>
      <c r="D253" s="156" t="s">
        <v>1759</v>
      </c>
      <c r="E253" s="121">
        <v>1208786383</v>
      </c>
      <c r="F253" s="121" t="s">
        <v>212</v>
      </c>
      <c r="G253" s="121">
        <v>1</v>
      </c>
      <c r="H253" s="122">
        <v>30204072400401</v>
      </c>
      <c r="I253" s="215">
        <v>46214</v>
      </c>
      <c r="J253" s="274" t="s">
        <v>1733</v>
      </c>
      <c r="K253" s="277" cm="1">
        <f t="array" ref="K253">IFERROR(IF(INDEX($P$6:$Q$40,MATCH(TRIM($C253),$O$6:$O$40,0),IF(TRIM($D253)="العينان",2,1))="","",INDEX($P$6:$Q$40,MATCH(TRIM($C253),$O$6:$O$40,0),IF(TRIM($D253)="العينان",2,1))),"")</f>
        <v>300</v>
      </c>
      <c r="L253" s="277">
        <f t="shared" si="6"/>
        <v>225</v>
      </c>
      <c r="M253" s="277">
        <f t="shared" si="7"/>
        <v>75</v>
      </c>
      <c r="N253" s="216"/>
    </row>
    <row r="254" spans="1:14" ht="26" x14ac:dyDescent="0.6">
      <c r="A254" s="71">
        <v>257</v>
      </c>
      <c r="B254" s="120" t="s">
        <v>1742</v>
      </c>
      <c r="C254" s="121" t="s">
        <v>186</v>
      </c>
      <c r="D254" s="156" t="s">
        <v>1758</v>
      </c>
      <c r="E254" s="121">
        <v>1114243589</v>
      </c>
      <c r="F254" s="121" t="s">
        <v>212</v>
      </c>
      <c r="G254" s="121">
        <v>14</v>
      </c>
      <c r="H254" s="122">
        <v>3122206272400270</v>
      </c>
      <c r="I254" s="215">
        <v>46214</v>
      </c>
      <c r="J254" s="274" t="s">
        <v>1733</v>
      </c>
      <c r="K254" s="277" cm="1">
        <f t="array" ref="K254">IFERROR(IF(INDEX($P$6:$Q$40,MATCH(TRIM($C254),$O$6:$O$40,0),IF(TRIM($D254)="العينان",2,1))="","",INDEX($P$6:$Q$40,MATCH(TRIM($C254),$O$6:$O$40,0),IF(TRIM($D254)="العينان",2,1))),"")</f>
        <v>250</v>
      </c>
      <c r="L254" s="277">
        <f t="shared" si="6"/>
        <v>187.5</v>
      </c>
      <c r="M254" s="277">
        <f t="shared" si="7"/>
        <v>62.5</v>
      </c>
      <c r="N254" s="216"/>
    </row>
    <row r="255" spans="1:14" ht="26" x14ac:dyDescent="0.6">
      <c r="A255" s="71">
        <v>258</v>
      </c>
      <c r="B255" s="120" t="s">
        <v>1743</v>
      </c>
      <c r="C255" s="121" t="s">
        <v>215</v>
      </c>
      <c r="D255" s="156" t="s">
        <v>1757</v>
      </c>
      <c r="E255" s="121">
        <v>1254788660</v>
      </c>
      <c r="F255" s="121" t="s">
        <v>212</v>
      </c>
      <c r="G255" s="121">
        <v>53</v>
      </c>
      <c r="H255" s="122">
        <v>27306072401763</v>
      </c>
      <c r="I255" s="215">
        <v>46219</v>
      </c>
      <c r="J255" s="274" t="s">
        <v>1734</v>
      </c>
      <c r="K255" s="277" cm="1">
        <f t="array" ref="K255">IFERROR(IF(INDEX($P$6:$Q$40,MATCH(TRIM($C255),$O$6:$O$40,0),IF(TRIM($D255)="العينان",2,1))="","",INDEX($P$6:$Q$40,MATCH(TRIM($C255),$O$6:$O$40,0),IF(TRIM($D255)="العينان",2,1))),"")</f>
        <v>150</v>
      </c>
      <c r="L255" s="277">
        <f t="shared" si="6"/>
        <v>109.5</v>
      </c>
      <c r="M255" s="277">
        <f t="shared" si="7"/>
        <v>40.5</v>
      </c>
      <c r="N255" s="216"/>
    </row>
    <row r="256" spans="1:14" ht="26" x14ac:dyDescent="0.6">
      <c r="A256" s="71">
        <v>259</v>
      </c>
      <c r="B256" s="120" t="s">
        <v>1744</v>
      </c>
      <c r="C256" s="121" t="s">
        <v>1803</v>
      </c>
      <c r="D256" s="156" t="s">
        <v>1757</v>
      </c>
      <c r="E256" s="121">
        <v>1271247545</v>
      </c>
      <c r="F256" s="121" t="s">
        <v>459</v>
      </c>
      <c r="G256" s="121">
        <v>67</v>
      </c>
      <c r="H256" s="122">
        <v>25501052401805</v>
      </c>
      <c r="I256" s="215">
        <v>46219</v>
      </c>
      <c r="J256" s="274" t="s">
        <v>1734</v>
      </c>
      <c r="K256" s="277">
        <v>650</v>
      </c>
      <c r="L256" s="277">
        <f t="shared" si="6"/>
        <v>474.5</v>
      </c>
      <c r="M256" s="277">
        <f t="shared" si="7"/>
        <v>175.5</v>
      </c>
      <c r="N256" s="216"/>
    </row>
    <row r="257" spans="1:14" ht="26" x14ac:dyDescent="0.6">
      <c r="A257" s="71">
        <v>260</v>
      </c>
      <c r="B257" s="120" t="s">
        <v>1742</v>
      </c>
      <c r="C257" s="121" t="s">
        <v>186</v>
      </c>
      <c r="D257" s="156" t="s">
        <v>1758</v>
      </c>
      <c r="E257" s="121">
        <v>1114243589</v>
      </c>
      <c r="F257" s="121" t="s">
        <v>459</v>
      </c>
      <c r="G257" s="121">
        <v>14</v>
      </c>
      <c r="H257" s="122">
        <v>3122206272400270</v>
      </c>
      <c r="I257" s="215">
        <v>46219</v>
      </c>
      <c r="J257" s="274" t="s">
        <v>1734</v>
      </c>
      <c r="K257" s="277" cm="1">
        <f t="array" ref="K257">IFERROR(IF(INDEX($P$6:$Q$40,MATCH(TRIM($C257),$O$6:$O$40,0),IF(TRIM($D257)="العينان",2,1))="","",INDEX($P$6:$Q$40,MATCH(TRIM($C257),$O$6:$O$40,0),IF(TRIM($D257)="العينان",2,1))),"")</f>
        <v>250</v>
      </c>
      <c r="L257" s="277">
        <f t="shared" si="6"/>
        <v>182.5</v>
      </c>
      <c r="M257" s="277">
        <f t="shared" si="7"/>
        <v>67.5</v>
      </c>
      <c r="N257" s="216"/>
    </row>
    <row r="258" spans="1:14" ht="26" x14ac:dyDescent="0.6">
      <c r="A258" s="71">
        <v>261</v>
      </c>
      <c r="B258" s="120" t="s">
        <v>1745</v>
      </c>
      <c r="C258" s="121" t="s">
        <v>186</v>
      </c>
      <c r="D258" s="156" t="s">
        <v>1758</v>
      </c>
      <c r="E258" s="121">
        <v>1501495399</v>
      </c>
      <c r="F258" s="121" t="s">
        <v>212</v>
      </c>
      <c r="G258" s="121">
        <v>55</v>
      </c>
      <c r="H258" s="122">
        <v>27105142401507</v>
      </c>
      <c r="I258" s="215">
        <v>46223</v>
      </c>
      <c r="J258" s="274" t="s">
        <v>1734</v>
      </c>
      <c r="K258" s="277" cm="1">
        <f t="array" ref="K258">IFERROR(IF(INDEX($P$6:$Q$40,MATCH(TRIM($C258),$O$6:$O$40,0),IF(TRIM($D258)="العينان",2,1))="","",INDEX($P$6:$Q$40,MATCH(TRIM($C258),$O$6:$O$40,0),IF(TRIM($D258)="العينان",2,1))),"")</f>
        <v>250</v>
      </c>
      <c r="L258" s="277">
        <f t="shared" si="6"/>
        <v>182.5</v>
      </c>
      <c r="M258" s="277">
        <f t="shared" si="7"/>
        <v>67.5</v>
      </c>
      <c r="N258" s="216"/>
    </row>
    <row r="259" spans="1:14" ht="26" x14ac:dyDescent="0.6">
      <c r="A259" s="71">
        <v>262</v>
      </c>
      <c r="B259" s="120" t="s">
        <v>1746</v>
      </c>
      <c r="C259" s="121" t="s">
        <v>1788</v>
      </c>
      <c r="D259" s="156" t="s">
        <v>1759</v>
      </c>
      <c r="E259" s="121">
        <v>1270704052</v>
      </c>
      <c r="F259" s="121" t="s">
        <v>212</v>
      </c>
      <c r="G259" s="121">
        <v>61</v>
      </c>
      <c r="H259" s="122">
        <v>26507022401331</v>
      </c>
      <c r="I259" s="215">
        <v>46223</v>
      </c>
      <c r="J259" s="274" t="s">
        <v>1734</v>
      </c>
      <c r="K259" s="277" cm="1">
        <f t="array" ref="K259">IFERROR(IF(INDEX($P$6:$Q$40,MATCH(TRIM($C259),$O$6:$O$40,0),IF(TRIM($D259)="العينان",2,1))="","",INDEX($P$6:$Q$40,MATCH(TRIM($C259),$O$6:$O$40,0),IF(TRIM($D259)="العينان",2,1))),"")</f>
        <v>1200</v>
      </c>
      <c r="L259" s="277">
        <f t="shared" ref="L259:L314" si="8">IF($K259="","",$K259-$M259)</f>
        <v>876</v>
      </c>
      <c r="M259" s="277">
        <f t="shared" ref="M259:M314" si="9">IF($K259="","",$K259*IFERROR(VLOOKUP(TRIM($J259),$O$2:$P$3,2,FALSE),0))</f>
        <v>324</v>
      </c>
      <c r="N259" s="216"/>
    </row>
    <row r="260" spans="1:14" ht="26" x14ac:dyDescent="0.6">
      <c r="A260" s="71">
        <v>263</v>
      </c>
      <c r="B260" s="120" t="s">
        <v>1747</v>
      </c>
      <c r="C260" s="121" t="s">
        <v>150</v>
      </c>
      <c r="D260" s="156" t="s">
        <v>1757</v>
      </c>
      <c r="E260" s="121">
        <v>1026344361</v>
      </c>
      <c r="F260" s="121" t="s">
        <v>212</v>
      </c>
      <c r="G260" s="121">
        <v>20</v>
      </c>
      <c r="H260" s="122">
        <v>30511132404479</v>
      </c>
      <c r="I260" s="215">
        <v>46223</v>
      </c>
      <c r="J260" s="274" t="s">
        <v>1734</v>
      </c>
      <c r="K260" s="277" cm="1">
        <f t="array" ref="K260">IFERROR(IF(INDEX($P$6:$Q$40,MATCH(TRIM($C260),$O$6:$O$40,0),IF(TRIM($D260)="العينان",2,1))="","",INDEX($P$6:$Q$40,MATCH(TRIM($C260),$O$6:$O$40,0),IF(TRIM($D260)="العينان",2,1))),"")</f>
        <v>400</v>
      </c>
      <c r="L260" s="277">
        <f t="shared" si="8"/>
        <v>292</v>
      </c>
      <c r="M260" s="277">
        <f t="shared" si="9"/>
        <v>108</v>
      </c>
      <c r="N260" s="216"/>
    </row>
    <row r="261" spans="1:14" ht="26" x14ac:dyDescent="0.6">
      <c r="A261" s="71">
        <v>264</v>
      </c>
      <c r="B261" s="120" t="s">
        <v>1748</v>
      </c>
      <c r="C261" s="121" t="s">
        <v>186</v>
      </c>
      <c r="D261" s="156" t="s">
        <v>1758</v>
      </c>
      <c r="E261" s="121">
        <v>1281582236</v>
      </c>
      <c r="F261" s="121" t="s">
        <v>1275</v>
      </c>
      <c r="G261" s="121">
        <v>49</v>
      </c>
      <c r="H261" s="122">
        <v>277021222402653</v>
      </c>
      <c r="I261" s="215">
        <v>46223</v>
      </c>
      <c r="J261" s="274" t="s">
        <v>1734</v>
      </c>
      <c r="K261" s="277" cm="1">
        <f t="array" ref="K261">IFERROR(IF(INDEX($P$6:$Q$40,MATCH(TRIM($C261),$O$6:$O$40,0),IF(TRIM($D261)="العينان",2,1))="","",INDEX($P$6:$Q$40,MATCH(TRIM($C261),$O$6:$O$40,0),IF(TRIM($D261)="العينان",2,1))),"")</f>
        <v>250</v>
      </c>
      <c r="L261" s="277">
        <f t="shared" si="8"/>
        <v>182.5</v>
      </c>
      <c r="M261" s="277">
        <f t="shared" si="9"/>
        <v>67.5</v>
      </c>
      <c r="N261" s="216"/>
    </row>
    <row r="262" spans="1:14" ht="26" x14ac:dyDescent="0.6">
      <c r="A262" s="71">
        <v>265</v>
      </c>
      <c r="B262" s="120" t="s">
        <v>1749</v>
      </c>
      <c r="C262" s="121" t="s">
        <v>142</v>
      </c>
      <c r="D262" s="156" t="s">
        <v>1759</v>
      </c>
      <c r="E262" s="121">
        <v>1156013042</v>
      </c>
      <c r="F262" s="121" t="s">
        <v>1288</v>
      </c>
      <c r="G262" s="121">
        <v>63</v>
      </c>
      <c r="H262" s="122">
        <v>2621229220168</v>
      </c>
      <c r="I262" s="215">
        <v>46228</v>
      </c>
      <c r="J262" s="274" t="s">
        <v>1733</v>
      </c>
      <c r="K262" s="277" cm="1">
        <f t="array" ref="K262">IFERROR(IF(INDEX($P$6:$Q$40,MATCH(TRIM($C262),$O$6:$O$40,0),IF(TRIM($D262)="العينان",2,1))="","",INDEX($P$6:$Q$40,MATCH(TRIM($C262),$O$6:$O$40,0),IF(TRIM($D262)="العينان",2,1))),"")</f>
        <v>650</v>
      </c>
      <c r="L262" s="277">
        <f t="shared" si="8"/>
        <v>487.5</v>
      </c>
      <c r="M262" s="277">
        <f t="shared" si="9"/>
        <v>162.5</v>
      </c>
      <c r="N262" s="216"/>
    </row>
    <row r="263" spans="1:14" ht="26" x14ac:dyDescent="0.6">
      <c r="A263" s="71">
        <v>266</v>
      </c>
      <c r="B263" s="120" t="s">
        <v>1750</v>
      </c>
      <c r="C263" s="121" t="s">
        <v>142</v>
      </c>
      <c r="D263" s="156" t="s">
        <v>1759</v>
      </c>
      <c r="E263" s="121">
        <v>1153867474</v>
      </c>
      <c r="F263" s="121" t="s">
        <v>1288</v>
      </c>
      <c r="G263" s="121">
        <v>55</v>
      </c>
      <c r="H263" s="122">
        <v>27110042200745</v>
      </c>
      <c r="I263" s="215">
        <v>46228</v>
      </c>
      <c r="J263" s="274" t="s">
        <v>1733</v>
      </c>
      <c r="K263" s="277" cm="1">
        <f t="array" ref="K263">IFERROR(IF(INDEX($P$6:$Q$40,MATCH(TRIM($C263),$O$6:$O$40,0),IF(TRIM($D263)="العينان",2,1))="","",INDEX($P$6:$Q$40,MATCH(TRIM($C263),$O$6:$O$40,0),IF(TRIM($D263)="العينان",2,1))),"")</f>
        <v>650</v>
      </c>
      <c r="L263" s="277">
        <f t="shared" si="8"/>
        <v>487.5</v>
      </c>
      <c r="M263" s="277">
        <f t="shared" si="9"/>
        <v>162.5</v>
      </c>
      <c r="N263" s="216"/>
    </row>
    <row r="264" spans="1:14" ht="26" x14ac:dyDescent="0.6">
      <c r="A264" s="71">
        <v>267</v>
      </c>
      <c r="B264" s="120" t="s">
        <v>1751</v>
      </c>
      <c r="C264" s="121" t="s">
        <v>142</v>
      </c>
      <c r="D264" s="156" t="s">
        <v>1759</v>
      </c>
      <c r="E264" s="121">
        <v>1145247267</v>
      </c>
      <c r="F264" s="121" t="s">
        <v>1752</v>
      </c>
      <c r="G264" s="121">
        <v>61</v>
      </c>
      <c r="H264" s="122">
        <v>26006132401001</v>
      </c>
      <c r="I264" s="215">
        <v>46228</v>
      </c>
      <c r="J264" s="274" t="s">
        <v>1733</v>
      </c>
      <c r="K264" s="277" cm="1">
        <f t="array" ref="K264">IFERROR(IF(INDEX($P$6:$Q$40,MATCH(TRIM($C264),$O$6:$O$40,0),IF(TRIM($D264)="العينان",2,1))="","",INDEX($P$6:$Q$40,MATCH(TRIM($C264),$O$6:$O$40,0),IF(TRIM($D264)="العينان",2,1))),"")</f>
        <v>650</v>
      </c>
      <c r="L264" s="277">
        <f t="shared" si="8"/>
        <v>487.5</v>
      </c>
      <c r="M264" s="277">
        <f t="shared" si="9"/>
        <v>162.5</v>
      </c>
      <c r="N264" s="216"/>
    </row>
    <row r="265" spans="1:14" ht="26" x14ac:dyDescent="0.6">
      <c r="A265" s="71">
        <v>268</v>
      </c>
      <c r="B265" s="120" t="s">
        <v>1753</v>
      </c>
      <c r="C265" s="121" t="s">
        <v>186</v>
      </c>
      <c r="D265" s="156" t="s">
        <v>1757</v>
      </c>
      <c r="E265" s="121">
        <v>1129660060</v>
      </c>
      <c r="F265" s="121" t="s">
        <v>212</v>
      </c>
      <c r="G265" s="121">
        <v>75</v>
      </c>
      <c r="H265" s="122">
        <v>25012232401683</v>
      </c>
      <c r="I265" s="215">
        <v>46228</v>
      </c>
      <c r="J265" s="274" t="s">
        <v>1733</v>
      </c>
      <c r="K265" s="277" cm="1">
        <f t="array" ref="K265">IFERROR(IF(INDEX($P$6:$Q$40,MATCH(TRIM($C265),$O$6:$O$40,0),IF(TRIM($D265)="العينان",2,1))="","",INDEX($P$6:$Q$40,MATCH(TRIM($C265),$O$6:$O$40,0),IF(TRIM($D265)="العينان",2,1))),"")</f>
        <v>250</v>
      </c>
      <c r="L265" s="277">
        <f t="shared" si="8"/>
        <v>187.5</v>
      </c>
      <c r="M265" s="277">
        <f t="shared" si="9"/>
        <v>62.5</v>
      </c>
      <c r="N265" s="216"/>
    </row>
    <row r="266" spans="1:14" ht="26" x14ac:dyDescent="0.6">
      <c r="A266" s="71">
        <v>269</v>
      </c>
      <c r="B266" s="120" t="s">
        <v>1754</v>
      </c>
      <c r="C266" s="121" t="s">
        <v>142</v>
      </c>
      <c r="D266" s="156" t="s">
        <v>1759</v>
      </c>
      <c r="E266" s="121">
        <v>1035270709</v>
      </c>
      <c r="F266" s="121" t="s">
        <v>212</v>
      </c>
      <c r="G266" s="121">
        <v>50</v>
      </c>
      <c r="H266" s="122">
        <v>27609012404031</v>
      </c>
      <c r="I266" s="215">
        <v>46230</v>
      </c>
      <c r="J266" s="274" t="s">
        <v>1734</v>
      </c>
      <c r="K266" s="277" cm="1">
        <f t="array" ref="K266">IFERROR(IF(INDEX($P$6:$Q$40,MATCH(TRIM($C266),$O$6:$O$40,0),IF(TRIM($D266)="العينان",2,1))="","",INDEX($P$6:$Q$40,MATCH(TRIM($C266),$O$6:$O$40,0),IF(TRIM($D266)="العينان",2,1))),"")</f>
        <v>650</v>
      </c>
      <c r="L266" s="277">
        <f t="shared" si="8"/>
        <v>474.5</v>
      </c>
      <c r="M266" s="277">
        <f t="shared" si="9"/>
        <v>175.5</v>
      </c>
      <c r="N266" s="216"/>
    </row>
    <row r="267" spans="1:14" ht="26" x14ac:dyDescent="0.6">
      <c r="A267" s="71">
        <v>270</v>
      </c>
      <c r="B267" s="120" t="s">
        <v>1755</v>
      </c>
      <c r="C267" s="121" t="s">
        <v>142</v>
      </c>
      <c r="D267" s="156" t="s">
        <v>1757</v>
      </c>
      <c r="E267" s="121">
        <v>1004635227</v>
      </c>
      <c r="F267" s="121" t="s">
        <v>212</v>
      </c>
      <c r="G267" s="121">
        <v>67</v>
      </c>
      <c r="H267" s="122">
        <v>26807242201646</v>
      </c>
      <c r="I267" s="215">
        <v>46230</v>
      </c>
      <c r="J267" s="274" t="s">
        <v>1734</v>
      </c>
      <c r="K267" s="277" cm="1">
        <f t="array" ref="K267">IFERROR(IF(INDEX($P$6:$Q$40,MATCH(TRIM($C267),$O$6:$O$40,0),IF(TRIM($D267)="العينان",2,1))="","",INDEX($P$6:$Q$40,MATCH(TRIM($C267),$O$6:$O$40,0),IF(TRIM($D267)="العينان",2,1))),"")</f>
        <v>400</v>
      </c>
      <c r="L267" s="277">
        <f t="shared" si="8"/>
        <v>292</v>
      </c>
      <c r="M267" s="277">
        <f t="shared" si="9"/>
        <v>108</v>
      </c>
      <c r="N267" s="216"/>
    </row>
    <row r="268" spans="1:14" ht="26" x14ac:dyDescent="0.6">
      <c r="A268" s="71">
        <v>271</v>
      </c>
      <c r="B268" s="120" t="s">
        <v>1756</v>
      </c>
      <c r="C268" s="121" t="s">
        <v>145</v>
      </c>
      <c r="D268" s="156" t="s">
        <v>1759</v>
      </c>
      <c r="E268" s="121">
        <v>1156765087</v>
      </c>
      <c r="F268" s="121" t="s">
        <v>212</v>
      </c>
      <c r="G268" s="121">
        <v>54</v>
      </c>
      <c r="H268" s="122">
        <v>25409102401867</v>
      </c>
      <c r="I268" s="215">
        <v>46230</v>
      </c>
      <c r="J268" s="274" t="s">
        <v>1734</v>
      </c>
      <c r="K268" s="277" cm="1">
        <f t="array" ref="K268">IFERROR(IF(INDEX($P$6:$Q$40,MATCH(TRIM($C268),$O$6:$O$40,0),IF(TRIM($D268)="العينان",2,1))="","",INDEX($P$6:$Q$40,MATCH(TRIM($C268),$O$6:$O$40,0),IF(TRIM($D268)="العينان",2,1))),"")</f>
        <v>1200</v>
      </c>
      <c r="L268" s="277">
        <f t="shared" si="8"/>
        <v>876</v>
      </c>
      <c r="M268" s="277">
        <f t="shared" si="9"/>
        <v>324</v>
      </c>
      <c r="N268" s="216"/>
    </row>
    <row r="269" spans="1:14" ht="26" x14ac:dyDescent="0.6">
      <c r="A269" s="71">
        <v>272</v>
      </c>
      <c r="B269" s="120"/>
      <c r="C269" s="121"/>
      <c r="D269" s="156"/>
      <c r="E269" s="121"/>
      <c r="F269" s="121"/>
      <c r="G269" s="121"/>
      <c r="H269" s="122"/>
      <c r="I269" s="215"/>
      <c r="J269" s="274"/>
      <c r="K269" s="277" t="str" cm="1">
        <f t="array" ref="K269">IFERROR(IF(INDEX($P$6:$Q$40,MATCH(TRIM($C269),$O$6:$O$40,0),IF(TRIM($D269)="العينان",2,1))="","",INDEX($P$6:$Q$40,MATCH(TRIM($C269),$O$6:$O$40,0),IF(TRIM($D269)="العينان",2,1))),"")</f>
        <v/>
      </c>
      <c r="L269" s="277" t="str">
        <f t="shared" si="8"/>
        <v/>
      </c>
      <c r="M269" s="277" t="str">
        <f t="shared" si="9"/>
        <v/>
      </c>
      <c r="N269" s="216"/>
    </row>
    <row r="270" spans="1:14" ht="26" x14ac:dyDescent="0.6">
      <c r="A270" s="71">
        <v>273</v>
      </c>
      <c r="B270" s="120"/>
      <c r="C270" s="121"/>
      <c r="D270" s="156"/>
      <c r="E270" s="121"/>
      <c r="F270" s="121"/>
      <c r="G270" s="121"/>
      <c r="H270" s="122"/>
      <c r="I270" s="215"/>
      <c r="J270" s="274"/>
      <c r="K270" s="277" t="str" cm="1">
        <f t="array" ref="K270">IFERROR(IF(INDEX($P$6:$Q$40,MATCH(TRIM($C270),$O$6:$O$40,0),IF(TRIM($D270)="العينان",2,1))="","",INDEX($P$6:$Q$40,MATCH(TRIM($C270),$O$6:$O$40,0),IF(TRIM($D270)="العينان",2,1))),"")</f>
        <v/>
      </c>
      <c r="L270" s="277" t="str">
        <f t="shared" si="8"/>
        <v/>
      </c>
      <c r="M270" s="277" t="str">
        <f t="shared" si="9"/>
        <v/>
      </c>
      <c r="N270" s="216"/>
    </row>
    <row r="271" spans="1:14" ht="26" x14ac:dyDescent="0.6">
      <c r="A271" s="71">
        <v>274</v>
      </c>
      <c r="B271" s="120"/>
      <c r="C271" s="121"/>
      <c r="D271" s="156"/>
      <c r="E271" s="121"/>
      <c r="F271" s="121"/>
      <c r="G271" s="121"/>
      <c r="H271" s="122"/>
      <c r="I271" s="215"/>
      <c r="J271" s="274"/>
      <c r="K271" s="277" t="str" cm="1">
        <f t="array" ref="K271">IFERROR(IF(INDEX($P$6:$Q$40,MATCH(TRIM($C271),$O$6:$O$40,0),IF(TRIM($D271)="العينان",2,1))="","",INDEX($P$6:$Q$40,MATCH(TRIM($C271),$O$6:$O$40,0),IF(TRIM($D271)="العينان",2,1))),"")</f>
        <v/>
      </c>
      <c r="L271" s="277" t="str">
        <f t="shared" si="8"/>
        <v/>
      </c>
      <c r="M271" s="277" t="str">
        <f t="shared" si="9"/>
        <v/>
      </c>
      <c r="N271" s="216"/>
    </row>
    <row r="272" spans="1:14" ht="26" x14ac:dyDescent="0.6">
      <c r="A272" s="71">
        <v>275</v>
      </c>
      <c r="B272" s="120"/>
      <c r="C272" s="121"/>
      <c r="D272" s="156"/>
      <c r="E272" s="121"/>
      <c r="F272" s="121"/>
      <c r="G272" s="121"/>
      <c r="H272" s="122"/>
      <c r="I272" s="215"/>
      <c r="J272" s="274"/>
      <c r="K272" s="277" t="str" cm="1">
        <f t="array" ref="K272">IFERROR(IF(INDEX($P$6:$Q$40,MATCH(TRIM($C272),$O$6:$O$40,0),IF(TRIM($D272)="العينان",2,1))="","",INDEX($P$6:$Q$40,MATCH(TRIM($C272),$O$6:$O$40,0),IF(TRIM($D272)="العينان",2,1))),"")</f>
        <v/>
      </c>
      <c r="L272" s="277" t="str">
        <f t="shared" si="8"/>
        <v/>
      </c>
      <c r="M272" s="277" t="str">
        <f t="shared" si="9"/>
        <v/>
      </c>
      <c r="N272" s="216"/>
    </row>
    <row r="273" spans="1:14" ht="26" x14ac:dyDescent="0.6">
      <c r="A273" s="71">
        <v>276</v>
      </c>
      <c r="B273" s="120"/>
      <c r="C273" s="121"/>
      <c r="D273" s="156"/>
      <c r="E273" s="121"/>
      <c r="F273" s="121"/>
      <c r="G273" s="121"/>
      <c r="H273" s="122"/>
      <c r="I273" s="215"/>
      <c r="J273" s="274"/>
      <c r="K273" s="277" t="str" cm="1">
        <f t="array" ref="K273">IFERROR(IF(INDEX($P$6:$Q$40,MATCH(TRIM($C273),$O$6:$O$40,0),IF(TRIM($D273)="العينان",2,1))="","",INDEX($P$6:$Q$40,MATCH(TRIM($C273),$O$6:$O$40,0),IF(TRIM($D273)="العينان",2,1))),"")</f>
        <v/>
      </c>
      <c r="L273" s="277" t="str">
        <f t="shared" si="8"/>
        <v/>
      </c>
      <c r="M273" s="277" t="str">
        <f t="shared" si="9"/>
        <v/>
      </c>
      <c r="N273" s="216"/>
    </row>
    <row r="274" spans="1:14" ht="26" x14ac:dyDescent="0.6">
      <c r="A274" s="71">
        <v>277</v>
      </c>
      <c r="B274" s="120"/>
      <c r="C274" s="121"/>
      <c r="D274" s="156"/>
      <c r="E274" s="121"/>
      <c r="F274" s="121"/>
      <c r="G274" s="121"/>
      <c r="H274" s="122"/>
      <c r="I274" s="215"/>
      <c r="J274" s="274"/>
      <c r="K274" s="277" t="str" cm="1">
        <f t="array" ref="K274">IFERROR(IF(INDEX($P$6:$Q$40,MATCH(TRIM($C274),$O$6:$O$40,0),IF(TRIM($D274)="العينان",2,1))="","",INDEX($P$6:$Q$40,MATCH(TRIM($C274),$O$6:$O$40,0),IF(TRIM($D274)="العينان",2,1))),"")</f>
        <v/>
      </c>
      <c r="L274" s="277" t="str">
        <f t="shared" si="8"/>
        <v/>
      </c>
      <c r="M274" s="277" t="str">
        <f t="shared" si="9"/>
        <v/>
      </c>
      <c r="N274" s="216"/>
    </row>
    <row r="275" spans="1:14" ht="26" x14ac:dyDescent="0.6">
      <c r="A275" s="71">
        <v>278</v>
      </c>
      <c r="B275" s="120"/>
      <c r="C275" s="121"/>
      <c r="D275" s="156"/>
      <c r="E275" s="121"/>
      <c r="F275" s="121"/>
      <c r="G275" s="121"/>
      <c r="H275" s="122"/>
      <c r="I275" s="215"/>
      <c r="J275" s="274"/>
      <c r="K275" s="277" t="str" cm="1">
        <f t="array" ref="K275">IFERROR(IF(INDEX($P$6:$Q$40,MATCH(TRIM($C275),$O$6:$O$40,0),IF(TRIM($D275)="العينان",2,1))="","",INDEX($P$6:$Q$40,MATCH(TRIM($C275),$O$6:$O$40,0),IF(TRIM($D275)="العينان",2,1))),"")</f>
        <v/>
      </c>
      <c r="L275" s="277" t="str">
        <f t="shared" si="8"/>
        <v/>
      </c>
      <c r="M275" s="277" t="str">
        <f t="shared" si="9"/>
        <v/>
      </c>
      <c r="N275" s="216"/>
    </row>
    <row r="276" spans="1:14" ht="26" x14ac:dyDescent="0.6">
      <c r="A276" s="71">
        <v>279</v>
      </c>
      <c r="B276" s="120"/>
      <c r="C276" s="121"/>
      <c r="D276" s="156"/>
      <c r="E276" s="121"/>
      <c r="F276" s="121"/>
      <c r="G276" s="121"/>
      <c r="H276" s="122"/>
      <c r="I276" s="215"/>
      <c r="J276" s="274"/>
      <c r="K276" s="277" t="str" cm="1">
        <f t="array" ref="K276">IFERROR(IF(INDEX($P$6:$Q$40,MATCH(TRIM($C276),$O$6:$O$40,0),IF(TRIM($D276)="العينان",2,1))="","",INDEX($P$6:$Q$40,MATCH(TRIM($C276),$O$6:$O$40,0),IF(TRIM($D276)="العينان",2,1))),"")</f>
        <v/>
      </c>
      <c r="L276" s="277" t="str">
        <f t="shared" si="8"/>
        <v/>
      </c>
      <c r="M276" s="277" t="str">
        <f t="shared" si="9"/>
        <v/>
      </c>
      <c r="N276" s="216"/>
    </row>
    <row r="277" spans="1:14" ht="26" x14ac:dyDescent="0.6">
      <c r="A277" s="71">
        <v>280</v>
      </c>
      <c r="B277" s="120"/>
      <c r="C277" s="121"/>
      <c r="D277" s="156"/>
      <c r="E277" s="121"/>
      <c r="F277" s="121"/>
      <c r="G277" s="121"/>
      <c r="H277" s="122"/>
      <c r="I277" s="215"/>
      <c r="J277" s="274"/>
      <c r="K277" s="277" t="str" cm="1">
        <f t="array" ref="K277">IFERROR(IF(INDEX($P$6:$Q$40,MATCH(TRIM($C277),$O$6:$O$40,0),IF(TRIM($D277)="العينان",2,1))="","",INDEX($P$6:$Q$40,MATCH(TRIM($C277),$O$6:$O$40,0),IF(TRIM($D277)="العينان",2,1))),"")</f>
        <v/>
      </c>
      <c r="L277" s="277" t="str">
        <f t="shared" si="8"/>
        <v/>
      </c>
      <c r="M277" s="277" t="str">
        <f t="shared" si="9"/>
        <v/>
      </c>
      <c r="N277" s="216"/>
    </row>
    <row r="278" spans="1:14" ht="26" x14ac:dyDescent="0.6">
      <c r="A278" s="71">
        <v>281</v>
      </c>
      <c r="B278" s="120"/>
      <c r="C278" s="121"/>
      <c r="D278" s="156"/>
      <c r="E278" s="121"/>
      <c r="F278" s="121"/>
      <c r="G278" s="121"/>
      <c r="H278" s="122"/>
      <c r="I278" s="215"/>
      <c r="J278" s="274"/>
      <c r="K278" s="277" t="str" cm="1">
        <f t="array" ref="K278">IFERROR(IF(INDEX($P$6:$Q$40,MATCH(TRIM($C278),$O$6:$O$40,0),IF(TRIM($D278)="العينان",2,1))="","",INDEX($P$6:$Q$40,MATCH(TRIM($C278),$O$6:$O$40,0),IF(TRIM($D278)="العينان",2,1))),"")</f>
        <v/>
      </c>
      <c r="L278" s="277" t="str">
        <f t="shared" si="8"/>
        <v/>
      </c>
      <c r="M278" s="277" t="str">
        <f t="shared" si="9"/>
        <v/>
      </c>
      <c r="N278" s="216"/>
    </row>
    <row r="279" spans="1:14" ht="26" x14ac:dyDescent="0.6">
      <c r="A279" s="71">
        <v>282</v>
      </c>
      <c r="B279" s="120"/>
      <c r="C279" s="121"/>
      <c r="D279" s="156"/>
      <c r="E279" s="121"/>
      <c r="F279" s="121"/>
      <c r="G279" s="121"/>
      <c r="H279" s="122"/>
      <c r="I279" s="215"/>
      <c r="J279" s="274"/>
      <c r="K279" s="277" t="str" cm="1">
        <f t="array" ref="K279">IFERROR(IF(INDEX($P$6:$Q$40,MATCH(TRIM($C279),$O$6:$O$40,0),IF(TRIM($D279)="العينان",2,1))="","",INDEX($P$6:$Q$40,MATCH(TRIM($C279),$O$6:$O$40,0),IF(TRIM($D279)="العينان",2,1))),"")</f>
        <v/>
      </c>
      <c r="L279" s="277" t="str">
        <f t="shared" si="8"/>
        <v/>
      </c>
      <c r="M279" s="277" t="str">
        <f t="shared" si="9"/>
        <v/>
      </c>
      <c r="N279" s="216"/>
    </row>
    <row r="280" spans="1:14" ht="26" x14ac:dyDescent="0.6">
      <c r="A280" s="71">
        <v>283</v>
      </c>
      <c r="B280" s="120"/>
      <c r="C280" s="121"/>
      <c r="D280" s="156"/>
      <c r="E280" s="121"/>
      <c r="F280" s="121"/>
      <c r="G280" s="121"/>
      <c r="H280" s="122"/>
      <c r="I280" s="215"/>
      <c r="J280" s="274"/>
      <c r="K280" s="277" t="str" cm="1">
        <f t="array" ref="K280">IFERROR(IF(INDEX($P$6:$Q$40,MATCH(TRIM($C280),$O$6:$O$40,0),IF(TRIM($D280)="العينان",2,1))="","",INDEX($P$6:$Q$40,MATCH(TRIM($C280),$O$6:$O$40,0),IF(TRIM($D280)="العينان",2,1))),"")</f>
        <v/>
      </c>
      <c r="L280" s="277" t="str">
        <f t="shared" si="8"/>
        <v/>
      </c>
      <c r="M280" s="277" t="str">
        <f t="shared" si="9"/>
        <v/>
      </c>
      <c r="N280" s="216"/>
    </row>
    <row r="281" spans="1:14" ht="26" x14ac:dyDescent="0.6">
      <c r="A281" s="71">
        <v>284</v>
      </c>
      <c r="B281" s="120"/>
      <c r="C281" s="121"/>
      <c r="D281" s="156"/>
      <c r="E281" s="121"/>
      <c r="F281" s="121"/>
      <c r="G281" s="121"/>
      <c r="H281" s="122"/>
      <c r="I281" s="215"/>
      <c r="J281" s="274"/>
      <c r="K281" s="277" t="str" cm="1">
        <f t="array" ref="K281">IFERROR(IF(INDEX($P$6:$Q$40,MATCH(TRIM($C281),$O$6:$O$40,0),IF(TRIM($D281)="العينان",2,1))="","",INDEX($P$6:$Q$40,MATCH(TRIM($C281),$O$6:$O$40,0),IF(TRIM($D281)="العينان",2,1))),"")</f>
        <v/>
      </c>
      <c r="L281" s="277" t="str">
        <f t="shared" si="8"/>
        <v/>
      </c>
      <c r="M281" s="277" t="str">
        <f t="shared" si="9"/>
        <v/>
      </c>
      <c r="N281" s="216"/>
    </row>
    <row r="282" spans="1:14" ht="26" x14ac:dyDescent="0.6">
      <c r="A282" s="71">
        <v>285</v>
      </c>
      <c r="B282" s="120"/>
      <c r="C282" s="121"/>
      <c r="D282" s="156"/>
      <c r="E282" s="121"/>
      <c r="F282" s="121"/>
      <c r="G282" s="121"/>
      <c r="H282" s="122"/>
      <c r="I282" s="215"/>
      <c r="J282" s="274"/>
      <c r="K282" s="277" t="str" cm="1">
        <f t="array" ref="K282">IFERROR(IF(INDEX($P$6:$Q$40,MATCH(TRIM($C282),$O$6:$O$40,0),IF(TRIM($D282)="العينان",2,1))="","",INDEX($P$6:$Q$40,MATCH(TRIM($C282),$O$6:$O$40,0),IF(TRIM($D282)="العينان",2,1))),"")</f>
        <v/>
      </c>
      <c r="L282" s="277" t="str">
        <f t="shared" si="8"/>
        <v/>
      </c>
      <c r="M282" s="277" t="str">
        <f t="shared" si="9"/>
        <v/>
      </c>
      <c r="N282" s="216"/>
    </row>
    <row r="283" spans="1:14" ht="26" x14ac:dyDescent="0.6">
      <c r="A283" s="71">
        <v>286</v>
      </c>
      <c r="B283" s="120"/>
      <c r="C283" s="121"/>
      <c r="D283" s="156"/>
      <c r="E283" s="121"/>
      <c r="F283" s="121"/>
      <c r="G283" s="121"/>
      <c r="H283" s="122"/>
      <c r="I283" s="215"/>
      <c r="J283" s="274"/>
      <c r="K283" s="277" t="str" cm="1">
        <f t="array" ref="K283">IFERROR(IF(INDEX($P$6:$Q$40,MATCH(TRIM($C283),$O$6:$O$40,0),IF(TRIM($D283)="العينان",2,1))="","",INDEX($P$6:$Q$40,MATCH(TRIM($C283),$O$6:$O$40,0),IF(TRIM($D283)="العينان",2,1))),"")</f>
        <v/>
      </c>
      <c r="L283" s="277" t="str">
        <f t="shared" si="8"/>
        <v/>
      </c>
      <c r="M283" s="277" t="str">
        <f t="shared" si="9"/>
        <v/>
      </c>
      <c r="N283" s="216"/>
    </row>
    <row r="284" spans="1:14" ht="26" x14ac:dyDescent="0.6">
      <c r="A284" s="71">
        <v>287</v>
      </c>
      <c r="B284" s="120"/>
      <c r="C284" s="121"/>
      <c r="D284" s="156"/>
      <c r="E284" s="121"/>
      <c r="F284" s="121"/>
      <c r="G284" s="121"/>
      <c r="H284" s="122"/>
      <c r="I284" s="215"/>
      <c r="J284" s="274"/>
      <c r="K284" s="277" t="str" cm="1">
        <f t="array" ref="K284">IFERROR(IF(INDEX($P$6:$Q$40,MATCH(TRIM($C284),$O$6:$O$40,0),IF(TRIM($D284)="العينان",2,1))="","",INDEX($P$6:$Q$40,MATCH(TRIM($C284),$O$6:$O$40,0),IF(TRIM($D284)="العينان",2,1))),"")</f>
        <v/>
      </c>
      <c r="L284" s="277" t="str">
        <f t="shared" si="8"/>
        <v/>
      </c>
      <c r="M284" s="277" t="str">
        <f t="shared" si="9"/>
        <v/>
      </c>
      <c r="N284" s="216"/>
    </row>
    <row r="285" spans="1:14" ht="26" x14ac:dyDescent="0.6">
      <c r="A285" s="71">
        <v>288</v>
      </c>
      <c r="B285" s="120"/>
      <c r="C285" s="121"/>
      <c r="D285" s="156"/>
      <c r="E285" s="121"/>
      <c r="F285" s="121"/>
      <c r="G285" s="121"/>
      <c r="H285" s="122"/>
      <c r="I285" s="215"/>
      <c r="J285" s="274"/>
      <c r="K285" s="277" t="str" cm="1">
        <f t="array" ref="K285">IFERROR(IF(INDEX($P$6:$Q$40,MATCH(TRIM($C285),$O$6:$O$40,0),IF(TRIM($D285)="العينان",2,1))="","",INDEX($P$6:$Q$40,MATCH(TRIM($C285),$O$6:$O$40,0),IF(TRIM($D285)="العينان",2,1))),"")</f>
        <v/>
      </c>
      <c r="L285" s="277" t="str">
        <f t="shared" si="8"/>
        <v/>
      </c>
      <c r="M285" s="277" t="str">
        <f t="shared" si="9"/>
        <v/>
      </c>
      <c r="N285" s="216"/>
    </row>
    <row r="286" spans="1:14" ht="26" x14ac:dyDescent="0.6">
      <c r="A286" s="71">
        <v>289</v>
      </c>
      <c r="B286" s="120"/>
      <c r="C286" s="121"/>
      <c r="D286" s="156"/>
      <c r="E286" s="121"/>
      <c r="F286" s="121"/>
      <c r="G286" s="121"/>
      <c r="H286" s="122"/>
      <c r="I286" s="215"/>
      <c r="J286" s="274"/>
      <c r="K286" s="277" t="str" cm="1">
        <f t="array" ref="K286">IFERROR(IF(INDEX($P$6:$Q$40,MATCH(TRIM($C286),$O$6:$O$40,0),IF(TRIM($D286)="العينان",2,1))="","",INDEX($P$6:$Q$40,MATCH(TRIM($C286),$O$6:$O$40,0),IF(TRIM($D286)="العينان",2,1))),"")</f>
        <v/>
      </c>
      <c r="L286" s="277" t="str">
        <f t="shared" si="8"/>
        <v/>
      </c>
      <c r="M286" s="277" t="str">
        <f t="shared" si="9"/>
        <v/>
      </c>
      <c r="N286" s="216"/>
    </row>
    <row r="287" spans="1:14" ht="26" x14ac:dyDescent="0.6">
      <c r="A287" s="71">
        <v>290</v>
      </c>
      <c r="B287" s="70"/>
      <c r="C287" s="121"/>
      <c r="D287" s="156"/>
      <c r="E287" s="121"/>
      <c r="F287" s="121"/>
      <c r="G287" s="121"/>
      <c r="H287" s="122"/>
      <c r="I287" s="215"/>
      <c r="J287" s="274"/>
      <c r="K287" s="277" t="str" cm="1">
        <f t="array" ref="K287">IFERROR(IF(INDEX($P$6:$Q$40,MATCH(TRIM($C287),$O$6:$O$40,0),IF(TRIM($D287)="العينان",2,1))="","",INDEX($P$6:$Q$40,MATCH(TRIM($C287),$O$6:$O$40,0),IF(TRIM($D287)="العينان",2,1))),"")</f>
        <v/>
      </c>
      <c r="L287" s="277" t="str">
        <f t="shared" si="8"/>
        <v/>
      </c>
      <c r="M287" s="277" t="str">
        <f t="shared" si="9"/>
        <v/>
      </c>
      <c r="N287" s="216"/>
    </row>
    <row r="288" spans="1:14" ht="26" x14ac:dyDescent="0.6">
      <c r="A288" s="71">
        <v>291</v>
      </c>
      <c r="B288" s="70"/>
      <c r="C288" s="72"/>
      <c r="D288" s="156"/>
      <c r="E288" s="121"/>
      <c r="F288" s="121"/>
      <c r="G288" s="121"/>
      <c r="H288" s="122"/>
      <c r="I288" s="215"/>
      <c r="J288" s="274"/>
      <c r="K288" s="277" t="str" cm="1">
        <f t="array" ref="K288">IFERROR(IF(INDEX($P$6:$Q$40,MATCH(TRIM($C288),$O$6:$O$40,0),IF(TRIM($D288)="العينان",2,1))="","",INDEX($P$6:$Q$40,MATCH(TRIM($C288),$O$6:$O$40,0),IF(TRIM($D288)="العينان",2,1))),"")</f>
        <v/>
      </c>
      <c r="L288" s="277" t="str">
        <f t="shared" si="8"/>
        <v/>
      </c>
      <c r="M288" s="277" t="str">
        <f t="shared" si="9"/>
        <v/>
      </c>
      <c r="N288" s="216"/>
    </row>
    <row r="289" spans="1:14" ht="26" x14ac:dyDescent="0.6">
      <c r="A289" s="71">
        <v>292</v>
      </c>
      <c r="B289" s="70"/>
      <c r="C289" s="72"/>
      <c r="D289" s="156"/>
      <c r="E289" s="121"/>
      <c r="F289" s="121"/>
      <c r="G289" s="121"/>
      <c r="H289" s="122"/>
      <c r="I289" s="215"/>
      <c r="J289" s="274"/>
      <c r="K289" s="277" t="str" cm="1">
        <f t="array" ref="K289">IFERROR(IF(INDEX($P$6:$Q$40,MATCH(TRIM($C289),$O$6:$O$40,0),IF(TRIM($D289)="العينان",2,1))="","",INDEX($P$6:$Q$40,MATCH(TRIM($C289),$O$6:$O$40,0),IF(TRIM($D289)="العينان",2,1))),"")</f>
        <v/>
      </c>
      <c r="L289" s="277" t="str">
        <f t="shared" si="8"/>
        <v/>
      </c>
      <c r="M289" s="277" t="str">
        <f t="shared" si="9"/>
        <v/>
      </c>
      <c r="N289" s="216"/>
    </row>
    <row r="290" spans="1:14" ht="26" x14ac:dyDescent="0.6">
      <c r="A290" s="71">
        <v>293</v>
      </c>
      <c r="B290" s="70"/>
      <c r="C290" s="72"/>
      <c r="D290" s="156"/>
      <c r="E290" s="121"/>
      <c r="F290" s="121"/>
      <c r="G290" s="121"/>
      <c r="H290" s="122"/>
      <c r="I290" s="215"/>
      <c r="J290" s="274"/>
      <c r="K290" s="277" t="str" cm="1">
        <f t="array" ref="K290">IFERROR(IF(INDEX($P$6:$Q$40,MATCH(TRIM($C290),$O$6:$O$40,0),IF(TRIM($D290)="العينان",2,1))="","",INDEX($P$6:$Q$40,MATCH(TRIM($C290),$O$6:$O$40,0),IF(TRIM($D290)="العينان",2,1))),"")</f>
        <v/>
      </c>
      <c r="L290" s="277" t="str">
        <f t="shared" si="8"/>
        <v/>
      </c>
      <c r="M290" s="277" t="str">
        <f t="shared" si="9"/>
        <v/>
      </c>
      <c r="N290" s="216"/>
    </row>
    <row r="291" spans="1:14" ht="26" x14ac:dyDescent="0.6">
      <c r="A291" s="71">
        <v>294</v>
      </c>
      <c r="B291" s="70"/>
      <c r="C291" s="72"/>
      <c r="D291" s="156"/>
      <c r="E291" s="121"/>
      <c r="F291" s="121"/>
      <c r="G291" s="121"/>
      <c r="H291" s="122"/>
      <c r="I291" s="215"/>
      <c r="J291" s="274"/>
      <c r="K291" s="277" t="str" cm="1">
        <f t="array" ref="K291">IFERROR(IF(INDEX($P$6:$Q$40,MATCH(TRIM($C291),$O$6:$O$40,0),IF(TRIM($D291)="العينان",2,1))="","",INDEX($P$6:$Q$40,MATCH(TRIM($C291),$O$6:$O$40,0),IF(TRIM($D291)="العينان",2,1))),"")</f>
        <v/>
      </c>
      <c r="L291" s="277" t="str">
        <f t="shared" si="8"/>
        <v/>
      </c>
      <c r="M291" s="277" t="str">
        <f t="shared" si="9"/>
        <v/>
      </c>
      <c r="N291" s="216"/>
    </row>
    <row r="292" spans="1:14" ht="26" x14ac:dyDescent="0.6">
      <c r="A292" s="71">
        <v>295</v>
      </c>
      <c r="B292" s="70"/>
      <c r="C292" s="72"/>
      <c r="D292" s="156"/>
      <c r="E292" s="121"/>
      <c r="F292" s="121"/>
      <c r="G292" s="121"/>
      <c r="H292" s="122"/>
      <c r="I292" s="215"/>
      <c r="J292" s="274"/>
      <c r="K292" s="277" t="str" cm="1">
        <f t="array" ref="K292">IFERROR(IF(INDEX($P$6:$Q$40,MATCH(TRIM($C292),$O$6:$O$40,0),IF(TRIM($D292)="العينان",2,1))="","",INDEX($P$6:$Q$40,MATCH(TRIM($C292),$O$6:$O$40,0),IF(TRIM($D292)="العينان",2,1))),"")</f>
        <v/>
      </c>
      <c r="L292" s="277" t="str">
        <f t="shared" si="8"/>
        <v/>
      </c>
      <c r="M292" s="277" t="str">
        <f t="shared" si="9"/>
        <v/>
      </c>
      <c r="N292" s="216"/>
    </row>
    <row r="293" spans="1:14" ht="26" x14ac:dyDescent="0.6">
      <c r="A293" s="71">
        <v>296</v>
      </c>
      <c r="B293" s="70"/>
      <c r="C293" s="72"/>
      <c r="D293" s="156"/>
      <c r="E293" s="121"/>
      <c r="F293" s="121"/>
      <c r="G293" s="121"/>
      <c r="H293" s="122"/>
      <c r="I293" s="215"/>
      <c r="J293" s="274"/>
      <c r="K293" s="277" t="str" cm="1">
        <f t="array" ref="K293">IFERROR(IF(INDEX($P$6:$Q$40,MATCH(TRIM($C293),$O$6:$O$40,0),IF(TRIM($D293)="العينان",2,1))="","",INDEX($P$6:$Q$40,MATCH(TRIM($C293),$O$6:$O$40,0),IF(TRIM($D293)="العينان",2,1))),"")</f>
        <v/>
      </c>
      <c r="L293" s="277" t="str">
        <f t="shared" si="8"/>
        <v/>
      </c>
      <c r="M293" s="277" t="str">
        <f t="shared" si="9"/>
        <v/>
      </c>
      <c r="N293" s="216"/>
    </row>
    <row r="294" spans="1:14" ht="26" x14ac:dyDescent="0.6">
      <c r="A294" s="71">
        <v>297</v>
      </c>
      <c r="B294" s="70"/>
      <c r="C294" s="72"/>
      <c r="D294" s="156"/>
      <c r="E294" s="121"/>
      <c r="F294" s="121"/>
      <c r="G294" s="121"/>
      <c r="H294" s="122"/>
      <c r="I294" s="215"/>
      <c r="J294" s="274"/>
      <c r="K294" s="277" t="str" cm="1">
        <f t="array" ref="K294">IFERROR(IF(INDEX($P$6:$Q$40,MATCH(TRIM($C294),$O$6:$O$40,0),IF(TRIM($D294)="العينان",2,1))="","",INDEX($P$6:$Q$40,MATCH(TRIM($C294),$O$6:$O$40,0),IF(TRIM($D294)="العينان",2,1))),"")</f>
        <v/>
      </c>
      <c r="L294" s="277" t="str">
        <f t="shared" si="8"/>
        <v/>
      </c>
      <c r="M294" s="277" t="str">
        <f t="shared" si="9"/>
        <v/>
      </c>
      <c r="N294" s="216"/>
    </row>
    <row r="295" spans="1:14" ht="26" x14ac:dyDescent="0.6">
      <c r="A295" s="71">
        <v>298</v>
      </c>
      <c r="B295" s="70"/>
      <c r="C295" s="72"/>
      <c r="D295" s="156"/>
      <c r="E295" s="121"/>
      <c r="F295" s="121"/>
      <c r="G295" s="121"/>
      <c r="H295" s="122"/>
      <c r="I295" s="215"/>
      <c r="J295" s="274"/>
      <c r="K295" s="277" t="str" cm="1">
        <f t="array" ref="K295">IFERROR(IF(INDEX($P$6:$Q$40,MATCH(TRIM($C295),$O$6:$O$40,0),IF(TRIM($D295)="العينان",2,1))="","",INDEX($P$6:$Q$40,MATCH(TRIM($C295),$O$6:$O$40,0),IF(TRIM($D295)="العينان",2,1))),"")</f>
        <v/>
      </c>
      <c r="L295" s="277" t="str">
        <f t="shared" si="8"/>
        <v/>
      </c>
      <c r="M295" s="277" t="str">
        <f t="shared" si="9"/>
        <v/>
      </c>
      <c r="N295" s="216"/>
    </row>
    <row r="296" spans="1:14" ht="26" x14ac:dyDescent="0.6">
      <c r="A296" s="71">
        <v>299</v>
      </c>
      <c r="B296" s="70"/>
      <c r="C296" s="72"/>
      <c r="D296" s="156"/>
      <c r="E296" s="121"/>
      <c r="F296" s="121"/>
      <c r="G296" s="121"/>
      <c r="H296" s="122"/>
      <c r="I296" s="215"/>
      <c r="J296" s="274"/>
      <c r="K296" s="277" t="str" cm="1">
        <f t="array" ref="K296">IFERROR(IF(INDEX($P$6:$Q$40,MATCH(TRIM($C296),$O$6:$O$40,0),IF(TRIM($D296)="العينان",2,1))="","",INDEX($P$6:$Q$40,MATCH(TRIM($C296),$O$6:$O$40,0),IF(TRIM($D296)="العينان",2,1))),"")</f>
        <v/>
      </c>
      <c r="L296" s="277" t="str">
        <f t="shared" si="8"/>
        <v/>
      </c>
      <c r="M296" s="277" t="str">
        <f t="shared" si="9"/>
        <v/>
      </c>
      <c r="N296" s="216"/>
    </row>
    <row r="297" spans="1:14" ht="26" x14ac:dyDescent="0.6">
      <c r="A297" s="71">
        <v>300</v>
      </c>
      <c r="B297" s="70"/>
      <c r="C297" s="72"/>
      <c r="D297" s="156"/>
      <c r="E297" s="121"/>
      <c r="F297" s="121"/>
      <c r="G297" s="121"/>
      <c r="H297" s="122"/>
      <c r="I297" s="215"/>
      <c r="J297" s="274"/>
      <c r="K297" s="277" t="str" cm="1">
        <f t="array" ref="K297">IFERROR(IF(INDEX($P$6:$Q$40,MATCH(TRIM($C297),$O$6:$O$40,0),IF(TRIM($D297)="العينان",2,1))="","",INDEX($P$6:$Q$40,MATCH(TRIM($C297),$O$6:$O$40,0),IF(TRIM($D297)="العينان",2,1))),"")</f>
        <v/>
      </c>
      <c r="L297" s="277" t="str">
        <f t="shared" si="8"/>
        <v/>
      </c>
      <c r="M297" s="277" t="str">
        <f t="shared" si="9"/>
        <v/>
      </c>
      <c r="N297" s="216"/>
    </row>
    <row r="298" spans="1:14" ht="26" x14ac:dyDescent="0.6">
      <c r="A298" s="71">
        <v>301</v>
      </c>
      <c r="B298" s="70"/>
      <c r="C298" s="72"/>
      <c r="D298" s="156"/>
      <c r="E298" s="121"/>
      <c r="F298" s="121"/>
      <c r="G298" s="121"/>
      <c r="H298" s="122"/>
      <c r="I298" s="215"/>
      <c r="J298" s="274"/>
      <c r="K298" s="277" t="str" cm="1">
        <f t="array" ref="K298">IFERROR(IF(INDEX($P$6:$Q$40,MATCH(TRIM($C298),$O$6:$O$40,0),IF(TRIM($D298)="العينان",2,1))="","",INDEX($P$6:$Q$40,MATCH(TRIM($C298),$O$6:$O$40,0),IF(TRIM($D298)="العينان",2,1))),"")</f>
        <v/>
      </c>
      <c r="L298" s="277" t="str">
        <f t="shared" si="8"/>
        <v/>
      </c>
      <c r="M298" s="277" t="str">
        <f t="shared" si="9"/>
        <v/>
      </c>
      <c r="N298" s="216"/>
    </row>
    <row r="299" spans="1:14" ht="26" x14ac:dyDescent="0.6">
      <c r="A299" s="71">
        <v>302</v>
      </c>
      <c r="B299" s="70"/>
      <c r="C299" s="72"/>
      <c r="D299" s="156"/>
      <c r="E299" s="121"/>
      <c r="F299" s="121"/>
      <c r="G299" s="121"/>
      <c r="H299" s="122"/>
      <c r="I299" s="215"/>
      <c r="J299" s="274"/>
      <c r="K299" s="277" t="str" cm="1">
        <f t="array" ref="K299">IFERROR(IF(INDEX($P$6:$Q$40,MATCH(TRIM($C299),$O$6:$O$40,0),IF(TRIM($D299)="العينان",2,1))="","",INDEX($P$6:$Q$40,MATCH(TRIM($C299),$O$6:$O$40,0),IF(TRIM($D299)="العينان",2,1))),"")</f>
        <v/>
      </c>
      <c r="L299" s="277" t="str">
        <f t="shared" si="8"/>
        <v/>
      </c>
      <c r="M299" s="277" t="str">
        <f t="shared" si="9"/>
        <v/>
      </c>
      <c r="N299" s="216"/>
    </row>
    <row r="300" spans="1:14" ht="26" x14ac:dyDescent="0.6">
      <c r="A300" s="71">
        <v>303</v>
      </c>
      <c r="B300" s="70"/>
      <c r="C300" s="72"/>
      <c r="D300" s="156"/>
      <c r="E300" s="121"/>
      <c r="F300" s="121"/>
      <c r="G300" s="121"/>
      <c r="H300" s="122"/>
      <c r="I300" s="215"/>
      <c r="J300" s="274"/>
      <c r="K300" s="277" t="str" cm="1">
        <f t="array" ref="K300">IFERROR(IF(INDEX($P$6:$Q$40,MATCH(TRIM($C300),$O$6:$O$40,0),IF(TRIM($D300)="العينان",2,1))="","",INDEX($P$6:$Q$40,MATCH(TRIM($C300),$O$6:$O$40,0),IF(TRIM($D300)="العينان",2,1))),"")</f>
        <v/>
      </c>
      <c r="L300" s="277" t="str">
        <f t="shared" si="8"/>
        <v/>
      </c>
      <c r="M300" s="277" t="str">
        <f t="shared" si="9"/>
        <v/>
      </c>
      <c r="N300" s="216"/>
    </row>
    <row r="301" spans="1:14" ht="26" x14ac:dyDescent="0.6">
      <c r="A301" s="71">
        <v>304</v>
      </c>
      <c r="B301" s="70"/>
      <c r="C301" s="72"/>
      <c r="D301" s="156"/>
      <c r="E301" s="121"/>
      <c r="F301" s="121"/>
      <c r="G301" s="121"/>
      <c r="H301" s="122"/>
      <c r="I301" s="215"/>
      <c r="J301" s="274"/>
      <c r="K301" s="277" t="str" cm="1">
        <f t="array" ref="K301">IFERROR(IF(INDEX($P$6:$Q$40,MATCH(TRIM($C301),$O$6:$O$40,0),IF(TRIM($D301)="العينان",2,1))="","",INDEX($P$6:$Q$40,MATCH(TRIM($C301),$O$6:$O$40,0),IF(TRIM($D301)="العينان",2,1))),"")</f>
        <v/>
      </c>
      <c r="L301" s="277" t="str">
        <f t="shared" si="8"/>
        <v/>
      </c>
      <c r="M301" s="277" t="str">
        <f t="shared" si="9"/>
        <v/>
      </c>
      <c r="N301" s="216"/>
    </row>
    <row r="302" spans="1:14" ht="26" x14ac:dyDescent="0.6">
      <c r="A302" s="71">
        <v>305</v>
      </c>
      <c r="B302" s="70"/>
      <c r="C302" s="72"/>
      <c r="D302" s="156"/>
      <c r="E302" s="121"/>
      <c r="F302" s="121"/>
      <c r="G302" s="121"/>
      <c r="H302" s="122"/>
      <c r="I302" s="215"/>
      <c r="J302" s="274"/>
      <c r="K302" s="277" t="str" cm="1">
        <f t="array" ref="K302">IFERROR(IF(INDEX($P$6:$Q$40,MATCH(TRIM($C302),$O$6:$O$40,0),IF(TRIM($D302)="العينان",2,1))="","",INDEX($P$6:$Q$40,MATCH(TRIM($C302),$O$6:$O$40,0),IF(TRIM($D302)="العينان",2,1))),"")</f>
        <v/>
      </c>
      <c r="L302" s="277" t="str">
        <f t="shared" si="8"/>
        <v/>
      </c>
      <c r="M302" s="277" t="str">
        <f t="shared" si="9"/>
        <v/>
      </c>
      <c r="N302" s="216"/>
    </row>
    <row r="303" spans="1:14" ht="26" x14ac:dyDescent="0.6">
      <c r="A303" s="71">
        <v>306</v>
      </c>
      <c r="B303" s="70"/>
      <c r="C303" s="72"/>
      <c r="D303" s="156"/>
      <c r="E303" s="121"/>
      <c r="F303" s="121"/>
      <c r="G303" s="121"/>
      <c r="H303" s="122"/>
      <c r="I303" s="215"/>
      <c r="J303" s="274"/>
      <c r="K303" s="277" t="str" cm="1">
        <f t="array" ref="K303">IFERROR(IF(INDEX($P$6:$Q$40,MATCH(TRIM($C303),$O$6:$O$40,0),IF(TRIM($D303)="العينان",2,1))="","",INDEX($P$6:$Q$40,MATCH(TRIM($C303),$O$6:$O$40,0),IF(TRIM($D303)="العينان",2,1))),"")</f>
        <v/>
      </c>
      <c r="L303" s="277" t="str">
        <f t="shared" si="8"/>
        <v/>
      </c>
      <c r="M303" s="277" t="str">
        <f t="shared" si="9"/>
        <v/>
      </c>
      <c r="N303" s="216"/>
    </row>
    <row r="304" spans="1:14" ht="26" x14ac:dyDescent="0.6">
      <c r="A304" s="71">
        <v>307</v>
      </c>
      <c r="B304" s="70"/>
      <c r="C304" s="72"/>
      <c r="D304" s="156"/>
      <c r="E304" s="121"/>
      <c r="F304" s="121"/>
      <c r="G304" s="121"/>
      <c r="H304" s="122"/>
      <c r="I304" s="215"/>
      <c r="J304" s="274"/>
      <c r="K304" s="277" t="str" cm="1">
        <f t="array" ref="K304">IFERROR(IF(INDEX($P$6:$Q$40,MATCH(TRIM($C304),$O$6:$O$40,0),IF(TRIM($D304)="العينان",2,1))="","",INDEX($P$6:$Q$40,MATCH(TRIM($C304),$O$6:$O$40,0),IF(TRIM($D304)="العينان",2,1))),"")</f>
        <v/>
      </c>
      <c r="L304" s="277" t="str">
        <f t="shared" si="8"/>
        <v/>
      </c>
      <c r="M304" s="277" t="str">
        <f t="shared" si="9"/>
        <v/>
      </c>
      <c r="N304" s="216"/>
    </row>
    <row r="305" spans="1:14" ht="26" x14ac:dyDescent="0.6">
      <c r="A305" s="71">
        <v>308</v>
      </c>
      <c r="B305" s="70"/>
      <c r="C305" s="72"/>
      <c r="D305" s="156"/>
      <c r="E305" s="121"/>
      <c r="F305" s="121"/>
      <c r="G305" s="121"/>
      <c r="H305" s="122"/>
      <c r="I305" s="215"/>
      <c r="J305" s="274"/>
      <c r="K305" s="277" t="str" cm="1">
        <f t="array" ref="K305">IFERROR(IF(INDEX($P$6:$Q$40,MATCH(TRIM($C305),$O$6:$O$40,0),IF(TRIM($D305)="العينان",2,1))="","",INDEX($P$6:$Q$40,MATCH(TRIM($C305),$O$6:$O$40,0),IF(TRIM($D305)="العينان",2,1))),"")</f>
        <v/>
      </c>
      <c r="L305" s="277" t="str">
        <f t="shared" si="8"/>
        <v/>
      </c>
      <c r="M305" s="277" t="str">
        <f t="shared" si="9"/>
        <v/>
      </c>
      <c r="N305" s="216"/>
    </row>
    <row r="306" spans="1:14" ht="26" x14ac:dyDescent="0.6">
      <c r="A306" s="71">
        <v>309</v>
      </c>
      <c r="B306" s="70"/>
      <c r="C306" s="72"/>
      <c r="D306" s="156"/>
      <c r="E306" s="121"/>
      <c r="F306" s="121"/>
      <c r="G306" s="121"/>
      <c r="H306" s="122"/>
      <c r="I306" s="215"/>
      <c r="J306" s="274"/>
      <c r="K306" s="277" t="str" cm="1">
        <f t="array" ref="K306">IFERROR(IF(INDEX($P$6:$Q$40,MATCH(TRIM($C306),$O$6:$O$40,0),IF(TRIM($D306)="العينان",2,1))="","",INDEX($P$6:$Q$40,MATCH(TRIM($C306),$O$6:$O$40,0),IF(TRIM($D306)="العينان",2,1))),"")</f>
        <v/>
      </c>
      <c r="L306" s="277" t="str">
        <f t="shared" si="8"/>
        <v/>
      </c>
      <c r="M306" s="277" t="str">
        <f t="shared" si="9"/>
        <v/>
      </c>
      <c r="N306" s="216"/>
    </row>
    <row r="307" spans="1:14" ht="26" x14ac:dyDescent="0.6">
      <c r="A307" s="71">
        <v>310</v>
      </c>
      <c r="B307" s="70"/>
      <c r="C307" s="72"/>
      <c r="D307" s="156"/>
      <c r="E307" s="70"/>
      <c r="F307" s="70"/>
      <c r="G307" s="70"/>
      <c r="H307" s="70"/>
      <c r="I307" s="170"/>
      <c r="J307" s="274"/>
      <c r="K307" s="277" t="str" cm="1">
        <f t="array" ref="K307">IFERROR(IF(INDEX($P$6:$Q$40,MATCH(TRIM($C307),$O$6:$O$40,0),IF(TRIM($D307)="العينان",2,1))="","",INDEX($P$6:$Q$40,MATCH(TRIM($C307),$O$6:$O$40,0),IF(TRIM($D307)="العينان",2,1))),"")</f>
        <v/>
      </c>
      <c r="L307" s="277" t="str">
        <f t="shared" si="8"/>
        <v/>
      </c>
      <c r="M307" s="277" t="str">
        <f t="shared" si="9"/>
        <v/>
      </c>
      <c r="N307" s="216"/>
    </row>
    <row r="308" spans="1:14" ht="26" x14ac:dyDescent="0.6">
      <c r="A308" s="71">
        <v>311</v>
      </c>
      <c r="B308" s="70"/>
      <c r="C308" s="72"/>
      <c r="D308" s="156"/>
      <c r="E308" s="70"/>
      <c r="F308" s="70"/>
      <c r="G308" s="70"/>
      <c r="H308" s="70"/>
      <c r="I308" s="170"/>
      <c r="J308" s="274"/>
      <c r="K308" s="277" t="str" cm="1">
        <f t="array" ref="K308">IFERROR(IF(INDEX($P$6:$Q$40,MATCH(TRIM($C308),$O$6:$O$40,0),IF(TRIM($D308)="العينان",2,1))="","",INDEX($P$6:$Q$40,MATCH(TRIM($C308),$O$6:$O$40,0),IF(TRIM($D308)="العينان",2,1))),"")</f>
        <v/>
      </c>
      <c r="L308" s="277" t="str">
        <f t="shared" si="8"/>
        <v/>
      </c>
      <c r="M308" s="277" t="str">
        <f t="shared" si="9"/>
        <v/>
      </c>
      <c r="N308" s="216"/>
    </row>
    <row r="309" spans="1:14" ht="26" x14ac:dyDescent="0.6">
      <c r="A309" s="71">
        <v>312</v>
      </c>
      <c r="B309" s="70"/>
      <c r="C309" s="72"/>
      <c r="D309" s="156"/>
      <c r="E309" s="70"/>
      <c r="F309" s="70"/>
      <c r="G309" s="70"/>
      <c r="H309" s="70"/>
      <c r="I309" s="170"/>
      <c r="J309" s="274"/>
      <c r="K309" s="277" t="str" cm="1">
        <f t="array" ref="K309">IFERROR(IF(INDEX($P$6:$Q$40,MATCH(TRIM($C309),$O$6:$O$40,0),IF(TRIM($D309)="العينان",2,1))="","",INDEX($P$6:$Q$40,MATCH(TRIM($C309),$O$6:$O$40,0),IF(TRIM($D309)="العينان",2,1))),"")</f>
        <v/>
      </c>
      <c r="L309" s="277" t="str">
        <f t="shared" si="8"/>
        <v/>
      </c>
      <c r="M309" s="277" t="str">
        <f t="shared" si="9"/>
        <v/>
      </c>
      <c r="N309" s="216"/>
    </row>
    <row r="310" spans="1:14" ht="26" x14ac:dyDescent="0.6">
      <c r="A310" s="71">
        <v>313</v>
      </c>
      <c r="B310" s="70"/>
      <c r="C310" s="72"/>
      <c r="D310" s="156"/>
      <c r="E310" s="70"/>
      <c r="F310" s="70"/>
      <c r="G310" s="70"/>
      <c r="H310" s="70"/>
      <c r="I310" s="170"/>
      <c r="J310" s="274"/>
      <c r="K310" s="277" t="str" cm="1">
        <f t="array" ref="K310">IFERROR(IF(INDEX($P$6:$Q$40,MATCH(TRIM($C310),$O$6:$O$40,0),IF(TRIM($D310)="العينان",2,1))="","",INDEX($P$6:$Q$40,MATCH(TRIM($C310),$O$6:$O$40,0),IF(TRIM($D310)="العينان",2,1))),"")</f>
        <v/>
      </c>
      <c r="L310" s="277" t="str">
        <f t="shared" si="8"/>
        <v/>
      </c>
      <c r="M310" s="277" t="str">
        <f t="shared" si="9"/>
        <v/>
      </c>
      <c r="N310" s="216"/>
    </row>
    <row r="311" spans="1:14" ht="26" x14ac:dyDescent="0.6">
      <c r="A311" s="71">
        <v>314</v>
      </c>
      <c r="B311" s="70"/>
      <c r="C311" s="72"/>
      <c r="D311" s="156"/>
      <c r="E311" s="70"/>
      <c r="F311" s="70"/>
      <c r="G311" s="70"/>
      <c r="H311" s="70"/>
      <c r="I311" s="170"/>
      <c r="J311" s="274"/>
      <c r="K311" s="277" t="str" cm="1">
        <f t="array" ref="K311">IFERROR(IF(INDEX($P$6:$Q$40,MATCH(TRIM($C311),$O$6:$O$40,0),IF(TRIM($D311)="العينان",2,1))="","",INDEX($P$6:$Q$40,MATCH(TRIM($C311),$O$6:$O$40,0),IF(TRIM($D311)="العينان",2,1))),"")</f>
        <v/>
      </c>
      <c r="L311" s="277" t="str">
        <f t="shared" si="8"/>
        <v/>
      </c>
      <c r="M311" s="277" t="str">
        <f t="shared" si="9"/>
        <v/>
      </c>
      <c r="N311" s="216"/>
    </row>
    <row r="312" spans="1:14" ht="26" x14ac:dyDescent="0.6">
      <c r="A312" s="71">
        <v>315</v>
      </c>
      <c r="B312" s="70"/>
      <c r="C312" s="72"/>
      <c r="D312" s="156"/>
      <c r="E312" s="70"/>
      <c r="F312" s="70"/>
      <c r="G312" s="70"/>
      <c r="H312" s="70"/>
      <c r="I312" s="170"/>
      <c r="J312" s="274"/>
      <c r="K312" s="277" t="str" cm="1">
        <f t="array" ref="K312">IFERROR(IF(INDEX($P$6:$Q$40,MATCH(TRIM($C312),$O$6:$O$40,0),IF(TRIM($D312)="العينان",2,1))="","",INDEX($P$6:$Q$40,MATCH(TRIM($C312),$O$6:$O$40,0),IF(TRIM($D312)="العينان",2,1))),"")</f>
        <v/>
      </c>
      <c r="L312" s="277" t="str">
        <f t="shared" si="8"/>
        <v/>
      </c>
      <c r="M312" s="277" t="str">
        <f t="shared" si="9"/>
        <v/>
      </c>
      <c r="N312" s="216"/>
    </row>
    <row r="313" spans="1:14" ht="26" x14ac:dyDescent="0.6">
      <c r="A313" s="71">
        <v>316</v>
      </c>
      <c r="B313" s="70"/>
      <c r="C313" s="72"/>
      <c r="D313" s="156"/>
      <c r="E313" s="70"/>
      <c r="F313" s="70"/>
      <c r="G313" s="70"/>
      <c r="H313" s="70"/>
      <c r="I313" s="170"/>
      <c r="J313" s="274"/>
      <c r="K313" s="277" t="str" cm="1">
        <f t="array" ref="K313">IFERROR(IF(INDEX($P$6:$Q$40,MATCH(TRIM($C313),$O$6:$O$40,0),IF(TRIM($D313)="العينان",2,1))="","",INDEX($P$6:$Q$40,MATCH(TRIM($C313),$O$6:$O$40,0),IF(TRIM($D313)="العينان",2,1))),"")</f>
        <v/>
      </c>
      <c r="L313" s="277" t="str">
        <f t="shared" si="8"/>
        <v/>
      </c>
      <c r="M313" s="277" t="str">
        <f t="shared" si="9"/>
        <v/>
      </c>
      <c r="N313" s="216"/>
    </row>
    <row r="314" spans="1:14" ht="26" x14ac:dyDescent="0.6">
      <c r="A314" s="71">
        <v>317</v>
      </c>
      <c r="B314" s="70"/>
      <c r="C314" s="72"/>
      <c r="D314" s="156"/>
      <c r="E314" s="70"/>
      <c r="F314" s="70"/>
      <c r="G314" s="70"/>
      <c r="H314" s="70"/>
      <c r="I314" s="170"/>
      <c r="J314" s="274"/>
      <c r="K314" s="277" t="str" cm="1">
        <f t="array" ref="K314">IFERROR(IF(INDEX($P$6:$Q$40,MATCH(TRIM($C314),$O$6:$O$40,0),IF(TRIM($D314)="العينان",2,1))="","",INDEX($P$6:$Q$40,MATCH(TRIM($C314),$O$6:$O$40,0),IF(TRIM($D314)="العينان",2,1))),"")</f>
        <v/>
      </c>
      <c r="L314" s="277" t="str">
        <f t="shared" si="8"/>
        <v/>
      </c>
      <c r="M314" s="277" t="str">
        <f t="shared" si="9"/>
        <v/>
      </c>
      <c r="N314" s="216"/>
    </row>
    <row r="315" spans="1:14" ht="26" x14ac:dyDescent="0.6">
      <c r="A315" s="71"/>
      <c r="B315" s="70"/>
      <c r="C315" s="72"/>
      <c r="D315" s="156"/>
      <c r="E315" s="70"/>
      <c r="F315" s="70"/>
      <c r="G315" s="70"/>
      <c r="H315" s="70"/>
      <c r="I315" s="170"/>
      <c r="J315" s="253"/>
      <c r="N315" s="216"/>
    </row>
    <row r="316" spans="1:14" ht="26" x14ac:dyDescent="0.6">
      <c r="A316" s="71"/>
      <c r="B316" s="70"/>
      <c r="C316" s="72"/>
      <c r="D316" s="156"/>
      <c r="E316" s="70"/>
      <c r="F316" s="70"/>
      <c r="G316" s="70"/>
      <c r="H316" s="70"/>
      <c r="I316" s="170"/>
      <c r="J316" s="253"/>
      <c r="N316" s="216"/>
    </row>
    <row r="317" spans="1:14" ht="26" x14ac:dyDescent="0.6">
      <c r="A317" s="71"/>
      <c r="B317" s="70"/>
      <c r="C317" s="72"/>
      <c r="D317" s="156"/>
      <c r="E317" s="70"/>
      <c r="F317" s="70"/>
      <c r="G317" s="70"/>
      <c r="H317" s="70"/>
      <c r="I317" s="170"/>
      <c r="J317" s="253"/>
      <c r="N317" s="216"/>
    </row>
    <row r="318" spans="1:14" ht="26" x14ac:dyDescent="0.6">
      <c r="A318" s="71"/>
      <c r="B318" s="70"/>
      <c r="C318" s="72"/>
      <c r="D318" s="156"/>
      <c r="E318" s="70"/>
      <c r="F318" s="70"/>
      <c r="G318" s="70"/>
      <c r="H318" s="70"/>
      <c r="I318" s="170"/>
      <c r="J318" s="253"/>
      <c r="N318" s="216"/>
    </row>
    <row r="319" spans="1:14" ht="26" x14ac:dyDescent="0.6">
      <c r="A319" s="71"/>
      <c r="B319" s="70"/>
      <c r="C319" s="72"/>
      <c r="D319" s="156"/>
      <c r="E319" s="70"/>
      <c r="F319" s="70"/>
      <c r="G319" s="70"/>
      <c r="H319" s="70"/>
      <c r="I319" s="170"/>
      <c r="J319" s="253"/>
      <c r="N319" s="216"/>
    </row>
    <row r="320" spans="1:14" ht="26" x14ac:dyDescent="0.6">
      <c r="A320" s="71"/>
      <c r="B320" s="70"/>
      <c r="C320" s="72"/>
      <c r="D320" s="156"/>
      <c r="E320" s="70"/>
      <c r="F320" s="70"/>
      <c r="G320" s="70"/>
      <c r="H320" s="70"/>
      <c r="I320" s="170"/>
      <c r="J320" s="253"/>
      <c r="N320" s="216"/>
    </row>
    <row r="321" spans="1:14" ht="26" x14ac:dyDescent="0.6">
      <c r="A321" s="71"/>
      <c r="B321" s="70"/>
      <c r="C321" s="72"/>
      <c r="D321" s="156"/>
      <c r="E321" s="70"/>
      <c r="F321" s="70"/>
      <c r="G321" s="70"/>
      <c r="H321" s="70"/>
      <c r="I321" s="170"/>
      <c r="J321" s="253"/>
      <c r="N321" s="216"/>
    </row>
    <row r="322" spans="1:14" ht="26" x14ac:dyDescent="0.6">
      <c r="A322" s="71"/>
      <c r="B322" s="70"/>
      <c r="C322" s="72"/>
      <c r="D322" s="156"/>
      <c r="E322" s="70"/>
      <c r="F322" s="70"/>
      <c r="G322" s="70"/>
      <c r="H322" s="70"/>
      <c r="I322" s="170"/>
      <c r="J322" s="253"/>
      <c r="N322" s="216"/>
    </row>
    <row r="323" spans="1:14" ht="26" x14ac:dyDescent="0.6">
      <c r="A323" s="71"/>
      <c r="B323" s="70"/>
      <c r="C323" s="72"/>
      <c r="D323" s="156"/>
      <c r="E323" s="70"/>
      <c r="F323" s="70"/>
      <c r="G323" s="70"/>
      <c r="H323" s="70"/>
      <c r="I323" s="170"/>
      <c r="J323" s="253"/>
      <c r="N323" s="216"/>
    </row>
    <row r="324" spans="1:14" ht="26" x14ac:dyDescent="0.6">
      <c r="A324" s="71"/>
      <c r="B324" s="70"/>
      <c r="C324" s="72"/>
      <c r="D324" s="156"/>
      <c r="E324" s="70"/>
      <c r="F324" s="70"/>
      <c r="G324" s="70"/>
      <c r="H324" s="70"/>
      <c r="I324" s="170"/>
      <c r="J324" s="253"/>
      <c r="N324" s="216"/>
    </row>
    <row r="325" spans="1:14" ht="26" x14ac:dyDescent="0.6">
      <c r="A325" s="71"/>
      <c r="B325" s="70"/>
      <c r="C325" s="72"/>
      <c r="D325" s="156"/>
      <c r="E325" s="70"/>
      <c r="F325" s="70"/>
      <c r="G325" s="70"/>
      <c r="H325" s="70"/>
      <c r="I325" s="170"/>
      <c r="J325" s="253"/>
      <c r="N325" s="216"/>
    </row>
    <row r="326" spans="1:14" ht="26" x14ac:dyDescent="0.6">
      <c r="A326" s="71"/>
      <c r="B326" s="70"/>
      <c r="C326" s="72"/>
      <c r="D326" s="156"/>
      <c r="E326" s="70"/>
      <c r="F326" s="70"/>
      <c r="G326" s="70"/>
      <c r="H326" s="70"/>
      <c r="I326" s="170"/>
      <c r="J326" s="253"/>
      <c r="N326" s="216"/>
    </row>
    <row r="327" spans="1:14" ht="26" x14ac:dyDescent="0.6">
      <c r="A327" s="71"/>
      <c r="B327" s="70"/>
      <c r="C327" s="72"/>
      <c r="D327" s="156"/>
      <c r="E327" s="70"/>
      <c r="F327" s="70"/>
      <c r="G327" s="70"/>
      <c r="H327" s="70"/>
      <c r="I327" s="170"/>
      <c r="J327" s="253"/>
      <c r="N327" s="216"/>
    </row>
    <row r="328" spans="1:14" ht="26" x14ac:dyDescent="0.6">
      <c r="A328" s="71"/>
      <c r="B328" s="70"/>
      <c r="C328" s="72"/>
      <c r="D328" s="156"/>
      <c r="E328" s="70"/>
      <c r="F328" s="70"/>
      <c r="G328" s="70"/>
      <c r="H328" s="70"/>
      <c r="I328" s="170"/>
      <c r="J328" s="253"/>
      <c r="N328" s="216"/>
    </row>
    <row r="329" spans="1:14" ht="26" x14ac:dyDescent="0.6">
      <c r="A329" s="71"/>
      <c r="B329" s="70"/>
      <c r="C329" s="72"/>
      <c r="D329" s="156"/>
      <c r="E329" s="70"/>
      <c r="F329" s="70"/>
      <c r="G329" s="70"/>
      <c r="H329" s="70"/>
      <c r="I329" s="170"/>
      <c r="J329" s="253"/>
      <c r="N329" s="216"/>
    </row>
    <row r="330" spans="1:14" ht="26" x14ac:dyDescent="0.6">
      <c r="A330" s="71"/>
      <c r="B330" s="70"/>
      <c r="C330" s="72"/>
      <c r="D330" s="156"/>
      <c r="E330" s="70"/>
      <c r="F330" s="70"/>
      <c r="G330" s="70"/>
      <c r="H330" s="70"/>
      <c r="I330" s="170"/>
      <c r="J330" s="253"/>
      <c r="N330" s="216"/>
    </row>
    <row r="331" spans="1:14" ht="26" x14ac:dyDescent="0.6">
      <c r="A331" s="71"/>
      <c r="B331" s="70"/>
      <c r="C331" s="72"/>
      <c r="D331" s="156"/>
      <c r="E331" s="70"/>
      <c r="F331" s="70"/>
      <c r="G331" s="70"/>
      <c r="H331" s="70"/>
      <c r="I331" s="170"/>
      <c r="J331" s="253"/>
      <c r="N331" s="216"/>
    </row>
    <row r="332" spans="1:14" ht="26" x14ac:dyDescent="0.6">
      <c r="A332" s="71"/>
      <c r="B332" s="70"/>
      <c r="C332" s="72"/>
      <c r="D332" s="156"/>
      <c r="E332" s="70"/>
      <c r="F332" s="70"/>
      <c r="G332" s="70"/>
      <c r="H332" s="70"/>
      <c r="I332" s="170"/>
      <c r="J332" s="253"/>
      <c r="N332" s="216"/>
    </row>
    <row r="333" spans="1:14" ht="26" x14ac:dyDescent="0.6">
      <c r="A333" s="71"/>
      <c r="B333" s="70"/>
      <c r="C333" s="72"/>
      <c r="D333" s="156"/>
      <c r="E333" s="70"/>
      <c r="F333" s="70"/>
      <c r="G333" s="70"/>
      <c r="H333" s="70"/>
      <c r="I333" s="170"/>
      <c r="J333" s="253"/>
      <c r="N333" s="216"/>
    </row>
    <row r="334" spans="1:14" ht="26" x14ac:dyDescent="0.6">
      <c r="A334" s="71"/>
      <c r="B334" s="70"/>
      <c r="C334" s="72"/>
      <c r="D334" s="156"/>
      <c r="E334" s="70"/>
      <c r="F334" s="70"/>
      <c r="G334" s="70"/>
      <c r="H334" s="70"/>
      <c r="I334" s="170"/>
      <c r="J334" s="253"/>
      <c r="N334" s="216"/>
    </row>
    <row r="335" spans="1:14" ht="26" x14ac:dyDescent="0.6">
      <c r="A335" s="71"/>
      <c r="B335" s="70"/>
      <c r="C335" s="72"/>
      <c r="D335" s="156"/>
      <c r="E335" s="70"/>
      <c r="F335" s="70"/>
      <c r="G335" s="70"/>
      <c r="H335" s="70"/>
      <c r="I335" s="170"/>
      <c r="J335" s="253"/>
      <c r="N335" s="216"/>
    </row>
    <row r="336" spans="1:14" ht="26" x14ac:dyDescent="0.6">
      <c r="A336" s="71"/>
      <c r="B336" s="70"/>
      <c r="C336" s="72"/>
      <c r="D336" s="156"/>
      <c r="E336" s="70"/>
      <c r="F336" s="70"/>
      <c r="G336" s="70"/>
      <c r="H336" s="70"/>
      <c r="I336" s="170"/>
      <c r="J336" s="253"/>
      <c r="N336" s="216"/>
    </row>
    <row r="337" spans="1:14" ht="26" x14ac:dyDescent="0.6">
      <c r="A337" s="71"/>
      <c r="B337" s="70"/>
      <c r="C337" s="72"/>
      <c r="D337" s="156"/>
      <c r="E337" s="70"/>
      <c r="F337" s="70"/>
      <c r="G337" s="70"/>
      <c r="H337" s="70"/>
      <c r="I337" s="170"/>
      <c r="J337" s="253"/>
      <c r="N337" s="216"/>
    </row>
    <row r="338" spans="1:14" ht="26" x14ac:dyDescent="0.6">
      <c r="A338" s="71"/>
      <c r="B338" s="70"/>
      <c r="C338" s="72"/>
      <c r="D338" s="156"/>
      <c r="E338" s="70"/>
      <c r="F338" s="70"/>
      <c r="G338" s="70"/>
      <c r="H338" s="70"/>
      <c r="I338" s="170"/>
      <c r="J338" s="253"/>
      <c r="N338" s="216"/>
    </row>
    <row r="339" spans="1:14" ht="26" x14ac:dyDescent="0.6">
      <c r="A339" s="71"/>
      <c r="B339" s="70"/>
      <c r="C339" s="72"/>
      <c r="D339" s="156"/>
      <c r="E339" s="70"/>
      <c r="F339" s="70"/>
      <c r="G339" s="70"/>
      <c r="H339" s="70"/>
      <c r="I339" s="170"/>
      <c r="J339" s="253"/>
      <c r="N339" s="216"/>
    </row>
    <row r="340" spans="1:14" ht="26" x14ac:dyDescent="0.6">
      <c r="A340" s="71"/>
      <c r="B340" s="70"/>
      <c r="C340" s="72"/>
      <c r="D340" s="156"/>
      <c r="E340" s="70"/>
      <c r="F340" s="70"/>
      <c r="G340" s="70"/>
      <c r="H340" s="70"/>
      <c r="I340" s="170"/>
      <c r="J340" s="253"/>
      <c r="N340" s="216"/>
    </row>
    <row r="341" spans="1:14" ht="26" x14ac:dyDescent="0.6">
      <c r="A341" s="71"/>
      <c r="B341" s="70"/>
      <c r="C341" s="72"/>
      <c r="D341" s="156"/>
      <c r="E341" s="70"/>
      <c r="F341" s="70"/>
      <c r="G341" s="70"/>
      <c r="H341" s="70"/>
      <c r="I341" s="170"/>
      <c r="J341" s="253"/>
      <c r="N341" s="216"/>
    </row>
    <row r="342" spans="1:14" ht="26" x14ac:dyDescent="0.6">
      <c r="A342" s="71"/>
      <c r="B342" s="70"/>
      <c r="C342" s="72"/>
      <c r="D342" s="156"/>
      <c r="E342" s="70"/>
      <c r="F342" s="70"/>
      <c r="G342" s="70"/>
      <c r="H342" s="70"/>
      <c r="I342" s="170"/>
      <c r="J342" s="253"/>
      <c r="N342" s="216"/>
    </row>
    <row r="343" spans="1:14" ht="26" x14ac:dyDescent="0.6">
      <c r="A343" s="71"/>
      <c r="B343" s="70"/>
      <c r="C343" s="72"/>
      <c r="D343" s="156"/>
      <c r="E343" s="70"/>
      <c r="F343" s="70"/>
      <c r="G343" s="70"/>
      <c r="H343" s="70"/>
      <c r="I343" s="170"/>
      <c r="J343" s="253"/>
      <c r="N343" s="216"/>
    </row>
    <row r="344" spans="1:14" ht="26" x14ac:dyDescent="0.6">
      <c r="A344" s="71"/>
      <c r="B344" s="70"/>
      <c r="C344" s="72"/>
      <c r="D344" s="156"/>
      <c r="E344" s="70"/>
      <c r="F344" s="70"/>
      <c r="G344" s="70"/>
      <c r="H344" s="70"/>
      <c r="I344" s="170"/>
      <c r="J344" s="253"/>
      <c r="N344" s="216"/>
    </row>
    <row r="345" spans="1:14" ht="26" x14ac:dyDescent="0.6">
      <c r="A345" s="71"/>
      <c r="B345" s="70"/>
      <c r="C345" s="72"/>
      <c r="D345" s="156"/>
      <c r="E345" s="70"/>
      <c r="F345" s="70"/>
      <c r="G345" s="70"/>
      <c r="H345" s="70"/>
      <c r="I345" s="170"/>
      <c r="J345" s="253"/>
      <c r="N345" s="216"/>
    </row>
    <row r="346" spans="1:14" ht="26" x14ac:dyDescent="0.6">
      <c r="A346" s="71"/>
      <c r="B346" s="70"/>
      <c r="C346" s="72"/>
      <c r="D346" s="156"/>
      <c r="E346" s="70"/>
      <c r="F346" s="70"/>
      <c r="G346" s="70"/>
      <c r="H346" s="70"/>
      <c r="I346" s="170"/>
      <c r="J346" s="253"/>
      <c r="N346" s="216"/>
    </row>
    <row r="347" spans="1:14" ht="26" x14ac:dyDescent="0.6">
      <c r="A347" s="71"/>
      <c r="B347" s="70"/>
      <c r="C347" s="72"/>
      <c r="D347" s="156"/>
      <c r="E347" s="70"/>
      <c r="F347" s="70"/>
      <c r="G347" s="70"/>
      <c r="H347" s="70"/>
      <c r="I347" s="170"/>
      <c r="J347" s="253"/>
      <c r="N347" s="216"/>
    </row>
    <row r="348" spans="1:14" ht="26" x14ac:dyDescent="0.6">
      <c r="A348" s="71"/>
      <c r="B348" s="70"/>
      <c r="C348" s="72"/>
      <c r="D348" s="156"/>
      <c r="E348" s="70"/>
      <c r="F348" s="70"/>
      <c r="G348" s="70"/>
      <c r="H348" s="70"/>
      <c r="I348" s="170"/>
      <c r="J348" s="253"/>
      <c r="N348" s="216"/>
    </row>
    <row r="349" spans="1:14" ht="26" x14ac:dyDescent="0.6">
      <c r="A349" s="71"/>
      <c r="B349" s="70"/>
      <c r="C349" s="72"/>
      <c r="D349" s="156"/>
      <c r="E349" s="70"/>
      <c r="F349" s="70"/>
      <c r="G349" s="70"/>
      <c r="H349" s="70"/>
      <c r="I349" s="170"/>
      <c r="J349" s="253"/>
      <c r="N349" s="216"/>
    </row>
    <row r="350" spans="1:14" ht="26" x14ac:dyDescent="0.6">
      <c r="A350" s="71"/>
      <c r="B350" s="70"/>
      <c r="C350" s="72"/>
      <c r="D350" s="156"/>
      <c r="E350" s="70"/>
      <c r="F350" s="70"/>
      <c r="G350" s="70"/>
      <c r="H350" s="70"/>
      <c r="I350" s="170"/>
      <c r="J350" s="253"/>
      <c r="N350" s="216"/>
    </row>
    <row r="351" spans="1:14" ht="26" x14ac:dyDescent="0.6">
      <c r="A351" s="71"/>
      <c r="B351" s="70"/>
      <c r="C351" s="72"/>
      <c r="D351" s="156"/>
      <c r="E351" s="70"/>
      <c r="F351" s="70"/>
      <c r="G351" s="70"/>
      <c r="H351" s="70"/>
      <c r="I351" s="170"/>
      <c r="J351" s="253"/>
      <c r="N351" s="216"/>
    </row>
    <row r="352" spans="1:14" ht="26" x14ac:dyDescent="0.6">
      <c r="A352" s="71"/>
      <c r="B352" s="70"/>
      <c r="C352" s="72"/>
      <c r="D352" s="156"/>
      <c r="E352" s="70"/>
      <c r="F352" s="70"/>
      <c r="G352" s="70"/>
      <c r="H352" s="70"/>
      <c r="I352" s="170"/>
      <c r="J352" s="216"/>
      <c r="N352" s="216"/>
    </row>
    <row r="353" spans="1:14" ht="26" x14ac:dyDescent="0.6">
      <c r="A353" s="71"/>
      <c r="B353" s="70"/>
      <c r="C353" s="72"/>
      <c r="D353" s="156"/>
      <c r="E353" s="70"/>
      <c r="F353" s="70"/>
      <c r="G353" s="70"/>
      <c r="H353" s="70"/>
      <c r="I353" s="170"/>
      <c r="J353" s="216"/>
      <c r="N353" s="216"/>
    </row>
    <row r="354" spans="1:14" ht="26" x14ac:dyDescent="0.6">
      <c r="A354" s="71"/>
      <c r="B354" s="70"/>
      <c r="C354" s="72"/>
      <c r="D354" s="156"/>
      <c r="E354" s="70"/>
      <c r="F354" s="70"/>
      <c r="G354" s="70"/>
      <c r="H354" s="70"/>
      <c r="I354" s="170"/>
      <c r="J354" s="216"/>
      <c r="N354" s="216"/>
    </row>
    <row r="355" spans="1:14" ht="26" x14ac:dyDescent="0.6">
      <c r="A355" s="71"/>
      <c r="B355" s="70"/>
      <c r="C355" s="72"/>
      <c r="D355" s="156"/>
      <c r="E355" s="70"/>
      <c r="F355" s="70"/>
      <c r="G355" s="70"/>
      <c r="H355" s="70"/>
      <c r="I355" s="170"/>
      <c r="J355" s="216"/>
      <c r="N355" s="216"/>
    </row>
    <row r="356" spans="1:14" ht="26" x14ac:dyDescent="0.6">
      <c r="A356" s="71"/>
      <c r="B356" s="70"/>
      <c r="C356" s="72"/>
      <c r="D356" s="156"/>
      <c r="E356" s="70"/>
      <c r="F356" s="70"/>
      <c r="G356" s="70"/>
      <c r="H356" s="70"/>
      <c r="I356" s="170"/>
      <c r="J356" s="216"/>
      <c r="N356" s="216"/>
    </row>
    <row r="357" spans="1:14" ht="26" x14ac:dyDescent="0.6">
      <c r="A357" s="71"/>
      <c r="B357" s="70"/>
      <c r="C357" s="72"/>
      <c r="D357" s="156"/>
      <c r="E357" s="70"/>
      <c r="F357" s="70"/>
      <c r="G357" s="70"/>
      <c r="H357" s="70"/>
      <c r="I357" s="170"/>
      <c r="J357" s="216"/>
      <c r="N357" s="216"/>
    </row>
    <row r="358" spans="1:14" ht="26" x14ac:dyDescent="0.6">
      <c r="A358" s="71"/>
      <c r="B358" s="70"/>
      <c r="C358" s="72"/>
      <c r="D358" s="156"/>
      <c r="E358" s="70"/>
      <c r="F358" s="70"/>
      <c r="G358" s="70"/>
      <c r="H358" s="70"/>
      <c r="I358" s="170"/>
      <c r="J358" s="216"/>
      <c r="N358" s="216"/>
    </row>
    <row r="359" spans="1:14" ht="26" x14ac:dyDescent="0.6">
      <c r="A359" s="71"/>
      <c r="B359" s="70"/>
      <c r="C359" s="72"/>
      <c r="D359" s="156"/>
      <c r="E359" s="70"/>
      <c r="F359" s="70"/>
      <c r="G359" s="70"/>
      <c r="H359" s="70"/>
      <c r="I359" s="170"/>
      <c r="J359" s="216"/>
      <c r="N359" s="216"/>
    </row>
    <row r="360" spans="1:14" ht="26" x14ac:dyDescent="0.6">
      <c r="A360" s="71"/>
      <c r="B360" s="70"/>
      <c r="C360" s="72"/>
      <c r="D360" s="156"/>
      <c r="E360" s="70"/>
      <c r="F360" s="70"/>
      <c r="G360" s="70"/>
      <c r="H360" s="70"/>
      <c r="I360" s="170"/>
      <c r="J360" s="216"/>
      <c r="N360" s="216"/>
    </row>
    <row r="361" spans="1:14" ht="26" x14ac:dyDescent="0.6">
      <c r="A361" s="71"/>
      <c r="B361" s="70"/>
      <c r="C361" s="72"/>
      <c r="D361" s="156"/>
      <c r="E361" s="70"/>
      <c r="F361" s="70"/>
      <c r="G361" s="70"/>
      <c r="H361" s="70"/>
      <c r="I361" s="170"/>
      <c r="J361" s="216"/>
      <c r="N361" s="216"/>
    </row>
    <row r="362" spans="1:14" ht="26" x14ac:dyDescent="0.6">
      <c r="A362" s="71"/>
      <c r="B362" s="70"/>
      <c r="C362" s="72"/>
      <c r="D362" s="156"/>
      <c r="E362" s="70"/>
      <c r="F362" s="70"/>
      <c r="G362" s="70"/>
      <c r="H362" s="70"/>
      <c r="I362" s="170"/>
      <c r="J362" s="216"/>
      <c r="N362" s="216"/>
    </row>
    <row r="363" spans="1:14" ht="26" x14ac:dyDescent="0.6">
      <c r="A363" s="71"/>
      <c r="B363" s="70"/>
      <c r="C363" s="72"/>
      <c r="D363" s="156"/>
      <c r="E363" s="70"/>
      <c r="F363" s="70"/>
      <c r="G363" s="70"/>
      <c r="H363" s="70"/>
      <c r="I363" s="170"/>
      <c r="J363" s="216"/>
      <c r="N363" s="216"/>
    </row>
    <row r="364" spans="1:14" ht="26" x14ac:dyDescent="0.6">
      <c r="A364" s="71"/>
      <c r="B364" s="70"/>
      <c r="C364" s="72"/>
      <c r="D364" s="156"/>
      <c r="E364" s="70"/>
      <c r="F364" s="70"/>
      <c r="G364" s="70"/>
      <c r="H364" s="70"/>
      <c r="I364" s="170"/>
      <c r="J364" s="216"/>
      <c r="N364" s="216"/>
    </row>
    <row r="365" spans="1:14" ht="26" x14ac:dyDescent="0.6">
      <c r="A365" s="71"/>
      <c r="B365" s="70"/>
      <c r="C365" s="72"/>
      <c r="D365" s="156"/>
      <c r="E365" s="70"/>
      <c r="F365" s="70"/>
      <c r="G365" s="70"/>
      <c r="H365" s="70"/>
      <c r="I365" s="170"/>
      <c r="J365" s="216"/>
      <c r="N365" s="216"/>
    </row>
    <row r="366" spans="1:14" ht="26" x14ac:dyDescent="0.6">
      <c r="A366" s="71"/>
      <c r="B366" s="70"/>
      <c r="C366" s="72"/>
      <c r="D366" s="156"/>
      <c r="E366" s="70"/>
      <c r="F366" s="70"/>
      <c r="G366" s="70"/>
      <c r="H366" s="70"/>
      <c r="I366" s="170"/>
      <c r="J366" s="216"/>
      <c r="N366" s="216"/>
    </row>
    <row r="367" spans="1:14" ht="26" x14ac:dyDescent="0.6">
      <c r="A367" s="71"/>
      <c r="B367" s="70"/>
      <c r="C367" s="72"/>
      <c r="D367" s="156"/>
      <c r="E367" s="70"/>
      <c r="F367" s="70"/>
      <c r="G367" s="70"/>
      <c r="H367" s="70"/>
      <c r="I367" s="170"/>
      <c r="J367" s="216"/>
      <c r="N367" s="216"/>
    </row>
    <row r="368" spans="1:14" ht="26" x14ac:dyDescent="0.6">
      <c r="A368" s="71"/>
      <c r="B368" s="70"/>
      <c r="C368" s="72"/>
      <c r="D368" s="156"/>
      <c r="E368" s="70"/>
      <c r="F368" s="70"/>
      <c r="G368" s="70"/>
      <c r="H368" s="70"/>
      <c r="I368" s="170"/>
      <c r="J368" s="216"/>
      <c r="N368" s="216"/>
    </row>
    <row r="369" spans="1:14" ht="26" x14ac:dyDescent="0.6">
      <c r="A369" s="71"/>
      <c r="B369" s="70"/>
      <c r="C369" s="72"/>
      <c r="D369" s="156"/>
      <c r="E369" s="70"/>
      <c r="F369" s="70"/>
      <c r="G369" s="70"/>
      <c r="H369" s="70"/>
      <c r="I369" s="170"/>
      <c r="J369" s="216"/>
      <c r="N369" s="216"/>
    </row>
    <row r="370" spans="1:14" ht="26" x14ac:dyDescent="0.6">
      <c r="A370" s="71"/>
      <c r="B370" s="70"/>
      <c r="C370" s="72"/>
      <c r="D370" s="156"/>
      <c r="E370" s="70"/>
      <c r="F370" s="70"/>
      <c r="G370" s="70"/>
      <c r="H370" s="70"/>
      <c r="I370" s="170"/>
      <c r="J370" s="216"/>
      <c r="N370" s="216"/>
    </row>
    <row r="371" spans="1:14" ht="26" x14ac:dyDescent="0.6">
      <c r="A371" s="71"/>
      <c r="B371" s="70"/>
      <c r="C371" s="72"/>
      <c r="D371" s="156"/>
      <c r="E371" s="70"/>
      <c r="F371" s="70"/>
      <c r="G371" s="70"/>
      <c r="H371" s="70"/>
      <c r="I371" s="170"/>
      <c r="J371" s="216"/>
      <c r="N371" s="216"/>
    </row>
    <row r="372" spans="1:14" ht="26" x14ac:dyDescent="0.6">
      <c r="A372" s="71"/>
      <c r="B372" s="70"/>
      <c r="C372" s="72"/>
      <c r="D372" s="156"/>
      <c r="E372" s="70"/>
      <c r="F372" s="70"/>
      <c r="G372" s="70"/>
      <c r="H372" s="70"/>
      <c r="I372" s="170"/>
      <c r="J372" s="216"/>
      <c r="N372" s="216"/>
    </row>
    <row r="373" spans="1:14" ht="26" x14ac:dyDescent="0.6">
      <c r="A373" s="71"/>
      <c r="B373" s="70"/>
      <c r="C373" s="72"/>
      <c r="D373" s="156"/>
      <c r="E373" s="70"/>
      <c r="F373" s="70"/>
      <c r="G373" s="70"/>
      <c r="H373" s="70"/>
      <c r="I373" s="170"/>
      <c r="J373" s="216"/>
      <c r="N373" s="216"/>
    </row>
    <row r="374" spans="1:14" ht="26" x14ac:dyDescent="0.6">
      <c r="A374" s="71"/>
      <c r="B374" s="70"/>
      <c r="C374" s="72"/>
      <c r="D374" s="156"/>
      <c r="E374" s="70"/>
      <c r="F374" s="70"/>
      <c r="G374" s="70"/>
      <c r="H374" s="70"/>
      <c r="I374" s="170"/>
      <c r="J374" s="216"/>
      <c r="N374" s="216"/>
    </row>
    <row r="375" spans="1:14" ht="26" x14ac:dyDescent="0.6">
      <c r="A375" s="71"/>
      <c r="B375" s="70"/>
      <c r="C375" s="72"/>
      <c r="D375" s="156"/>
      <c r="E375" s="70"/>
      <c r="F375" s="70"/>
      <c r="G375" s="70"/>
      <c r="H375" s="70"/>
      <c r="I375" s="170"/>
      <c r="J375" s="216"/>
      <c r="N375" s="216"/>
    </row>
    <row r="376" spans="1:14" ht="26" x14ac:dyDescent="0.6">
      <c r="A376" s="71"/>
      <c r="B376" s="70"/>
      <c r="C376" s="72"/>
      <c r="D376" s="156"/>
      <c r="E376" s="70"/>
      <c r="F376" s="70"/>
      <c r="G376" s="70"/>
      <c r="H376" s="70"/>
      <c r="I376" s="170"/>
      <c r="J376" s="216"/>
      <c r="N376" s="216"/>
    </row>
    <row r="377" spans="1:14" ht="26" x14ac:dyDescent="0.6">
      <c r="A377" s="71"/>
      <c r="B377" s="70"/>
      <c r="C377" s="72"/>
      <c r="D377" s="156"/>
      <c r="E377" s="70"/>
      <c r="F377" s="70"/>
      <c r="G377" s="70"/>
      <c r="H377" s="70"/>
      <c r="I377" s="170"/>
      <c r="J377" s="216"/>
      <c r="N377" s="216"/>
    </row>
    <row r="378" spans="1:14" ht="26" x14ac:dyDescent="0.6">
      <c r="A378" s="71"/>
      <c r="B378" s="70"/>
      <c r="C378" s="72"/>
      <c r="D378" s="156"/>
      <c r="E378" s="70"/>
      <c r="F378" s="70"/>
      <c r="G378" s="70"/>
      <c r="H378" s="70"/>
      <c r="I378" s="170"/>
      <c r="J378" s="216"/>
      <c r="N378" s="216"/>
    </row>
    <row r="379" spans="1:14" ht="26" x14ac:dyDescent="0.6">
      <c r="A379" s="71"/>
      <c r="B379" s="70"/>
      <c r="C379" s="72"/>
      <c r="D379" s="156"/>
      <c r="E379" s="70"/>
      <c r="F379" s="70"/>
      <c r="G379" s="70"/>
      <c r="H379" s="70"/>
      <c r="I379" s="170"/>
      <c r="J379" s="216"/>
      <c r="N379" s="216"/>
    </row>
    <row r="380" spans="1:14" ht="26" x14ac:dyDescent="0.6">
      <c r="A380" s="71"/>
      <c r="B380" s="70"/>
      <c r="C380" s="72"/>
      <c r="D380" s="156"/>
      <c r="E380" s="70"/>
      <c r="F380" s="70"/>
      <c r="G380" s="70"/>
      <c r="H380" s="70"/>
      <c r="I380" s="170"/>
      <c r="J380" s="216"/>
      <c r="N380" s="216"/>
    </row>
    <row r="381" spans="1:14" ht="26" x14ac:dyDescent="0.6">
      <c r="A381" s="71"/>
      <c r="B381" s="70"/>
      <c r="C381" s="72"/>
      <c r="D381" s="156"/>
      <c r="E381" s="70"/>
      <c r="F381" s="70"/>
      <c r="G381" s="70"/>
      <c r="H381" s="70"/>
      <c r="I381" s="170"/>
      <c r="J381" s="216"/>
      <c r="N381" s="216"/>
    </row>
    <row r="382" spans="1:14" ht="26" x14ac:dyDescent="0.6">
      <c r="A382" s="71"/>
      <c r="B382" s="70"/>
      <c r="C382" s="72"/>
      <c r="D382" s="156"/>
      <c r="E382" s="70"/>
      <c r="F382" s="70"/>
      <c r="G382" s="70"/>
      <c r="H382" s="70"/>
      <c r="I382" s="170"/>
      <c r="J382" s="216"/>
      <c r="N382" s="216"/>
    </row>
    <row r="383" spans="1:14" ht="26" x14ac:dyDescent="0.6">
      <c r="A383" s="71"/>
      <c r="B383" s="70"/>
      <c r="C383" s="72"/>
      <c r="D383" s="156"/>
      <c r="E383" s="70"/>
      <c r="F383" s="70"/>
      <c r="G383" s="70"/>
      <c r="H383" s="70"/>
      <c r="I383" s="170"/>
      <c r="J383" s="216"/>
      <c r="N383" s="216"/>
    </row>
    <row r="384" spans="1:14" ht="26" x14ac:dyDescent="0.6">
      <c r="A384" s="71"/>
      <c r="B384" s="70"/>
      <c r="C384" s="72"/>
      <c r="D384" s="156"/>
      <c r="E384" s="70"/>
      <c r="F384" s="70"/>
      <c r="G384" s="70"/>
      <c r="H384" s="70"/>
      <c r="I384" s="170"/>
      <c r="J384" s="216"/>
      <c r="N384" s="216"/>
    </row>
    <row r="385" spans="1:14" ht="26" x14ac:dyDescent="0.6">
      <c r="A385" s="71"/>
      <c r="B385" s="70"/>
      <c r="C385" s="72"/>
      <c r="D385" s="156"/>
      <c r="E385" s="70"/>
      <c r="F385" s="70"/>
      <c r="G385" s="70"/>
      <c r="H385" s="70"/>
      <c r="I385" s="170"/>
      <c r="J385" s="216"/>
      <c r="N385" s="216"/>
    </row>
    <row r="386" spans="1:14" ht="26" x14ac:dyDescent="0.6">
      <c r="A386" s="71"/>
      <c r="B386" s="70"/>
      <c r="C386" s="72"/>
      <c r="D386" s="156"/>
      <c r="E386" s="70"/>
      <c r="F386" s="70"/>
      <c r="G386" s="70"/>
      <c r="H386" s="70"/>
      <c r="I386" s="170"/>
      <c r="J386" s="216"/>
      <c r="N386" s="216"/>
    </row>
    <row r="387" spans="1:14" ht="26" x14ac:dyDescent="0.6">
      <c r="A387" s="71"/>
      <c r="B387" s="70"/>
      <c r="C387" s="72"/>
      <c r="D387" s="156"/>
      <c r="E387" s="70"/>
      <c r="F387" s="70"/>
      <c r="G387" s="70"/>
      <c r="H387" s="70"/>
      <c r="I387" s="170"/>
      <c r="J387" s="216"/>
      <c r="N387" s="216"/>
    </row>
    <row r="388" spans="1:14" ht="26" x14ac:dyDescent="0.6">
      <c r="A388" s="71"/>
      <c r="B388" s="70"/>
      <c r="C388" s="72"/>
      <c r="D388" s="156"/>
      <c r="E388" s="70"/>
      <c r="F388" s="70"/>
      <c r="G388" s="70"/>
      <c r="H388" s="70"/>
      <c r="I388" s="170"/>
      <c r="J388" s="216"/>
      <c r="N388" s="216"/>
    </row>
    <row r="389" spans="1:14" ht="26" x14ac:dyDescent="0.6">
      <c r="A389" s="71"/>
      <c r="B389" s="70"/>
      <c r="C389" s="72"/>
      <c r="D389" s="156"/>
      <c r="E389" s="70"/>
      <c r="F389" s="70"/>
      <c r="G389" s="70"/>
      <c r="H389" s="70"/>
      <c r="I389" s="170"/>
      <c r="J389" s="216"/>
      <c r="N389" s="216"/>
    </row>
    <row r="390" spans="1:14" ht="26" x14ac:dyDescent="0.6">
      <c r="A390" s="71"/>
      <c r="B390" s="70"/>
      <c r="C390" s="72"/>
      <c r="D390" s="156"/>
      <c r="E390" s="70"/>
      <c r="F390" s="70"/>
      <c r="G390" s="70"/>
      <c r="H390" s="70"/>
      <c r="I390" s="170"/>
      <c r="J390" s="216"/>
      <c r="N390" s="216"/>
    </row>
    <row r="391" spans="1:14" ht="26" x14ac:dyDescent="0.6">
      <c r="A391" s="71"/>
      <c r="B391" s="70"/>
      <c r="C391" s="72"/>
      <c r="D391" s="156"/>
      <c r="E391" s="70"/>
      <c r="F391" s="70"/>
      <c r="G391" s="70"/>
      <c r="H391" s="70"/>
      <c r="I391" s="170"/>
      <c r="J391" s="216"/>
      <c r="N391" s="216"/>
    </row>
    <row r="392" spans="1:14" ht="26" x14ac:dyDescent="0.6">
      <c r="A392" s="71"/>
      <c r="B392" s="70"/>
      <c r="C392" s="72"/>
      <c r="D392" s="156"/>
      <c r="E392" s="70"/>
      <c r="F392" s="70"/>
      <c r="G392" s="70"/>
      <c r="H392" s="70"/>
      <c r="I392" s="170"/>
      <c r="J392" s="216"/>
      <c r="N392" s="216"/>
    </row>
    <row r="393" spans="1:14" ht="26" x14ac:dyDescent="0.6">
      <c r="A393" s="71"/>
      <c r="B393" s="70"/>
      <c r="C393" s="72"/>
      <c r="D393" s="156"/>
      <c r="E393" s="70"/>
      <c r="F393" s="70"/>
      <c r="G393" s="70"/>
      <c r="H393" s="70"/>
      <c r="I393" s="170"/>
      <c r="J393" s="216"/>
      <c r="N393" s="216"/>
    </row>
    <row r="394" spans="1:14" ht="26" x14ac:dyDescent="0.6">
      <c r="A394" s="71"/>
      <c r="B394" s="70"/>
      <c r="C394" s="72"/>
      <c r="D394" s="156"/>
      <c r="E394" s="70"/>
      <c r="F394" s="70"/>
      <c r="G394" s="70"/>
      <c r="H394" s="70"/>
      <c r="I394" s="170"/>
      <c r="J394" s="216"/>
      <c r="N394" s="216"/>
    </row>
    <row r="395" spans="1:14" ht="26" x14ac:dyDescent="0.6">
      <c r="A395" s="71"/>
      <c r="B395" s="70"/>
      <c r="C395" s="72"/>
      <c r="D395" s="156"/>
      <c r="E395" s="70"/>
      <c r="F395" s="70"/>
      <c r="G395" s="70"/>
      <c r="H395" s="70"/>
      <c r="I395" s="170"/>
      <c r="J395" s="216"/>
      <c r="N395" s="216"/>
    </row>
    <row r="396" spans="1:14" ht="26" x14ac:dyDescent="0.6">
      <c r="A396" s="71"/>
      <c r="B396" s="70"/>
      <c r="C396" s="72"/>
      <c r="D396" s="156"/>
      <c r="E396" s="70"/>
      <c r="F396" s="70"/>
      <c r="G396" s="70"/>
      <c r="H396" s="70"/>
      <c r="I396" s="170"/>
      <c r="J396" s="216"/>
      <c r="N396" s="216"/>
    </row>
    <row r="397" spans="1:14" ht="26" x14ac:dyDescent="0.6">
      <c r="A397" s="71"/>
      <c r="B397" s="70"/>
      <c r="C397" s="72"/>
      <c r="D397" s="156"/>
      <c r="E397" s="70"/>
      <c r="F397" s="70"/>
      <c r="G397" s="70"/>
      <c r="H397" s="70"/>
      <c r="I397" s="170"/>
      <c r="J397" s="216"/>
      <c r="N397" s="216"/>
    </row>
    <row r="398" spans="1:14" ht="26" x14ac:dyDescent="0.6">
      <c r="A398" s="71"/>
      <c r="B398" s="70"/>
      <c r="C398" s="72"/>
      <c r="D398" s="156"/>
      <c r="E398" s="70"/>
      <c r="F398" s="70"/>
      <c r="G398" s="70"/>
      <c r="H398" s="70"/>
      <c r="I398" s="170"/>
      <c r="J398" s="216"/>
      <c r="N398" s="216"/>
    </row>
    <row r="399" spans="1:14" ht="26" x14ac:dyDescent="0.6">
      <c r="A399" s="71"/>
      <c r="B399" s="70"/>
      <c r="C399" s="72"/>
      <c r="D399" s="156"/>
      <c r="E399" s="70"/>
      <c r="F399" s="70"/>
      <c r="G399" s="70"/>
      <c r="H399" s="70"/>
      <c r="I399" s="170"/>
      <c r="J399" s="216"/>
      <c r="N399" s="216"/>
    </row>
    <row r="400" spans="1:14" ht="26" x14ac:dyDescent="0.6">
      <c r="A400" s="71"/>
      <c r="B400" s="70"/>
      <c r="C400" s="72"/>
      <c r="D400" s="156"/>
      <c r="E400" s="70"/>
      <c r="F400" s="70"/>
      <c r="G400" s="70"/>
      <c r="H400" s="70"/>
      <c r="I400" s="170"/>
      <c r="J400" s="216"/>
      <c r="N400" s="216"/>
    </row>
    <row r="401" spans="1:14" ht="26" x14ac:dyDescent="0.6">
      <c r="A401" s="71"/>
      <c r="B401" s="70"/>
      <c r="C401" s="72"/>
      <c r="D401" s="156"/>
      <c r="E401" s="70"/>
      <c r="F401" s="70"/>
      <c r="G401" s="70"/>
      <c r="H401" s="70"/>
      <c r="I401" s="170"/>
      <c r="J401" s="216"/>
      <c r="N401" s="216"/>
    </row>
    <row r="402" spans="1:14" ht="26" x14ac:dyDescent="0.6">
      <c r="A402" s="71"/>
      <c r="B402" s="70"/>
      <c r="C402" s="72"/>
      <c r="D402" s="156"/>
      <c r="E402" s="70"/>
      <c r="F402" s="70"/>
      <c r="G402" s="70"/>
      <c r="H402" s="70"/>
      <c r="I402" s="170"/>
      <c r="J402" s="216"/>
      <c r="N402" s="216"/>
    </row>
    <row r="403" spans="1:14" ht="26" x14ac:dyDescent="0.6">
      <c r="A403" s="71"/>
      <c r="B403" s="70"/>
      <c r="C403" s="72"/>
      <c r="D403" s="156"/>
      <c r="E403" s="70"/>
      <c r="F403" s="70"/>
      <c r="G403" s="70"/>
      <c r="H403" s="70"/>
      <c r="I403" s="170"/>
      <c r="J403" s="216"/>
      <c r="N403" s="216"/>
    </row>
    <row r="404" spans="1:14" ht="26" x14ac:dyDescent="0.6">
      <c r="A404" s="71"/>
      <c r="B404" s="70"/>
      <c r="C404" s="72"/>
      <c r="D404" s="156"/>
      <c r="E404" s="70"/>
      <c r="F404" s="70"/>
      <c r="G404" s="70"/>
      <c r="H404" s="70"/>
      <c r="I404" s="170"/>
      <c r="J404" s="216"/>
      <c r="N404" s="216"/>
    </row>
    <row r="405" spans="1:14" ht="26" x14ac:dyDescent="0.6">
      <c r="A405" s="71"/>
      <c r="B405" s="70"/>
      <c r="C405" s="72"/>
      <c r="D405" s="156"/>
      <c r="E405" s="70"/>
      <c r="F405" s="70"/>
      <c r="G405" s="70"/>
      <c r="H405" s="70"/>
      <c r="I405" s="170"/>
      <c r="J405" s="216"/>
      <c r="N405" s="216"/>
    </row>
  </sheetData>
  <conditionalFormatting sqref="K2:K314">
    <cfRule type="expression" dxfId="0" priority="1">
      <formula>AND(LEN($B2)&gt;0,LEN($K2)=0)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41"/>
  <sheetViews>
    <sheetView rightToLeft="1" zoomScale="70" zoomScaleNormal="70" workbookViewId="0">
      <selection activeCell="Q191" sqref="Q191"/>
    </sheetView>
  </sheetViews>
  <sheetFormatPr defaultRowHeight="14.5" x14ac:dyDescent="0.35"/>
  <cols>
    <col min="1" max="1" width="5.81640625" customWidth="1"/>
    <col min="2" max="2" width="19.90625" customWidth="1"/>
    <col min="3" max="3" width="19.54296875" customWidth="1"/>
    <col min="4" max="4" width="13.6328125" customWidth="1"/>
    <col min="5" max="5" width="12.81640625" customWidth="1"/>
    <col min="6" max="6" width="11" customWidth="1"/>
    <col min="7" max="7" width="17.26953125" customWidth="1"/>
    <col min="8" max="8" width="21" customWidth="1"/>
    <col min="9" max="9" width="6.81640625" customWidth="1"/>
    <col min="10" max="10" width="15.1796875" customWidth="1"/>
    <col min="11" max="11" width="13.6328125" customWidth="1"/>
    <col min="12" max="12" width="12" bestFit="1" customWidth="1"/>
    <col min="13" max="13" width="10.08984375" bestFit="1" customWidth="1"/>
    <col min="14" max="14" width="11.6328125" bestFit="1" customWidth="1"/>
    <col min="15" max="15" width="12" bestFit="1" customWidth="1"/>
    <col min="16" max="16" width="12.90625" bestFit="1" customWidth="1"/>
    <col min="17" max="17" width="21.54296875" bestFit="1" customWidth="1"/>
    <col min="18" max="18" width="8.1796875" bestFit="1" customWidth="1"/>
    <col min="19" max="19" width="9.54296875" bestFit="1" customWidth="1"/>
    <col min="20" max="20" width="8.1796875" bestFit="1" customWidth="1"/>
  </cols>
  <sheetData>
    <row r="1" spans="1:20" ht="16.5" x14ac:dyDescent="0.35">
      <c r="A1" s="141" t="s">
        <v>0</v>
      </c>
      <c r="B1" s="141" t="s">
        <v>7</v>
      </c>
      <c r="C1" s="141" t="s">
        <v>1267</v>
      </c>
      <c r="D1" s="141" t="s">
        <v>1</v>
      </c>
      <c r="E1" s="141" t="s">
        <v>15</v>
      </c>
      <c r="F1" s="141" t="s">
        <v>4</v>
      </c>
      <c r="G1" s="141" t="s">
        <v>3</v>
      </c>
      <c r="H1" s="141" t="s">
        <v>655</v>
      </c>
      <c r="I1" s="141" t="s">
        <v>1268</v>
      </c>
      <c r="J1" s="141" t="s">
        <v>1269</v>
      </c>
      <c r="K1" s="278" t="s">
        <v>6</v>
      </c>
      <c r="L1" s="286" t="s">
        <v>1805</v>
      </c>
      <c r="M1" s="286" t="s">
        <v>1806</v>
      </c>
      <c r="N1" s="294" t="s">
        <v>1807</v>
      </c>
      <c r="O1" s="286" t="s">
        <v>1818</v>
      </c>
      <c r="P1" s="296" t="s">
        <v>1819</v>
      </c>
      <c r="Q1" s="291" t="s">
        <v>1814</v>
      </c>
      <c r="R1" s="291" t="s">
        <v>1815</v>
      </c>
      <c r="S1" s="291" t="s">
        <v>1816</v>
      </c>
      <c r="T1" s="291" t="s">
        <v>1806</v>
      </c>
    </row>
    <row r="2" spans="1:20" ht="15.5" x14ac:dyDescent="0.35">
      <c r="A2" s="147">
        <v>1</v>
      </c>
      <c r="B2" s="148" t="s">
        <v>1270</v>
      </c>
      <c r="C2" s="148" t="s">
        <v>1761</v>
      </c>
      <c r="D2" s="149" t="s">
        <v>1757</v>
      </c>
      <c r="E2" s="148" t="s">
        <v>689</v>
      </c>
      <c r="F2" s="150" t="s">
        <v>1271</v>
      </c>
      <c r="G2" s="147" t="s">
        <v>1272</v>
      </c>
      <c r="H2" s="147" t="s">
        <v>1273</v>
      </c>
      <c r="I2" s="150">
        <v>60</v>
      </c>
      <c r="J2" s="150" t="s">
        <v>688</v>
      </c>
      <c r="K2" s="279">
        <v>46145</v>
      </c>
      <c r="L2" s="287">
        <f>IF(COUNTIFS($Q$2:$Q$30,TRIM($C2),$R$2:$R$30,$P2)=0,"",SUMIFS($S$2:$S$30,$Q$2:$Q$30,TRIM($C2),$R$2:$R$30,$P2))</f>
        <v>6513</v>
      </c>
      <c r="M2" s="287">
        <f>IF($L2="","",SUMIFS($T$2:$T$30,$Q$2:$Q$30,TRIM($C2),$R$2:$R$30,$P2))</f>
        <v>2500</v>
      </c>
      <c r="N2" s="295" t="str">
        <f>IF($L2="","",IF($P2="برايفيت",$L2-$M2,""))</f>
        <v/>
      </c>
      <c r="O2" s="287">
        <f>IF($L2="","",IF($P2="برايفيت","",$L2-$M2))</f>
        <v>4013</v>
      </c>
      <c r="P2" t="str">
        <f>IF(TRIM($J2)="","برايفيت",TRIM($J2))</f>
        <v>تامين صحى</v>
      </c>
      <c r="Q2" s="289" t="s">
        <v>1761</v>
      </c>
      <c r="R2" s="289" t="s">
        <v>688</v>
      </c>
      <c r="S2" s="292">
        <v>6513</v>
      </c>
      <c r="T2" s="292">
        <v>2500</v>
      </c>
    </row>
    <row r="3" spans="1:20" ht="15.5" x14ac:dyDescent="0.35">
      <c r="A3" s="137">
        <v>2</v>
      </c>
      <c r="B3" s="133" t="s">
        <v>1274</v>
      </c>
      <c r="C3" s="133" t="s">
        <v>1761</v>
      </c>
      <c r="D3" s="134" t="s">
        <v>1757</v>
      </c>
      <c r="E3" s="133" t="s">
        <v>689</v>
      </c>
      <c r="F3" s="139" t="s">
        <v>1275</v>
      </c>
      <c r="G3" s="137" t="s">
        <v>1276</v>
      </c>
      <c r="H3" s="137" t="s">
        <v>1277</v>
      </c>
      <c r="I3" s="139">
        <v>75</v>
      </c>
      <c r="J3" s="139" t="s">
        <v>688</v>
      </c>
      <c r="K3" s="280">
        <v>46145</v>
      </c>
      <c r="L3" s="287">
        <f t="shared" ref="L3:L66" si="0">IF(COUNTIFS($Q$2:$Q$30,TRIM($C3),$R$2:$R$30,$P3)=0,"",SUMIFS($S$2:$S$30,$Q$2:$Q$30,TRIM($C3),$R$2:$R$30,$P3))</f>
        <v>6513</v>
      </c>
      <c r="M3" s="287">
        <f t="shared" ref="M3:M66" si="1">IF($L3="","",SUMIFS($T$2:$T$30,$Q$2:$Q$30,TRIM($C3),$R$2:$R$30,$P3))</f>
        <v>2500</v>
      </c>
      <c r="N3" s="295" t="str">
        <f t="shared" ref="N3:N66" si="2">IF($L3="","",IF($P3="برايفيت",$L3-$M3,""))</f>
        <v/>
      </c>
      <c r="O3" s="287">
        <f t="shared" ref="O3:O66" si="3">IF($L3="","",IF($P3="برايفيت","",$L3-$M3))</f>
        <v>4013</v>
      </c>
      <c r="P3" t="str">
        <f t="shared" ref="P3:P66" si="4">IF(TRIM($J3)="","برايفيت",TRIM($J3))</f>
        <v>تامين صحى</v>
      </c>
      <c r="Q3" s="289" t="s">
        <v>1761</v>
      </c>
      <c r="R3" s="289" t="s">
        <v>1817</v>
      </c>
      <c r="S3" s="292">
        <v>7500</v>
      </c>
      <c r="T3" s="292">
        <v>3000</v>
      </c>
    </row>
    <row r="4" spans="1:20" ht="15.5" x14ac:dyDescent="0.35">
      <c r="A4" s="147">
        <v>3</v>
      </c>
      <c r="B4" s="148" t="s">
        <v>903</v>
      </c>
      <c r="C4" s="148" t="s">
        <v>1761</v>
      </c>
      <c r="D4" s="149" t="s">
        <v>1758</v>
      </c>
      <c r="E4" s="148" t="s">
        <v>689</v>
      </c>
      <c r="F4" s="150" t="s">
        <v>1278</v>
      </c>
      <c r="G4" s="147" t="s">
        <v>1279</v>
      </c>
      <c r="H4" s="147" t="s">
        <v>1280</v>
      </c>
      <c r="I4" s="150">
        <v>64</v>
      </c>
      <c r="J4" s="150" t="s">
        <v>688</v>
      </c>
      <c r="K4" s="279">
        <v>46145</v>
      </c>
      <c r="L4" s="287">
        <f t="shared" si="0"/>
        <v>6513</v>
      </c>
      <c r="M4" s="287">
        <f t="shared" si="1"/>
        <v>2500</v>
      </c>
      <c r="N4" s="295" t="str">
        <f t="shared" si="2"/>
        <v/>
      </c>
      <c r="O4" s="287">
        <f t="shared" si="3"/>
        <v>4013</v>
      </c>
      <c r="P4" t="str">
        <f t="shared" si="4"/>
        <v>تامين صحى</v>
      </c>
      <c r="Q4" s="289" t="s">
        <v>1766</v>
      </c>
      <c r="R4" s="289" t="s">
        <v>688</v>
      </c>
      <c r="S4" s="292">
        <v>18100</v>
      </c>
      <c r="T4" s="292">
        <v>8000</v>
      </c>
    </row>
    <row r="5" spans="1:20" ht="15.5" x14ac:dyDescent="0.35">
      <c r="A5" s="137">
        <v>4</v>
      </c>
      <c r="B5" s="133" t="s">
        <v>1281</v>
      </c>
      <c r="C5" s="133" t="s">
        <v>1761</v>
      </c>
      <c r="D5" s="134" t="s">
        <v>1758</v>
      </c>
      <c r="E5" s="133" t="s">
        <v>689</v>
      </c>
      <c r="F5" s="139" t="s">
        <v>1275</v>
      </c>
      <c r="G5" s="137" t="s">
        <v>1282</v>
      </c>
      <c r="H5" s="137" t="s">
        <v>1283</v>
      </c>
      <c r="I5" s="139">
        <v>71</v>
      </c>
      <c r="J5" s="139" t="s">
        <v>688</v>
      </c>
      <c r="K5" s="280">
        <v>46145</v>
      </c>
      <c r="L5" s="287">
        <f t="shared" si="0"/>
        <v>6513</v>
      </c>
      <c r="M5" s="287">
        <f t="shared" si="1"/>
        <v>2500</v>
      </c>
      <c r="N5" s="295" t="str">
        <f t="shared" si="2"/>
        <v/>
      </c>
      <c r="O5" s="287">
        <f t="shared" si="3"/>
        <v>4013</v>
      </c>
      <c r="P5" t="str">
        <f t="shared" si="4"/>
        <v>تامين صحى</v>
      </c>
      <c r="Q5" s="289" t="s">
        <v>1766</v>
      </c>
      <c r="R5" s="289" t="s">
        <v>1817</v>
      </c>
      <c r="S5" s="292">
        <v>40000</v>
      </c>
      <c r="T5" s="292">
        <v>8000</v>
      </c>
    </row>
    <row r="6" spans="1:20" ht="15.5" x14ac:dyDescent="0.35">
      <c r="A6" s="147">
        <v>5</v>
      </c>
      <c r="B6" s="148" t="s">
        <v>1284</v>
      </c>
      <c r="C6" s="148" t="s">
        <v>1761</v>
      </c>
      <c r="D6" s="149" t="s">
        <v>1757</v>
      </c>
      <c r="E6" s="148" t="s">
        <v>689</v>
      </c>
      <c r="F6" s="150" t="s">
        <v>459</v>
      </c>
      <c r="G6" s="147" t="s">
        <v>1285</v>
      </c>
      <c r="H6" s="147" t="s">
        <v>1286</v>
      </c>
      <c r="I6" s="150">
        <v>78</v>
      </c>
      <c r="J6" s="150" t="s">
        <v>688</v>
      </c>
      <c r="K6" s="279">
        <v>46145</v>
      </c>
      <c r="L6" s="287">
        <f t="shared" si="0"/>
        <v>6513</v>
      </c>
      <c r="M6" s="287">
        <f t="shared" si="1"/>
        <v>2500</v>
      </c>
      <c r="N6" s="295" t="str">
        <f t="shared" si="2"/>
        <v/>
      </c>
      <c r="O6" s="287">
        <f t="shared" si="3"/>
        <v>4013</v>
      </c>
      <c r="P6" t="str">
        <f t="shared" si="4"/>
        <v>تامين صحى</v>
      </c>
      <c r="Q6" s="289" t="s">
        <v>1761</v>
      </c>
      <c r="R6" s="289" t="s">
        <v>1433</v>
      </c>
      <c r="S6" s="292">
        <v>6513</v>
      </c>
      <c r="T6" s="292">
        <v>2500</v>
      </c>
    </row>
    <row r="7" spans="1:20" ht="31" x14ac:dyDescent="0.35">
      <c r="A7" s="137">
        <v>6</v>
      </c>
      <c r="B7" s="133" t="s">
        <v>1287</v>
      </c>
      <c r="C7" s="133" t="s">
        <v>1761</v>
      </c>
      <c r="D7" s="134" t="s">
        <v>1757</v>
      </c>
      <c r="E7" s="133" t="s">
        <v>689</v>
      </c>
      <c r="F7" s="139" t="s">
        <v>1288</v>
      </c>
      <c r="G7" s="137" t="s">
        <v>1289</v>
      </c>
      <c r="H7" s="137" t="s">
        <v>1290</v>
      </c>
      <c r="I7" s="139">
        <v>57</v>
      </c>
      <c r="J7" s="139"/>
      <c r="K7" s="280">
        <v>46145</v>
      </c>
      <c r="L7" s="287">
        <f t="shared" si="0"/>
        <v>7500</v>
      </c>
      <c r="M7" s="287">
        <f t="shared" si="1"/>
        <v>3000</v>
      </c>
      <c r="N7" s="295">
        <f t="shared" si="2"/>
        <v>4500</v>
      </c>
      <c r="O7" s="287" t="str">
        <f t="shared" si="3"/>
        <v/>
      </c>
      <c r="P7" t="str">
        <f t="shared" si="4"/>
        <v>برايفيت</v>
      </c>
      <c r="Q7" s="289" t="s">
        <v>1766</v>
      </c>
      <c r="R7" s="289" t="s">
        <v>1433</v>
      </c>
      <c r="S7" s="292">
        <v>18100</v>
      </c>
      <c r="T7" s="292">
        <v>8000</v>
      </c>
    </row>
    <row r="8" spans="1:20" ht="31" x14ac:dyDescent="0.35">
      <c r="A8" s="147">
        <v>7</v>
      </c>
      <c r="B8" s="148" t="s">
        <v>1291</v>
      </c>
      <c r="C8" s="148" t="s">
        <v>1761</v>
      </c>
      <c r="D8" s="149" t="s">
        <v>1758</v>
      </c>
      <c r="E8" s="148" t="s">
        <v>1730</v>
      </c>
      <c r="F8" s="150" t="s">
        <v>1275</v>
      </c>
      <c r="G8" s="147" t="s">
        <v>1292</v>
      </c>
      <c r="H8" s="147" t="s">
        <v>1293</v>
      </c>
      <c r="I8" s="150">
        <v>64</v>
      </c>
      <c r="J8" s="150" t="s">
        <v>688</v>
      </c>
      <c r="K8" s="279">
        <v>46147</v>
      </c>
      <c r="L8" s="287">
        <f t="shared" si="0"/>
        <v>6513</v>
      </c>
      <c r="M8" s="287">
        <f t="shared" si="1"/>
        <v>2500</v>
      </c>
      <c r="N8" s="295" t="str">
        <f t="shared" si="2"/>
        <v/>
      </c>
      <c r="O8" s="287">
        <f t="shared" si="3"/>
        <v>4013</v>
      </c>
      <c r="P8" t="str">
        <f t="shared" si="4"/>
        <v>تامين صحى</v>
      </c>
      <c r="Q8" s="289" t="s">
        <v>1762</v>
      </c>
      <c r="R8" s="289" t="s">
        <v>688</v>
      </c>
      <c r="S8" s="292">
        <v>6513</v>
      </c>
      <c r="T8" s="292">
        <v>2500</v>
      </c>
    </row>
    <row r="9" spans="1:20" ht="31" x14ac:dyDescent="0.35">
      <c r="A9" s="137">
        <v>8</v>
      </c>
      <c r="B9" s="133" t="s">
        <v>1294</v>
      </c>
      <c r="C9" s="133" t="s">
        <v>1761</v>
      </c>
      <c r="D9" s="134" t="s">
        <v>1758</v>
      </c>
      <c r="E9" s="133" t="s">
        <v>1730</v>
      </c>
      <c r="F9" s="139" t="s">
        <v>212</v>
      </c>
      <c r="G9" s="137" t="s">
        <v>1295</v>
      </c>
      <c r="H9" s="137" t="s">
        <v>1296</v>
      </c>
      <c r="I9" s="139">
        <v>71</v>
      </c>
      <c r="J9" s="139" t="s">
        <v>688</v>
      </c>
      <c r="K9" s="280">
        <v>46147</v>
      </c>
      <c r="L9" s="287">
        <f t="shared" si="0"/>
        <v>6513</v>
      </c>
      <c r="M9" s="287">
        <f t="shared" si="1"/>
        <v>2500</v>
      </c>
      <c r="N9" s="295" t="str">
        <f t="shared" si="2"/>
        <v/>
      </c>
      <c r="O9" s="287">
        <f t="shared" si="3"/>
        <v>4013</v>
      </c>
      <c r="P9" t="str">
        <f t="shared" si="4"/>
        <v>تامين صحى</v>
      </c>
      <c r="Q9" s="289" t="s">
        <v>1762</v>
      </c>
      <c r="R9" s="289" t="s">
        <v>1817</v>
      </c>
      <c r="S9" s="292">
        <v>7500</v>
      </c>
      <c r="T9" s="292">
        <v>3000</v>
      </c>
    </row>
    <row r="10" spans="1:20" ht="31" x14ac:dyDescent="0.35">
      <c r="A10" s="147">
        <v>9</v>
      </c>
      <c r="B10" s="148" t="s">
        <v>1297</v>
      </c>
      <c r="C10" s="148" t="s">
        <v>1761</v>
      </c>
      <c r="D10" s="149" t="s">
        <v>1757</v>
      </c>
      <c r="E10" s="148" t="s">
        <v>1730</v>
      </c>
      <c r="F10" s="150" t="s">
        <v>212</v>
      </c>
      <c r="G10" s="147" t="s">
        <v>1299</v>
      </c>
      <c r="H10" s="147" t="s">
        <v>1300</v>
      </c>
      <c r="I10" s="150">
        <v>74</v>
      </c>
      <c r="J10" s="150"/>
      <c r="K10" s="279">
        <v>46147</v>
      </c>
      <c r="L10" s="287">
        <f t="shared" si="0"/>
        <v>7500</v>
      </c>
      <c r="M10" s="287">
        <f t="shared" si="1"/>
        <v>3000</v>
      </c>
      <c r="N10" s="295">
        <f t="shared" si="2"/>
        <v>4500</v>
      </c>
      <c r="O10" s="287" t="str">
        <f t="shared" si="3"/>
        <v/>
      </c>
      <c r="P10" t="str">
        <f t="shared" si="4"/>
        <v>برايفيت</v>
      </c>
      <c r="Q10" s="289" t="s">
        <v>1762</v>
      </c>
      <c r="R10" s="289" t="s">
        <v>1433</v>
      </c>
      <c r="S10" s="292">
        <v>6513</v>
      </c>
      <c r="T10" s="292">
        <v>2500</v>
      </c>
    </row>
    <row r="11" spans="1:20" ht="31" x14ac:dyDescent="0.35">
      <c r="A11" s="137">
        <v>10</v>
      </c>
      <c r="B11" s="133" t="s">
        <v>1301</v>
      </c>
      <c r="C11" s="133" t="s">
        <v>1761</v>
      </c>
      <c r="D11" s="134" t="s">
        <v>1758</v>
      </c>
      <c r="E11" s="133" t="s">
        <v>1730</v>
      </c>
      <c r="F11" s="139" t="s">
        <v>212</v>
      </c>
      <c r="G11" s="137" t="s">
        <v>1302</v>
      </c>
      <c r="H11" s="137" t="s">
        <v>1303</v>
      </c>
      <c r="I11" s="139">
        <v>75</v>
      </c>
      <c r="J11" s="139"/>
      <c r="K11" s="280">
        <v>46147</v>
      </c>
      <c r="L11" s="287">
        <f t="shared" si="0"/>
        <v>7500</v>
      </c>
      <c r="M11" s="287">
        <f t="shared" si="1"/>
        <v>3000</v>
      </c>
      <c r="N11" s="295">
        <f t="shared" si="2"/>
        <v>4500</v>
      </c>
      <c r="O11" s="287" t="str">
        <f t="shared" si="3"/>
        <v/>
      </c>
      <c r="P11" t="str">
        <f t="shared" si="4"/>
        <v>برايفيت</v>
      </c>
      <c r="Q11" s="289" t="s">
        <v>56</v>
      </c>
      <c r="R11" s="289" t="s">
        <v>1817</v>
      </c>
      <c r="S11" s="292">
        <v>11000</v>
      </c>
      <c r="T11" s="292">
        <v>2400</v>
      </c>
    </row>
    <row r="12" spans="1:20" ht="31" x14ac:dyDescent="0.35">
      <c r="A12" s="147">
        <v>11</v>
      </c>
      <c r="B12" s="148" t="s">
        <v>1304</v>
      </c>
      <c r="C12" s="148" t="s">
        <v>1762</v>
      </c>
      <c r="D12" s="149" t="s">
        <v>1758</v>
      </c>
      <c r="E12" s="148" t="s">
        <v>1730</v>
      </c>
      <c r="F12" s="150" t="s">
        <v>1271</v>
      </c>
      <c r="G12" s="147" t="s">
        <v>1305</v>
      </c>
      <c r="H12" s="147" t="s">
        <v>1306</v>
      </c>
      <c r="I12" s="150">
        <v>48</v>
      </c>
      <c r="J12" s="150"/>
      <c r="K12" s="279">
        <v>46147</v>
      </c>
      <c r="L12" s="287">
        <f t="shared" si="0"/>
        <v>7500</v>
      </c>
      <c r="M12" s="287">
        <f t="shared" si="1"/>
        <v>3000</v>
      </c>
      <c r="N12" s="295">
        <f t="shared" si="2"/>
        <v>4500</v>
      </c>
      <c r="O12" s="287" t="str">
        <f t="shared" si="3"/>
        <v/>
      </c>
      <c r="P12" t="str">
        <f t="shared" si="4"/>
        <v>برايفيت</v>
      </c>
      <c r="Q12" s="289" t="s">
        <v>1764</v>
      </c>
      <c r="R12" s="289" t="s">
        <v>1817</v>
      </c>
      <c r="S12" s="292">
        <v>8000</v>
      </c>
      <c r="T12" s="292">
        <v>1500</v>
      </c>
    </row>
    <row r="13" spans="1:20" ht="31" x14ac:dyDescent="0.35">
      <c r="A13" s="137">
        <v>12</v>
      </c>
      <c r="B13" s="133" t="s">
        <v>1307</v>
      </c>
      <c r="C13" s="133" t="s">
        <v>56</v>
      </c>
      <c r="D13" s="134" t="s">
        <v>1759</v>
      </c>
      <c r="E13" s="133" t="s">
        <v>1730</v>
      </c>
      <c r="F13" s="139" t="s">
        <v>459</v>
      </c>
      <c r="G13" s="137" t="s">
        <v>1308</v>
      </c>
      <c r="H13" s="137" t="s">
        <v>1309</v>
      </c>
      <c r="I13" s="139">
        <v>11</v>
      </c>
      <c r="J13" s="139"/>
      <c r="K13" s="280">
        <v>46147</v>
      </c>
      <c r="L13" s="287">
        <f t="shared" si="0"/>
        <v>11000</v>
      </c>
      <c r="M13" s="287">
        <f t="shared" si="1"/>
        <v>2400</v>
      </c>
      <c r="N13" s="295">
        <f t="shared" si="2"/>
        <v>8600</v>
      </c>
      <c r="O13" s="287" t="str">
        <f t="shared" si="3"/>
        <v/>
      </c>
      <c r="P13" t="str">
        <f t="shared" si="4"/>
        <v>برايفيت</v>
      </c>
      <c r="Q13" s="289" t="s">
        <v>1764</v>
      </c>
      <c r="R13" s="289" t="s">
        <v>688</v>
      </c>
      <c r="S13" s="292">
        <v>5272</v>
      </c>
      <c r="T13" s="292">
        <v>1500</v>
      </c>
    </row>
    <row r="14" spans="1:20" ht="15.5" x14ac:dyDescent="0.35">
      <c r="A14" s="147">
        <v>13</v>
      </c>
      <c r="B14" s="148" t="s">
        <v>1310</v>
      </c>
      <c r="C14" s="148" t="s">
        <v>1761</v>
      </c>
      <c r="D14" s="149" t="s">
        <v>1758</v>
      </c>
      <c r="E14" s="148" t="s">
        <v>1298</v>
      </c>
      <c r="F14" s="150" t="s">
        <v>1311</v>
      </c>
      <c r="G14" s="147" t="s">
        <v>1312</v>
      </c>
      <c r="H14" s="147" t="s">
        <v>1313</v>
      </c>
      <c r="I14" s="150">
        <v>62</v>
      </c>
      <c r="J14" s="150"/>
      <c r="K14" s="279">
        <v>46148</v>
      </c>
      <c r="L14" s="287">
        <f t="shared" si="0"/>
        <v>7500</v>
      </c>
      <c r="M14" s="287">
        <f t="shared" si="1"/>
        <v>3000</v>
      </c>
      <c r="N14" s="295">
        <f t="shared" si="2"/>
        <v>4500</v>
      </c>
      <c r="O14" s="287" t="str">
        <f t="shared" si="3"/>
        <v/>
      </c>
      <c r="P14" t="str">
        <f t="shared" si="4"/>
        <v>برايفيت</v>
      </c>
      <c r="Q14" s="289" t="s">
        <v>1764</v>
      </c>
      <c r="R14" s="289" t="s">
        <v>1433</v>
      </c>
      <c r="S14" s="292">
        <v>5272</v>
      </c>
      <c r="T14" s="292">
        <v>1500</v>
      </c>
    </row>
    <row r="15" spans="1:20" ht="15.5" x14ac:dyDescent="0.35">
      <c r="A15" s="137">
        <v>14</v>
      </c>
      <c r="B15" s="133" t="s">
        <v>1314</v>
      </c>
      <c r="C15" s="133" t="s">
        <v>1761</v>
      </c>
      <c r="D15" s="134" t="s">
        <v>1758</v>
      </c>
      <c r="E15" s="133" t="s">
        <v>1298</v>
      </c>
      <c r="F15" s="139" t="s">
        <v>1288</v>
      </c>
      <c r="G15" s="137" t="s">
        <v>1315</v>
      </c>
      <c r="H15" s="137" t="s">
        <v>1316</v>
      </c>
      <c r="I15" s="139">
        <v>69</v>
      </c>
      <c r="J15" s="139"/>
      <c r="K15" s="280">
        <v>46148</v>
      </c>
      <c r="L15" s="287">
        <f t="shared" si="0"/>
        <v>7500</v>
      </c>
      <c r="M15" s="287">
        <f t="shared" si="1"/>
        <v>3000</v>
      </c>
      <c r="N15" s="295">
        <f t="shared" si="2"/>
        <v>4500</v>
      </c>
      <c r="O15" s="287" t="str">
        <f t="shared" si="3"/>
        <v/>
      </c>
      <c r="P15" t="str">
        <f t="shared" si="4"/>
        <v>برايفيت</v>
      </c>
      <c r="Q15" s="289" t="s">
        <v>1767</v>
      </c>
      <c r="R15" s="289" t="s">
        <v>1817</v>
      </c>
      <c r="S15" s="292">
        <v>9500</v>
      </c>
      <c r="T15" s="292">
        <v>2500</v>
      </c>
    </row>
    <row r="16" spans="1:20" ht="15.5" x14ac:dyDescent="0.35">
      <c r="A16" s="147">
        <v>15</v>
      </c>
      <c r="B16" s="148" t="s">
        <v>1317</v>
      </c>
      <c r="C16" s="148" t="s">
        <v>1761</v>
      </c>
      <c r="D16" s="149" t="s">
        <v>1757</v>
      </c>
      <c r="E16" s="148" t="s">
        <v>689</v>
      </c>
      <c r="F16" s="150" t="s">
        <v>212</v>
      </c>
      <c r="G16" s="147" t="s">
        <v>1318</v>
      </c>
      <c r="H16" s="147" t="s">
        <v>1319</v>
      </c>
      <c r="I16" s="150">
        <v>64</v>
      </c>
      <c r="J16" s="150" t="s">
        <v>688</v>
      </c>
      <c r="K16" s="279">
        <v>46148</v>
      </c>
      <c r="L16" s="287">
        <f t="shared" si="0"/>
        <v>6513</v>
      </c>
      <c r="M16" s="287">
        <f t="shared" si="1"/>
        <v>2500</v>
      </c>
      <c r="N16" s="295" t="str">
        <f t="shared" si="2"/>
        <v/>
      </c>
      <c r="O16" s="287">
        <f t="shared" si="3"/>
        <v>4013</v>
      </c>
      <c r="P16" t="str">
        <f t="shared" si="4"/>
        <v>تامين صحى</v>
      </c>
      <c r="Q16" s="289" t="s">
        <v>1767</v>
      </c>
      <c r="R16" s="289" t="s">
        <v>688</v>
      </c>
      <c r="S16" s="292">
        <v>8805</v>
      </c>
      <c r="T16" s="292">
        <v>2500</v>
      </c>
    </row>
    <row r="17" spans="1:20" ht="15.5" x14ac:dyDescent="0.35">
      <c r="A17" s="137">
        <v>16</v>
      </c>
      <c r="B17" s="133" t="s">
        <v>1320</v>
      </c>
      <c r="C17" s="133" t="s">
        <v>1761</v>
      </c>
      <c r="D17" s="134" t="s">
        <v>1757</v>
      </c>
      <c r="E17" s="133" t="s">
        <v>689</v>
      </c>
      <c r="F17" s="139" t="s">
        <v>1275</v>
      </c>
      <c r="G17" s="137" t="s">
        <v>1321</v>
      </c>
      <c r="H17" s="137" t="s">
        <v>1322</v>
      </c>
      <c r="I17" s="139">
        <v>57</v>
      </c>
      <c r="J17" s="139" t="s">
        <v>688</v>
      </c>
      <c r="K17" s="280">
        <v>46148</v>
      </c>
      <c r="L17" s="287">
        <f t="shared" si="0"/>
        <v>6513</v>
      </c>
      <c r="M17" s="287">
        <f t="shared" si="1"/>
        <v>2500</v>
      </c>
      <c r="N17" s="295" t="str">
        <f t="shared" si="2"/>
        <v/>
      </c>
      <c r="O17" s="287">
        <f t="shared" si="3"/>
        <v>4013</v>
      </c>
      <c r="P17" t="str">
        <f t="shared" si="4"/>
        <v>تامين صحى</v>
      </c>
      <c r="Q17" s="289" t="s">
        <v>1767</v>
      </c>
      <c r="R17" s="289" t="s">
        <v>1433</v>
      </c>
      <c r="S17" s="292">
        <v>8805</v>
      </c>
      <c r="T17" s="292">
        <v>2500</v>
      </c>
    </row>
    <row r="18" spans="1:20" ht="15.5" x14ac:dyDescent="0.35">
      <c r="A18" s="147">
        <v>17</v>
      </c>
      <c r="B18" s="148" t="s">
        <v>1323</v>
      </c>
      <c r="C18" s="148" t="s">
        <v>1761</v>
      </c>
      <c r="D18" s="149" t="s">
        <v>1758</v>
      </c>
      <c r="E18" s="148" t="s">
        <v>689</v>
      </c>
      <c r="F18" s="150" t="s">
        <v>212</v>
      </c>
      <c r="G18" s="147" t="s">
        <v>1324</v>
      </c>
      <c r="H18" s="147" t="s">
        <v>1325</v>
      </c>
      <c r="I18" s="150">
        <v>70</v>
      </c>
      <c r="J18" s="150"/>
      <c r="K18" s="279">
        <v>46148</v>
      </c>
      <c r="L18" s="287">
        <f t="shared" si="0"/>
        <v>7500</v>
      </c>
      <c r="M18" s="287">
        <f t="shared" si="1"/>
        <v>3000</v>
      </c>
      <c r="N18" s="295">
        <f t="shared" si="2"/>
        <v>4500</v>
      </c>
      <c r="O18" s="287" t="str">
        <f t="shared" si="3"/>
        <v/>
      </c>
      <c r="P18" t="str">
        <f t="shared" si="4"/>
        <v>برايفيت</v>
      </c>
      <c r="Q18" s="289" t="s">
        <v>1774</v>
      </c>
      <c r="R18" s="289" t="s">
        <v>1817</v>
      </c>
      <c r="S18" s="292">
        <v>11000</v>
      </c>
      <c r="T18" s="292">
        <v>3200</v>
      </c>
    </row>
    <row r="19" spans="1:20" ht="15.5" x14ac:dyDescent="0.35">
      <c r="A19" s="137">
        <v>18</v>
      </c>
      <c r="B19" s="133" t="s">
        <v>1326</v>
      </c>
      <c r="C19" s="133" t="s">
        <v>1761</v>
      </c>
      <c r="D19" s="134" t="s">
        <v>1757</v>
      </c>
      <c r="E19" s="133" t="s">
        <v>689</v>
      </c>
      <c r="F19" s="139" t="s">
        <v>1275</v>
      </c>
      <c r="G19" s="137" t="s">
        <v>1327</v>
      </c>
      <c r="H19" s="137" t="s">
        <v>1328</v>
      </c>
      <c r="I19" s="139">
        <v>61</v>
      </c>
      <c r="J19" s="139" t="s">
        <v>688</v>
      </c>
      <c r="K19" s="280">
        <v>46148</v>
      </c>
      <c r="L19" s="287">
        <f t="shared" si="0"/>
        <v>6513</v>
      </c>
      <c r="M19" s="287">
        <f t="shared" si="1"/>
        <v>2500</v>
      </c>
      <c r="N19" s="295" t="str">
        <f t="shared" si="2"/>
        <v/>
      </c>
      <c r="O19" s="287">
        <f t="shared" si="3"/>
        <v>4013</v>
      </c>
      <c r="P19" t="str">
        <f t="shared" si="4"/>
        <v>تامين صحى</v>
      </c>
      <c r="Q19" s="289" t="s">
        <v>1769</v>
      </c>
      <c r="R19" s="289" t="s">
        <v>1817</v>
      </c>
      <c r="S19" s="292">
        <v>9500</v>
      </c>
      <c r="T19" s="292">
        <v>2500</v>
      </c>
    </row>
    <row r="20" spans="1:20" ht="15.5" x14ac:dyDescent="0.35">
      <c r="A20" s="147">
        <v>19</v>
      </c>
      <c r="B20" s="148" t="s">
        <v>1329</v>
      </c>
      <c r="C20" s="148" t="s">
        <v>1761</v>
      </c>
      <c r="D20" s="149" t="s">
        <v>1757</v>
      </c>
      <c r="E20" s="148" t="s">
        <v>689</v>
      </c>
      <c r="F20" s="150" t="s">
        <v>459</v>
      </c>
      <c r="G20" s="147" t="s">
        <v>1330</v>
      </c>
      <c r="H20" s="147" t="s">
        <v>1331</v>
      </c>
      <c r="I20" s="150">
        <v>50</v>
      </c>
      <c r="J20" s="150"/>
      <c r="K20" s="279">
        <v>46152</v>
      </c>
      <c r="L20" s="287">
        <f t="shared" si="0"/>
        <v>7500</v>
      </c>
      <c r="M20" s="287">
        <f t="shared" si="1"/>
        <v>3000</v>
      </c>
      <c r="N20" s="295">
        <f t="shared" si="2"/>
        <v>4500</v>
      </c>
      <c r="O20" s="287" t="str">
        <f t="shared" si="3"/>
        <v/>
      </c>
      <c r="P20" t="str">
        <f t="shared" si="4"/>
        <v>برايفيت</v>
      </c>
      <c r="Q20" s="289" t="s">
        <v>1769</v>
      </c>
      <c r="R20" s="289" t="s">
        <v>688</v>
      </c>
      <c r="S20" s="292">
        <v>8805</v>
      </c>
      <c r="T20" s="292">
        <v>2500</v>
      </c>
    </row>
    <row r="21" spans="1:20" ht="15.5" x14ac:dyDescent="0.35">
      <c r="A21" s="137">
        <v>20</v>
      </c>
      <c r="B21" s="133" t="s">
        <v>1332</v>
      </c>
      <c r="C21" s="133" t="s">
        <v>1761</v>
      </c>
      <c r="D21" s="134" t="s">
        <v>1758</v>
      </c>
      <c r="E21" s="133" t="s">
        <v>689</v>
      </c>
      <c r="F21" s="139" t="s">
        <v>212</v>
      </c>
      <c r="G21" s="137" t="s">
        <v>1333</v>
      </c>
      <c r="H21" s="137" t="s">
        <v>1334</v>
      </c>
      <c r="I21" s="139">
        <v>58</v>
      </c>
      <c r="J21" s="139"/>
      <c r="K21" s="280">
        <v>46152</v>
      </c>
      <c r="L21" s="287">
        <f t="shared" si="0"/>
        <v>7500</v>
      </c>
      <c r="M21" s="287">
        <f t="shared" si="1"/>
        <v>3000</v>
      </c>
      <c r="N21" s="295">
        <f t="shared" si="2"/>
        <v>4500</v>
      </c>
      <c r="O21" s="287" t="str">
        <f t="shared" si="3"/>
        <v/>
      </c>
      <c r="P21" t="str">
        <f t="shared" si="4"/>
        <v>برايفيت</v>
      </c>
      <c r="Q21" s="289" t="s">
        <v>1769</v>
      </c>
      <c r="R21" s="289" t="s">
        <v>1433</v>
      </c>
      <c r="S21" s="292">
        <v>8805</v>
      </c>
      <c r="T21" s="292">
        <v>2500</v>
      </c>
    </row>
    <row r="22" spans="1:20" ht="15.5" x14ac:dyDescent="0.35">
      <c r="A22" s="147">
        <v>21</v>
      </c>
      <c r="B22" s="148" t="s">
        <v>1335</v>
      </c>
      <c r="C22" s="148" t="s">
        <v>1761</v>
      </c>
      <c r="D22" s="149" t="s">
        <v>1757</v>
      </c>
      <c r="E22" s="148" t="s">
        <v>689</v>
      </c>
      <c r="F22" s="150" t="s">
        <v>1271</v>
      </c>
      <c r="G22" s="147" t="s">
        <v>1336</v>
      </c>
      <c r="H22" s="147" t="s">
        <v>1337</v>
      </c>
      <c r="I22" s="150">
        <v>4</v>
      </c>
      <c r="J22" s="150" t="s">
        <v>688</v>
      </c>
      <c r="K22" s="279">
        <v>46152</v>
      </c>
      <c r="L22" s="287">
        <f t="shared" si="0"/>
        <v>6513</v>
      </c>
      <c r="M22" s="287">
        <f t="shared" si="1"/>
        <v>2500</v>
      </c>
      <c r="N22" s="295" t="str">
        <f t="shared" si="2"/>
        <v/>
      </c>
      <c r="O22" s="287">
        <f t="shared" si="3"/>
        <v>4013</v>
      </c>
      <c r="P22" t="str">
        <f t="shared" si="4"/>
        <v>تامين صحى</v>
      </c>
      <c r="Q22" s="289" t="s">
        <v>31</v>
      </c>
      <c r="R22" s="289" t="s">
        <v>1817</v>
      </c>
      <c r="S22" s="292">
        <v>40000</v>
      </c>
      <c r="T22" s="292">
        <v>8000</v>
      </c>
    </row>
    <row r="23" spans="1:20" ht="15.5" x14ac:dyDescent="0.35">
      <c r="A23" s="137">
        <v>22</v>
      </c>
      <c r="B23" s="133" t="s">
        <v>1338</v>
      </c>
      <c r="C23" s="133" t="s">
        <v>1761</v>
      </c>
      <c r="D23" s="134" t="s">
        <v>1758</v>
      </c>
      <c r="E23" s="133" t="s">
        <v>689</v>
      </c>
      <c r="F23" s="139" t="s">
        <v>459</v>
      </c>
      <c r="G23" s="137" t="s">
        <v>1339</v>
      </c>
      <c r="H23" s="137" t="s">
        <v>1340</v>
      </c>
      <c r="I23" s="139">
        <v>60</v>
      </c>
      <c r="J23" s="139"/>
      <c r="K23" s="280">
        <v>46152</v>
      </c>
      <c r="L23" s="287">
        <f t="shared" si="0"/>
        <v>7500</v>
      </c>
      <c r="M23" s="287">
        <f t="shared" si="1"/>
        <v>3000</v>
      </c>
      <c r="N23" s="295">
        <f t="shared" si="2"/>
        <v>4500</v>
      </c>
      <c r="O23" s="287" t="str">
        <f t="shared" si="3"/>
        <v/>
      </c>
      <c r="P23" t="str">
        <f t="shared" si="4"/>
        <v>برايفيت</v>
      </c>
      <c r="Q23" s="289" t="s">
        <v>31</v>
      </c>
      <c r="R23" s="289" t="s">
        <v>688</v>
      </c>
      <c r="S23" s="292">
        <v>18100</v>
      </c>
      <c r="T23" s="292">
        <v>8000</v>
      </c>
    </row>
    <row r="24" spans="1:20" ht="15.5" x14ac:dyDescent="0.35">
      <c r="A24" s="147">
        <v>23</v>
      </c>
      <c r="B24" s="148" t="s">
        <v>1341</v>
      </c>
      <c r="C24" s="148" t="s">
        <v>1761</v>
      </c>
      <c r="D24" s="149" t="s">
        <v>1757</v>
      </c>
      <c r="E24" s="148" t="s">
        <v>689</v>
      </c>
      <c r="F24" s="150" t="s">
        <v>1288</v>
      </c>
      <c r="G24" s="147" t="s">
        <v>1342</v>
      </c>
      <c r="H24" s="147" t="s">
        <v>1343</v>
      </c>
      <c r="I24" s="150">
        <v>63</v>
      </c>
      <c r="J24" s="150"/>
      <c r="K24" s="279">
        <v>46152</v>
      </c>
      <c r="L24" s="287">
        <f t="shared" si="0"/>
        <v>7500</v>
      </c>
      <c r="M24" s="287">
        <f t="shared" si="1"/>
        <v>3000</v>
      </c>
      <c r="N24" s="295">
        <f t="shared" si="2"/>
        <v>4500</v>
      </c>
      <c r="O24" s="287" t="str">
        <f t="shared" si="3"/>
        <v/>
      </c>
      <c r="P24" t="str">
        <f t="shared" si="4"/>
        <v>برايفيت</v>
      </c>
      <c r="Q24" s="289" t="s">
        <v>31</v>
      </c>
      <c r="R24" s="289" t="s">
        <v>1433</v>
      </c>
      <c r="S24" s="292">
        <v>18100</v>
      </c>
      <c r="T24" s="292">
        <v>8000</v>
      </c>
    </row>
    <row r="25" spans="1:20" ht="15.5" x14ac:dyDescent="0.35">
      <c r="A25" s="137">
        <v>24</v>
      </c>
      <c r="B25" s="133" t="s">
        <v>1344</v>
      </c>
      <c r="C25" s="133" t="s">
        <v>1761</v>
      </c>
      <c r="D25" s="134" t="s">
        <v>1758</v>
      </c>
      <c r="E25" s="133" t="s">
        <v>689</v>
      </c>
      <c r="F25" s="139" t="s">
        <v>459</v>
      </c>
      <c r="G25" s="137" t="s">
        <v>1345</v>
      </c>
      <c r="H25" s="137" t="s">
        <v>1346</v>
      </c>
      <c r="I25" s="139">
        <v>75</v>
      </c>
      <c r="J25" s="139"/>
      <c r="K25" s="280">
        <v>46152</v>
      </c>
      <c r="L25" s="287">
        <f t="shared" si="0"/>
        <v>7500</v>
      </c>
      <c r="M25" s="287">
        <f t="shared" si="1"/>
        <v>3000</v>
      </c>
      <c r="N25" s="295">
        <f t="shared" si="2"/>
        <v>4500</v>
      </c>
      <c r="O25" s="287" t="str">
        <f t="shared" si="3"/>
        <v/>
      </c>
      <c r="P25" t="str">
        <f t="shared" si="4"/>
        <v>برايفيت</v>
      </c>
    </row>
    <row r="26" spans="1:20" ht="46.5" x14ac:dyDescent="0.35">
      <c r="A26" s="147">
        <v>25</v>
      </c>
      <c r="B26" s="148" t="s">
        <v>1347</v>
      </c>
      <c r="C26" s="148" t="s">
        <v>1763</v>
      </c>
      <c r="D26" s="149" t="s">
        <v>1757</v>
      </c>
      <c r="E26" s="148" t="s">
        <v>1730</v>
      </c>
      <c r="F26" s="150" t="s">
        <v>1271</v>
      </c>
      <c r="G26" s="147" t="s">
        <v>1348</v>
      </c>
      <c r="H26" s="147" t="s">
        <v>1349</v>
      </c>
      <c r="I26" s="150">
        <v>69</v>
      </c>
      <c r="J26" s="150"/>
      <c r="K26" s="279">
        <v>46154</v>
      </c>
      <c r="L26" s="287">
        <v>40000</v>
      </c>
      <c r="M26" s="287">
        <v>8000</v>
      </c>
      <c r="N26" s="295">
        <f t="shared" si="2"/>
        <v>32000</v>
      </c>
      <c r="O26" s="287" t="str">
        <f t="shared" si="3"/>
        <v/>
      </c>
      <c r="P26" t="str">
        <f t="shared" si="4"/>
        <v>برايفيت</v>
      </c>
    </row>
    <row r="27" spans="1:20" ht="15.5" x14ac:dyDescent="0.35">
      <c r="A27" s="137">
        <v>26</v>
      </c>
      <c r="B27" s="133" t="s">
        <v>1350</v>
      </c>
      <c r="C27" s="133" t="s">
        <v>1761</v>
      </c>
      <c r="D27" s="134" t="s">
        <v>1757</v>
      </c>
      <c r="E27" s="133" t="s">
        <v>1730</v>
      </c>
      <c r="F27" s="139" t="s">
        <v>1311</v>
      </c>
      <c r="G27" s="137" t="s">
        <v>1351</v>
      </c>
      <c r="H27" s="137" t="s">
        <v>1352</v>
      </c>
      <c r="I27" s="139">
        <v>68</v>
      </c>
      <c r="J27" s="139"/>
      <c r="K27" s="280">
        <v>46154</v>
      </c>
      <c r="L27" s="287">
        <f t="shared" si="0"/>
        <v>7500</v>
      </c>
      <c r="M27" s="287">
        <f t="shared" si="1"/>
        <v>3000</v>
      </c>
      <c r="N27" s="295">
        <f t="shared" si="2"/>
        <v>4500</v>
      </c>
      <c r="O27" s="287" t="str">
        <f t="shared" si="3"/>
        <v/>
      </c>
      <c r="P27" t="str">
        <f t="shared" si="4"/>
        <v>برايفيت</v>
      </c>
    </row>
    <row r="28" spans="1:20" ht="15.5" x14ac:dyDescent="0.35">
      <c r="A28" s="147">
        <v>27</v>
      </c>
      <c r="B28" s="148" t="s">
        <v>1353</v>
      </c>
      <c r="C28" s="148" t="s">
        <v>1764</v>
      </c>
      <c r="D28" s="149" t="s">
        <v>1758</v>
      </c>
      <c r="E28" s="148" t="s">
        <v>1730</v>
      </c>
      <c r="F28" s="150" t="s">
        <v>1275</v>
      </c>
      <c r="G28" s="147" t="s">
        <v>1354</v>
      </c>
      <c r="H28" s="147" t="s">
        <v>1355</v>
      </c>
      <c r="I28" s="150">
        <v>59</v>
      </c>
      <c r="J28" s="150" t="s">
        <v>688</v>
      </c>
      <c r="K28" s="279">
        <v>46154</v>
      </c>
      <c r="L28" s="287">
        <f t="shared" si="0"/>
        <v>5272</v>
      </c>
      <c r="M28" s="287">
        <f t="shared" si="1"/>
        <v>1500</v>
      </c>
      <c r="N28" s="295" t="str">
        <f t="shared" si="2"/>
        <v/>
      </c>
      <c r="O28" s="287">
        <f t="shared" si="3"/>
        <v>3772</v>
      </c>
      <c r="P28" t="str">
        <f t="shared" si="4"/>
        <v>تامين صحى</v>
      </c>
    </row>
    <row r="29" spans="1:20" ht="15.5" x14ac:dyDescent="0.35">
      <c r="A29" s="137">
        <v>28</v>
      </c>
      <c r="B29" s="133" t="s">
        <v>1356</v>
      </c>
      <c r="C29" s="133" t="s">
        <v>1761</v>
      </c>
      <c r="D29" s="134" t="s">
        <v>1758</v>
      </c>
      <c r="E29" s="133" t="s">
        <v>1730</v>
      </c>
      <c r="F29" s="139" t="s">
        <v>212</v>
      </c>
      <c r="G29" s="137" t="s">
        <v>1357</v>
      </c>
      <c r="H29" s="137" t="s">
        <v>1358</v>
      </c>
      <c r="I29" s="139">
        <v>67</v>
      </c>
      <c r="J29" s="139" t="s">
        <v>688</v>
      </c>
      <c r="K29" s="280">
        <v>46154</v>
      </c>
      <c r="L29" s="287">
        <f t="shared" si="0"/>
        <v>6513</v>
      </c>
      <c r="M29" s="287">
        <f t="shared" si="1"/>
        <v>2500</v>
      </c>
      <c r="N29" s="295" t="str">
        <f t="shared" si="2"/>
        <v/>
      </c>
      <c r="O29" s="287">
        <f t="shared" si="3"/>
        <v>4013</v>
      </c>
      <c r="P29" t="str">
        <f t="shared" si="4"/>
        <v>تامين صحى</v>
      </c>
    </row>
    <row r="30" spans="1:20" ht="31" x14ac:dyDescent="0.35">
      <c r="A30" s="147">
        <v>29</v>
      </c>
      <c r="B30" s="148" t="s">
        <v>1359</v>
      </c>
      <c r="C30" s="148" t="s">
        <v>1765</v>
      </c>
      <c r="D30" s="149" t="s">
        <v>1758</v>
      </c>
      <c r="E30" s="148" t="s">
        <v>1730</v>
      </c>
      <c r="F30" s="150" t="s">
        <v>1360</v>
      </c>
      <c r="G30" s="147" t="s">
        <v>1361</v>
      </c>
      <c r="H30" s="147" t="s">
        <v>1362</v>
      </c>
      <c r="I30" s="150">
        <v>56</v>
      </c>
      <c r="J30" s="150"/>
      <c r="K30" s="279">
        <v>46154</v>
      </c>
      <c r="L30" s="287">
        <v>40000</v>
      </c>
      <c r="M30" s="287">
        <v>8000</v>
      </c>
      <c r="N30" s="295">
        <f t="shared" si="2"/>
        <v>32000</v>
      </c>
      <c r="O30" s="287" t="str">
        <f t="shared" si="3"/>
        <v/>
      </c>
      <c r="P30" t="str">
        <f t="shared" si="4"/>
        <v>برايفيت</v>
      </c>
    </row>
    <row r="31" spans="1:20" ht="15.5" x14ac:dyDescent="0.35">
      <c r="A31" s="137">
        <v>30</v>
      </c>
      <c r="B31" s="133" t="s">
        <v>1363</v>
      </c>
      <c r="C31" s="133" t="s">
        <v>1761</v>
      </c>
      <c r="D31" s="134" t="s">
        <v>1757</v>
      </c>
      <c r="E31" s="133" t="s">
        <v>1730</v>
      </c>
      <c r="F31" s="139" t="s">
        <v>1275</v>
      </c>
      <c r="G31" s="137" t="s">
        <v>1364</v>
      </c>
      <c r="H31" s="137" t="s">
        <v>1365</v>
      </c>
      <c r="I31" s="139">
        <v>60</v>
      </c>
      <c r="J31" s="139" t="s">
        <v>688</v>
      </c>
      <c r="K31" s="280">
        <v>46154</v>
      </c>
      <c r="L31" s="287">
        <f t="shared" si="0"/>
        <v>6513</v>
      </c>
      <c r="M31" s="287">
        <f t="shared" si="1"/>
        <v>2500</v>
      </c>
      <c r="N31" s="295" t="str">
        <f t="shared" si="2"/>
        <v/>
      </c>
      <c r="O31" s="287">
        <f t="shared" si="3"/>
        <v>4013</v>
      </c>
      <c r="P31" t="str">
        <f t="shared" si="4"/>
        <v>تامين صحى</v>
      </c>
    </row>
    <row r="32" spans="1:20" ht="15.5" x14ac:dyDescent="0.35">
      <c r="A32" s="147">
        <v>31</v>
      </c>
      <c r="B32" s="148" t="s">
        <v>1366</v>
      </c>
      <c r="C32" s="148" t="s">
        <v>1761</v>
      </c>
      <c r="D32" s="149" t="s">
        <v>1758</v>
      </c>
      <c r="E32" s="148" t="s">
        <v>1298</v>
      </c>
      <c r="F32" s="150" t="s">
        <v>1288</v>
      </c>
      <c r="G32" s="147" t="s">
        <v>1367</v>
      </c>
      <c r="H32" s="147" t="s">
        <v>1368</v>
      </c>
      <c r="I32" s="150">
        <v>65</v>
      </c>
      <c r="J32" s="150"/>
      <c r="K32" s="279">
        <v>46155</v>
      </c>
      <c r="L32" s="287">
        <f t="shared" si="0"/>
        <v>7500</v>
      </c>
      <c r="M32" s="287">
        <f t="shared" si="1"/>
        <v>3000</v>
      </c>
      <c r="N32" s="295">
        <f t="shared" si="2"/>
        <v>4500</v>
      </c>
      <c r="O32" s="287" t="str">
        <f t="shared" si="3"/>
        <v/>
      </c>
      <c r="P32" t="str">
        <f t="shared" si="4"/>
        <v>برايفيت</v>
      </c>
    </row>
    <row r="33" spans="1:16" ht="15.5" x14ac:dyDescent="0.35">
      <c r="A33" s="137">
        <v>32</v>
      </c>
      <c r="B33" s="133" t="s">
        <v>1369</v>
      </c>
      <c r="C33" s="133" t="s">
        <v>1761</v>
      </c>
      <c r="D33" s="134" t="s">
        <v>1758</v>
      </c>
      <c r="E33" s="133" t="s">
        <v>1298</v>
      </c>
      <c r="F33" s="139" t="s">
        <v>212</v>
      </c>
      <c r="G33" s="137" t="s">
        <v>1370</v>
      </c>
      <c r="H33" s="137" t="s">
        <v>1371</v>
      </c>
      <c r="I33" s="139">
        <v>64</v>
      </c>
      <c r="J33" s="139"/>
      <c r="K33" s="280">
        <v>46155</v>
      </c>
      <c r="L33" s="287">
        <f t="shared" si="0"/>
        <v>7500</v>
      </c>
      <c r="M33" s="287">
        <f t="shared" si="1"/>
        <v>3000</v>
      </c>
      <c r="N33" s="295">
        <f t="shared" si="2"/>
        <v>4500</v>
      </c>
      <c r="O33" s="287" t="str">
        <f t="shared" si="3"/>
        <v/>
      </c>
      <c r="P33" t="str">
        <f t="shared" si="4"/>
        <v>برايفيت</v>
      </c>
    </row>
    <row r="34" spans="1:16" ht="15.5" x14ac:dyDescent="0.35">
      <c r="A34" s="147">
        <v>33</v>
      </c>
      <c r="B34" s="148" t="s">
        <v>1372</v>
      </c>
      <c r="C34" s="148" t="s">
        <v>1761</v>
      </c>
      <c r="D34" s="149" t="s">
        <v>1757</v>
      </c>
      <c r="E34" s="148" t="s">
        <v>1298</v>
      </c>
      <c r="F34" s="150" t="s">
        <v>1288</v>
      </c>
      <c r="G34" s="147" t="s">
        <v>1373</v>
      </c>
      <c r="H34" s="147" t="s">
        <v>1374</v>
      </c>
      <c r="I34" s="150">
        <v>75</v>
      </c>
      <c r="J34" s="150"/>
      <c r="K34" s="279">
        <v>46155</v>
      </c>
      <c r="L34" s="287">
        <f t="shared" si="0"/>
        <v>7500</v>
      </c>
      <c r="M34" s="287">
        <f t="shared" si="1"/>
        <v>3000</v>
      </c>
      <c r="N34" s="295">
        <f t="shared" si="2"/>
        <v>4500</v>
      </c>
      <c r="O34" s="287" t="str">
        <f t="shared" si="3"/>
        <v/>
      </c>
      <c r="P34" t="str">
        <f t="shared" si="4"/>
        <v>برايفيت</v>
      </c>
    </row>
    <row r="35" spans="1:16" ht="15.5" x14ac:dyDescent="0.35">
      <c r="A35" s="137">
        <v>34</v>
      </c>
      <c r="B35" s="133" t="s">
        <v>1375</v>
      </c>
      <c r="C35" s="133" t="s">
        <v>1761</v>
      </c>
      <c r="D35" s="134" t="s">
        <v>1758</v>
      </c>
      <c r="E35" s="133" t="s">
        <v>689</v>
      </c>
      <c r="F35" s="139" t="s">
        <v>212</v>
      </c>
      <c r="G35" s="137" t="s">
        <v>1376</v>
      </c>
      <c r="H35" s="137" t="s">
        <v>1377</v>
      </c>
      <c r="I35" s="139">
        <v>78</v>
      </c>
      <c r="J35" s="139"/>
      <c r="K35" s="280">
        <v>46155</v>
      </c>
      <c r="L35" s="287">
        <f t="shared" si="0"/>
        <v>7500</v>
      </c>
      <c r="M35" s="287">
        <f t="shared" si="1"/>
        <v>3000</v>
      </c>
      <c r="N35" s="295">
        <f t="shared" si="2"/>
        <v>4500</v>
      </c>
      <c r="O35" s="287" t="str">
        <f t="shared" si="3"/>
        <v/>
      </c>
      <c r="P35" t="str">
        <f t="shared" si="4"/>
        <v>برايفيت</v>
      </c>
    </row>
    <row r="36" spans="1:16" ht="15.5" x14ac:dyDescent="0.35">
      <c r="A36" s="147">
        <v>35</v>
      </c>
      <c r="B36" s="148" t="s">
        <v>1378</v>
      </c>
      <c r="C36" s="148" t="s">
        <v>1761</v>
      </c>
      <c r="D36" s="149" t="s">
        <v>1757</v>
      </c>
      <c r="E36" s="148" t="s">
        <v>689</v>
      </c>
      <c r="F36" s="150" t="s">
        <v>212</v>
      </c>
      <c r="G36" s="147" t="s">
        <v>1379</v>
      </c>
      <c r="H36" s="147" t="s">
        <v>1380</v>
      </c>
      <c r="I36" s="150">
        <v>57</v>
      </c>
      <c r="J36" s="150"/>
      <c r="K36" s="279">
        <v>46155</v>
      </c>
      <c r="L36" s="287">
        <f t="shared" si="0"/>
        <v>7500</v>
      </c>
      <c r="M36" s="287">
        <f t="shared" si="1"/>
        <v>3000</v>
      </c>
      <c r="N36" s="295">
        <f t="shared" si="2"/>
        <v>4500</v>
      </c>
      <c r="O36" s="287" t="str">
        <f t="shared" si="3"/>
        <v/>
      </c>
      <c r="P36" t="str">
        <f t="shared" si="4"/>
        <v>برايفيت</v>
      </c>
    </row>
    <row r="37" spans="1:16" ht="15.5" x14ac:dyDescent="0.35">
      <c r="A37" s="137">
        <v>36</v>
      </c>
      <c r="B37" s="133" t="s">
        <v>1381</v>
      </c>
      <c r="C37" s="133" t="s">
        <v>1761</v>
      </c>
      <c r="D37" s="134" t="s">
        <v>1758</v>
      </c>
      <c r="E37" s="133" t="s">
        <v>689</v>
      </c>
      <c r="F37" s="139" t="s">
        <v>212</v>
      </c>
      <c r="G37" s="137" t="s">
        <v>1382</v>
      </c>
      <c r="H37" s="137" t="s">
        <v>1383</v>
      </c>
      <c r="I37" s="139">
        <v>60</v>
      </c>
      <c r="J37" s="139"/>
      <c r="K37" s="280">
        <v>46155</v>
      </c>
      <c r="L37" s="287">
        <f t="shared" si="0"/>
        <v>7500</v>
      </c>
      <c r="M37" s="287">
        <f t="shared" si="1"/>
        <v>3000</v>
      </c>
      <c r="N37" s="295">
        <f t="shared" si="2"/>
        <v>4500</v>
      </c>
      <c r="O37" s="287" t="str">
        <f t="shared" si="3"/>
        <v/>
      </c>
      <c r="P37" t="str">
        <f t="shared" si="4"/>
        <v>برايفيت</v>
      </c>
    </row>
    <row r="38" spans="1:16" ht="31" x14ac:dyDescent="0.35">
      <c r="A38" s="147">
        <v>37</v>
      </c>
      <c r="B38" s="148" t="s">
        <v>1384</v>
      </c>
      <c r="C38" s="148" t="s">
        <v>1761</v>
      </c>
      <c r="D38" s="149" t="s">
        <v>1757</v>
      </c>
      <c r="E38" s="148" t="s">
        <v>689</v>
      </c>
      <c r="F38" s="150" t="s">
        <v>1385</v>
      </c>
      <c r="G38" s="147" t="s">
        <v>1386</v>
      </c>
      <c r="H38" s="147" t="s">
        <v>1387</v>
      </c>
      <c r="I38" s="150">
        <v>75</v>
      </c>
      <c r="J38" s="150" t="s">
        <v>1820</v>
      </c>
      <c r="K38" s="279">
        <v>46159</v>
      </c>
      <c r="L38" s="287">
        <v>5000</v>
      </c>
      <c r="M38" s="287">
        <v>2500</v>
      </c>
      <c r="N38" s="295" t="str">
        <f t="shared" si="2"/>
        <v/>
      </c>
      <c r="O38" s="287">
        <f t="shared" si="3"/>
        <v>2500</v>
      </c>
      <c r="P38" t="str">
        <f t="shared" si="4"/>
        <v>قافلة ضى الخير</v>
      </c>
    </row>
    <row r="39" spans="1:16" ht="15.5" x14ac:dyDescent="0.35">
      <c r="A39" s="137">
        <v>38</v>
      </c>
      <c r="B39" s="133" t="s">
        <v>1388</v>
      </c>
      <c r="C39" s="133" t="s">
        <v>1761</v>
      </c>
      <c r="D39" s="134" t="s">
        <v>1757</v>
      </c>
      <c r="E39" s="133" t="s">
        <v>689</v>
      </c>
      <c r="F39" s="139" t="s">
        <v>1389</v>
      </c>
      <c r="G39" s="137" t="s">
        <v>1390</v>
      </c>
      <c r="H39" s="137" t="s">
        <v>1391</v>
      </c>
      <c r="I39" s="139">
        <v>62</v>
      </c>
      <c r="J39" s="150" t="s">
        <v>1820</v>
      </c>
      <c r="K39" s="280">
        <v>46159</v>
      </c>
      <c r="L39" s="287">
        <v>5000</v>
      </c>
      <c r="M39" s="287">
        <v>2500</v>
      </c>
      <c r="N39" s="295" t="str">
        <f t="shared" si="2"/>
        <v/>
      </c>
      <c r="O39" s="287">
        <f t="shared" si="3"/>
        <v>2500</v>
      </c>
      <c r="P39" t="str">
        <f t="shared" si="4"/>
        <v>قافلة ضى الخير</v>
      </c>
    </row>
    <row r="40" spans="1:16" ht="15.5" x14ac:dyDescent="0.35">
      <c r="A40" s="147">
        <v>39</v>
      </c>
      <c r="B40" s="148" t="s">
        <v>1392</v>
      </c>
      <c r="C40" s="148" t="s">
        <v>1761</v>
      </c>
      <c r="D40" s="149" t="s">
        <v>1758</v>
      </c>
      <c r="E40" s="148" t="s">
        <v>689</v>
      </c>
      <c r="F40" s="150" t="s">
        <v>1389</v>
      </c>
      <c r="G40" s="147" t="s">
        <v>1393</v>
      </c>
      <c r="H40" s="147" t="s">
        <v>1394</v>
      </c>
      <c r="I40" s="150">
        <v>80</v>
      </c>
      <c r="J40" s="150" t="s">
        <v>1820</v>
      </c>
      <c r="K40" s="279">
        <v>46159</v>
      </c>
      <c r="L40" s="287">
        <v>5000</v>
      </c>
      <c r="M40" s="287">
        <v>2500</v>
      </c>
      <c r="N40" s="295" t="str">
        <f t="shared" si="2"/>
        <v/>
      </c>
      <c r="O40" s="287">
        <f t="shared" si="3"/>
        <v>2500</v>
      </c>
      <c r="P40" t="str">
        <f t="shared" si="4"/>
        <v>قافلة ضى الخير</v>
      </c>
    </row>
    <row r="41" spans="1:16" ht="15.5" x14ac:dyDescent="0.35">
      <c r="A41" s="137">
        <v>40</v>
      </c>
      <c r="B41" s="133" t="s">
        <v>1395</v>
      </c>
      <c r="C41" s="133" t="s">
        <v>1761</v>
      </c>
      <c r="D41" s="134" t="s">
        <v>1757</v>
      </c>
      <c r="E41" s="133" t="s">
        <v>689</v>
      </c>
      <c r="F41" s="139" t="s">
        <v>1385</v>
      </c>
      <c r="G41" s="137" t="s">
        <v>1396</v>
      </c>
      <c r="H41" s="137" t="s">
        <v>1397</v>
      </c>
      <c r="I41" s="139">
        <v>74</v>
      </c>
      <c r="J41" s="150" t="s">
        <v>1820</v>
      </c>
      <c r="K41" s="280">
        <v>46159</v>
      </c>
      <c r="L41" s="287">
        <v>5000</v>
      </c>
      <c r="M41" s="287">
        <v>2500</v>
      </c>
      <c r="N41" s="295" t="str">
        <f t="shared" si="2"/>
        <v/>
      </c>
      <c r="O41" s="287">
        <f t="shared" si="3"/>
        <v>2500</v>
      </c>
      <c r="P41" t="str">
        <f t="shared" si="4"/>
        <v>قافلة ضى الخير</v>
      </c>
    </row>
    <row r="42" spans="1:16" ht="15.5" x14ac:dyDescent="0.35">
      <c r="A42" s="147">
        <v>41</v>
      </c>
      <c r="B42" s="148" t="s">
        <v>1398</v>
      </c>
      <c r="C42" s="148" t="s">
        <v>1761</v>
      </c>
      <c r="D42" s="149" t="s">
        <v>1757</v>
      </c>
      <c r="E42" s="148" t="s">
        <v>689</v>
      </c>
      <c r="F42" s="150" t="s">
        <v>1389</v>
      </c>
      <c r="G42" s="147" t="s">
        <v>1399</v>
      </c>
      <c r="H42" s="147" t="s">
        <v>1400</v>
      </c>
      <c r="I42" s="150">
        <v>70</v>
      </c>
      <c r="J42" s="150" t="s">
        <v>1820</v>
      </c>
      <c r="K42" s="279">
        <v>46159</v>
      </c>
      <c r="L42" s="287">
        <v>5000</v>
      </c>
      <c r="M42" s="287">
        <v>2500</v>
      </c>
      <c r="N42" s="295" t="str">
        <f t="shared" si="2"/>
        <v/>
      </c>
      <c r="O42" s="287">
        <f t="shared" si="3"/>
        <v>2500</v>
      </c>
      <c r="P42" t="str">
        <f t="shared" si="4"/>
        <v>قافلة ضى الخير</v>
      </c>
    </row>
    <row r="43" spans="1:16" ht="15.5" x14ac:dyDescent="0.35">
      <c r="A43" s="137">
        <v>42</v>
      </c>
      <c r="B43" s="133" t="s">
        <v>1401</v>
      </c>
      <c r="C43" s="133" t="s">
        <v>1761</v>
      </c>
      <c r="D43" s="134" t="s">
        <v>1758</v>
      </c>
      <c r="E43" s="133" t="s">
        <v>689</v>
      </c>
      <c r="F43" s="139" t="s">
        <v>1385</v>
      </c>
      <c r="G43" s="137" t="s">
        <v>1402</v>
      </c>
      <c r="H43" s="137" t="s">
        <v>1403</v>
      </c>
      <c r="I43" s="139">
        <v>62</v>
      </c>
      <c r="J43" s="150" t="s">
        <v>1820</v>
      </c>
      <c r="K43" s="280">
        <v>46159</v>
      </c>
      <c r="L43" s="287">
        <v>5000</v>
      </c>
      <c r="M43" s="287">
        <v>2500</v>
      </c>
      <c r="N43" s="295" t="str">
        <f t="shared" si="2"/>
        <v/>
      </c>
      <c r="O43" s="287">
        <f t="shared" si="3"/>
        <v>2500</v>
      </c>
      <c r="P43" t="str">
        <f t="shared" si="4"/>
        <v>قافلة ضى الخير</v>
      </c>
    </row>
    <row r="44" spans="1:16" ht="15.5" x14ac:dyDescent="0.35">
      <c r="A44" s="147">
        <v>43</v>
      </c>
      <c r="B44" s="148" t="s">
        <v>1404</v>
      </c>
      <c r="C44" s="148" t="s">
        <v>1761</v>
      </c>
      <c r="D44" s="149" t="s">
        <v>1758</v>
      </c>
      <c r="E44" s="148" t="s">
        <v>1730</v>
      </c>
      <c r="F44" s="150" t="s">
        <v>1275</v>
      </c>
      <c r="G44" s="147" t="s">
        <v>1405</v>
      </c>
      <c r="H44" s="147" t="s">
        <v>1406</v>
      </c>
      <c r="I44" s="150">
        <v>69</v>
      </c>
      <c r="J44" s="150" t="s">
        <v>688</v>
      </c>
      <c r="K44" s="279">
        <v>46161</v>
      </c>
      <c r="L44" s="287">
        <f t="shared" si="0"/>
        <v>6513</v>
      </c>
      <c r="M44" s="287">
        <f t="shared" si="1"/>
        <v>2500</v>
      </c>
      <c r="N44" s="295" t="str">
        <f t="shared" si="2"/>
        <v/>
      </c>
      <c r="O44" s="287">
        <f t="shared" si="3"/>
        <v>4013</v>
      </c>
      <c r="P44" t="str">
        <f t="shared" si="4"/>
        <v>تامين صحى</v>
      </c>
    </row>
    <row r="45" spans="1:16" ht="15.5" x14ac:dyDescent="0.35">
      <c r="A45" s="137">
        <v>44</v>
      </c>
      <c r="B45" s="133" t="s">
        <v>1407</v>
      </c>
      <c r="C45" s="133" t="s">
        <v>1761</v>
      </c>
      <c r="D45" s="134" t="s">
        <v>1757</v>
      </c>
      <c r="E45" s="133" t="s">
        <v>1730</v>
      </c>
      <c r="F45" s="139" t="s">
        <v>1275</v>
      </c>
      <c r="G45" s="137" t="s">
        <v>1408</v>
      </c>
      <c r="H45" s="137">
        <v>25810312400096</v>
      </c>
      <c r="I45" s="139">
        <v>67</v>
      </c>
      <c r="J45" s="139" t="s">
        <v>688</v>
      </c>
      <c r="K45" s="280">
        <v>46161</v>
      </c>
      <c r="L45" s="287">
        <f t="shared" si="0"/>
        <v>6513</v>
      </c>
      <c r="M45" s="287">
        <f t="shared" si="1"/>
        <v>2500</v>
      </c>
      <c r="N45" s="295" t="str">
        <f t="shared" si="2"/>
        <v/>
      </c>
      <c r="O45" s="287">
        <f t="shared" si="3"/>
        <v>4013</v>
      </c>
      <c r="P45" t="str">
        <f t="shared" si="4"/>
        <v>تامين صحى</v>
      </c>
    </row>
    <row r="46" spans="1:16" ht="15.5" x14ac:dyDescent="0.35">
      <c r="A46" s="147">
        <v>45</v>
      </c>
      <c r="B46" s="148" t="s">
        <v>1409</v>
      </c>
      <c r="C46" s="148" t="s">
        <v>1761</v>
      </c>
      <c r="D46" s="149" t="s">
        <v>1757</v>
      </c>
      <c r="E46" s="148" t="s">
        <v>1730</v>
      </c>
      <c r="F46" s="150" t="s">
        <v>1288</v>
      </c>
      <c r="G46" s="147" t="s">
        <v>1410</v>
      </c>
      <c r="H46" s="147">
        <v>26302132200879</v>
      </c>
      <c r="I46" s="150">
        <v>63</v>
      </c>
      <c r="J46" s="150"/>
      <c r="K46" s="279">
        <v>46161</v>
      </c>
      <c r="L46" s="287">
        <f t="shared" si="0"/>
        <v>7500</v>
      </c>
      <c r="M46" s="287">
        <f t="shared" si="1"/>
        <v>3000</v>
      </c>
      <c r="N46" s="295">
        <f t="shared" si="2"/>
        <v>4500</v>
      </c>
      <c r="O46" s="287" t="str">
        <f t="shared" si="3"/>
        <v/>
      </c>
      <c r="P46" t="str">
        <f t="shared" si="4"/>
        <v>برايفيت</v>
      </c>
    </row>
    <row r="47" spans="1:16" ht="15.5" x14ac:dyDescent="0.35">
      <c r="A47" s="137">
        <v>46</v>
      </c>
      <c r="B47" s="133" t="s">
        <v>1411</v>
      </c>
      <c r="C47" s="133" t="s">
        <v>1761</v>
      </c>
      <c r="D47" s="134" t="s">
        <v>1758</v>
      </c>
      <c r="E47" s="133" t="s">
        <v>1730</v>
      </c>
      <c r="F47" s="139" t="s">
        <v>1275</v>
      </c>
      <c r="G47" s="137" t="s">
        <v>1412</v>
      </c>
      <c r="H47" s="137">
        <v>26310012400991</v>
      </c>
      <c r="I47" s="139">
        <v>63</v>
      </c>
      <c r="J47" s="139" t="s">
        <v>688</v>
      </c>
      <c r="K47" s="280">
        <v>46161</v>
      </c>
      <c r="L47" s="287">
        <f t="shared" si="0"/>
        <v>6513</v>
      </c>
      <c r="M47" s="287">
        <f t="shared" si="1"/>
        <v>2500</v>
      </c>
      <c r="N47" s="295" t="str">
        <f t="shared" si="2"/>
        <v/>
      </c>
      <c r="O47" s="287">
        <f t="shared" si="3"/>
        <v>4013</v>
      </c>
      <c r="P47" t="str">
        <f t="shared" si="4"/>
        <v>تامين صحى</v>
      </c>
    </row>
    <row r="48" spans="1:16" ht="31" x14ac:dyDescent="0.35">
      <c r="A48" s="147">
        <v>47</v>
      </c>
      <c r="B48" s="148" t="s">
        <v>1413</v>
      </c>
      <c r="C48" s="148" t="s">
        <v>1761</v>
      </c>
      <c r="D48" s="149" t="s">
        <v>1757</v>
      </c>
      <c r="E48" s="148" t="s">
        <v>1298</v>
      </c>
      <c r="F48" s="150" t="s">
        <v>212</v>
      </c>
      <c r="G48" s="147" t="s">
        <v>1414</v>
      </c>
      <c r="H48" s="147">
        <v>24209182400758</v>
      </c>
      <c r="I48" s="150">
        <v>84</v>
      </c>
      <c r="J48" s="150" t="s">
        <v>688</v>
      </c>
      <c r="K48" s="279">
        <v>46162</v>
      </c>
      <c r="L48" s="287">
        <f t="shared" si="0"/>
        <v>6513</v>
      </c>
      <c r="M48" s="287">
        <f t="shared" si="1"/>
        <v>2500</v>
      </c>
      <c r="N48" s="295" t="str">
        <f t="shared" si="2"/>
        <v/>
      </c>
      <c r="O48" s="287">
        <f t="shared" si="3"/>
        <v>4013</v>
      </c>
      <c r="P48" t="str">
        <f t="shared" si="4"/>
        <v>تامين صحى</v>
      </c>
    </row>
    <row r="49" spans="1:16" ht="15.5" x14ac:dyDescent="0.35">
      <c r="A49" s="137">
        <v>48</v>
      </c>
      <c r="B49" s="133" t="s">
        <v>1415</v>
      </c>
      <c r="C49" s="133" t="s">
        <v>1761</v>
      </c>
      <c r="D49" s="134" t="s">
        <v>1757</v>
      </c>
      <c r="E49" s="133" t="s">
        <v>1298</v>
      </c>
      <c r="F49" s="139" t="s">
        <v>212</v>
      </c>
      <c r="G49" s="137" t="s">
        <v>1416</v>
      </c>
      <c r="H49" s="137">
        <v>25810172401208</v>
      </c>
      <c r="I49" s="139">
        <v>67</v>
      </c>
      <c r="J49" s="139" t="s">
        <v>688</v>
      </c>
      <c r="K49" s="280">
        <v>46162</v>
      </c>
      <c r="L49" s="287">
        <f t="shared" si="0"/>
        <v>6513</v>
      </c>
      <c r="M49" s="287">
        <f t="shared" si="1"/>
        <v>2500</v>
      </c>
      <c r="N49" s="295" t="str">
        <f t="shared" si="2"/>
        <v/>
      </c>
      <c r="O49" s="287">
        <f t="shared" si="3"/>
        <v>4013</v>
      </c>
      <c r="P49" t="str">
        <f t="shared" si="4"/>
        <v>تامين صحى</v>
      </c>
    </row>
    <row r="50" spans="1:16" ht="15.5" x14ac:dyDescent="0.35">
      <c r="A50" s="147">
        <v>49</v>
      </c>
      <c r="B50" s="148" t="s">
        <v>1417</v>
      </c>
      <c r="C50" s="148" t="s">
        <v>1761</v>
      </c>
      <c r="D50" s="149" t="s">
        <v>1757</v>
      </c>
      <c r="E50" s="148" t="s">
        <v>1298</v>
      </c>
      <c r="F50" s="150" t="s">
        <v>212</v>
      </c>
      <c r="G50" s="147" t="s">
        <v>1418</v>
      </c>
      <c r="H50" s="147">
        <v>26903042402026</v>
      </c>
      <c r="I50" s="150">
        <v>57</v>
      </c>
      <c r="J50" s="150"/>
      <c r="K50" s="279">
        <v>46162</v>
      </c>
      <c r="L50" s="287">
        <f t="shared" si="0"/>
        <v>7500</v>
      </c>
      <c r="M50" s="287">
        <f t="shared" si="1"/>
        <v>3000</v>
      </c>
      <c r="N50" s="295">
        <f t="shared" si="2"/>
        <v>4500</v>
      </c>
      <c r="O50" s="287" t="str">
        <f t="shared" si="3"/>
        <v/>
      </c>
      <c r="P50" t="str">
        <f t="shared" si="4"/>
        <v>برايفيت</v>
      </c>
    </row>
    <row r="51" spans="1:16" ht="15.5" x14ac:dyDescent="0.35">
      <c r="A51" s="137">
        <v>50</v>
      </c>
      <c r="B51" s="133" t="s">
        <v>1419</v>
      </c>
      <c r="C51" s="133" t="s">
        <v>1761</v>
      </c>
      <c r="D51" s="134" t="s">
        <v>1758</v>
      </c>
      <c r="E51" s="133" t="s">
        <v>689</v>
      </c>
      <c r="F51" s="139" t="s">
        <v>212</v>
      </c>
      <c r="G51" s="137" t="s">
        <v>1420</v>
      </c>
      <c r="H51" s="137">
        <v>25401212401357</v>
      </c>
      <c r="I51" s="139">
        <v>73</v>
      </c>
      <c r="J51" s="139"/>
      <c r="K51" s="280">
        <v>46162</v>
      </c>
      <c r="L51" s="287">
        <f t="shared" si="0"/>
        <v>7500</v>
      </c>
      <c r="M51" s="287">
        <f t="shared" si="1"/>
        <v>3000</v>
      </c>
      <c r="N51" s="295">
        <f t="shared" si="2"/>
        <v>4500</v>
      </c>
      <c r="O51" s="287" t="str">
        <f t="shared" si="3"/>
        <v/>
      </c>
      <c r="P51" t="str">
        <f t="shared" si="4"/>
        <v>برايفيت</v>
      </c>
    </row>
    <row r="52" spans="1:16" ht="15.5" x14ac:dyDescent="0.35">
      <c r="A52" s="147">
        <v>51</v>
      </c>
      <c r="B52" s="148" t="s">
        <v>1421</v>
      </c>
      <c r="C52" s="148" t="s">
        <v>1761</v>
      </c>
      <c r="D52" s="149" t="s">
        <v>1757</v>
      </c>
      <c r="E52" s="148" t="s">
        <v>689</v>
      </c>
      <c r="F52" s="150" t="s">
        <v>459</v>
      </c>
      <c r="G52" s="147" t="s">
        <v>1422</v>
      </c>
      <c r="H52" s="147">
        <v>25910042401596</v>
      </c>
      <c r="I52" s="150">
        <v>66</v>
      </c>
      <c r="J52" s="150" t="s">
        <v>688</v>
      </c>
      <c r="K52" s="279">
        <v>46162</v>
      </c>
      <c r="L52" s="287">
        <f t="shared" si="0"/>
        <v>6513</v>
      </c>
      <c r="M52" s="287">
        <f t="shared" si="1"/>
        <v>2500</v>
      </c>
      <c r="N52" s="295" t="str">
        <f t="shared" si="2"/>
        <v/>
      </c>
      <c r="O52" s="287">
        <f t="shared" si="3"/>
        <v>4013</v>
      </c>
      <c r="P52" t="str">
        <f t="shared" si="4"/>
        <v>تامين صحى</v>
      </c>
    </row>
    <row r="53" spans="1:16" ht="15.5" x14ac:dyDescent="0.35">
      <c r="A53" s="137">
        <v>52</v>
      </c>
      <c r="B53" s="133" t="s">
        <v>1423</v>
      </c>
      <c r="C53" s="133" t="s">
        <v>1761</v>
      </c>
      <c r="D53" s="134" t="s">
        <v>1757</v>
      </c>
      <c r="E53" s="133" t="s">
        <v>689</v>
      </c>
      <c r="F53" s="139" t="s">
        <v>459</v>
      </c>
      <c r="G53" s="137" t="s">
        <v>1424</v>
      </c>
      <c r="H53" s="137">
        <v>26010032300824</v>
      </c>
      <c r="I53" s="139">
        <v>65</v>
      </c>
      <c r="J53" s="139" t="s">
        <v>688</v>
      </c>
      <c r="K53" s="280">
        <v>46162</v>
      </c>
      <c r="L53" s="287">
        <f t="shared" si="0"/>
        <v>6513</v>
      </c>
      <c r="M53" s="287">
        <f t="shared" si="1"/>
        <v>2500</v>
      </c>
      <c r="N53" s="295" t="str">
        <f t="shared" si="2"/>
        <v/>
      </c>
      <c r="O53" s="287">
        <f t="shared" si="3"/>
        <v>4013</v>
      </c>
      <c r="P53" t="str">
        <f t="shared" si="4"/>
        <v>تامين صحى</v>
      </c>
    </row>
    <row r="54" spans="1:16" ht="15.5" x14ac:dyDescent="0.35">
      <c r="A54" s="147">
        <v>53</v>
      </c>
      <c r="B54" s="148" t="s">
        <v>1425</v>
      </c>
      <c r="C54" s="148" t="s">
        <v>1761</v>
      </c>
      <c r="D54" s="149" t="s">
        <v>1757</v>
      </c>
      <c r="E54" s="148" t="s">
        <v>689</v>
      </c>
      <c r="F54" s="150" t="s">
        <v>212</v>
      </c>
      <c r="G54" s="147" t="s">
        <v>1426</v>
      </c>
      <c r="H54" s="147">
        <v>27909012406096</v>
      </c>
      <c r="I54" s="150">
        <v>47</v>
      </c>
      <c r="J54" s="150"/>
      <c r="K54" s="279">
        <v>46166</v>
      </c>
      <c r="L54" s="287">
        <f t="shared" si="0"/>
        <v>7500</v>
      </c>
      <c r="M54" s="287">
        <f t="shared" si="1"/>
        <v>3000</v>
      </c>
      <c r="N54" s="295">
        <f t="shared" si="2"/>
        <v>4500</v>
      </c>
      <c r="O54" s="287" t="str">
        <f t="shared" si="3"/>
        <v/>
      </c>
      <c r="P54" t="str">
        <f t="shared" si="4"/>
        <v>برايفيت</v>
      </c>
    </row>
    <row r="55" spans="1:16" ht="15.5" x14ac:dyDescent="0.35">
      <c r="A55" s="137">
        <v>54</v>
      </c>
      <c r="B55" s="133" t="s">
        <v>1427</v>
      </c>
      <c r="C55" s="133" t="s">
        <v>1761</v>
      </c>
      <c r="D55" s="134" t="s">
        <v>1758</v>
      </c>
      <c r="E55" s="133" t="s">
        <v>689</v>
      </c>
      <c r="F55" s="139" t="s">
        <v>212</v>
      </c>
      <c r="G55" s="137" t="s">
        <v>1428</v>
      </c>
      <c r="H55" s="137">
        <v>28612202405801</v>
      </c>
      <c r="I55" s="139">
        <v>39</v>
      </c>
      <c r="J55" s="139"/>
      <c r="K55" s="280">
        <v>46166</v>
      </c>
      <c r="L55" s="287">
        <f t="shared" si="0"/>
        <v>7500</v>
      </c>
      <c r="M55" s="287">
        <f t="shared" si="1"/>
        <v>3000</v>
      </c>
      <c r="N55" s="295">
        <f t="shared" si="2"/>
        <v>4500</v>
      </c>
      <c r="O55" s="287" t="str">
        <f t="shared" si="3"/>
        <v/>
      </c>
      <c r="P55" t="str">
        <f t="shared" si="4"/>
        <v>برايفيت</v>
      </c>
    </row>
    <row r="56" spans="1:16" ht="15.5" x14ac:dyDescent="0.35">
      <c r="A56" s="147">
        <v>55</v>
      </c>
      <c r="B56" s="148" t="s">
        <v>1429</v>
      </c>
      <c r="C56" s="148" t="s">
        <v>1761</v>
      </c>
      <c r="D56" s="149" t="s">
        <v>1758</v>
      </c>
      <c r="E56" s="148" t="s">
        <v>689</v>
      </c>
      <c r="F56" s="150" t="s">
        <v>212</v>
      </c>
      <c r="G56" s="147" t="s">
        <v>1430</v>
      </c>
      <c r="H56" s="147">
        <v>25707132401561</v>
      </c>
      <c r="I56" s="150">
        <v>69</v>
      </c>
      <c r="J56" s="150" t="s">
        <v>688</v>
      </c>
      <c r="K56" s="279">
        <v>46173</v>
      </c>
      <c r="L56" s="287">
        <f t="shared" si="0"/>
        <v>6513</v>
      </c>
      <c r="M56" s="287">
        <f t="shared" si="1"/>
        <v>2500</v>
      </c>
      <c r="N56" s="295" t="str">
        <f t="shared" si="2"/>
        <v/>
      </c>
      <c r="O56" s="287">
        <f t="shared" si="3"/>
        <v>4013</v>
      </c>
      <c r="P56" t="str">
        <f t="shared" si="4"/>
        <v>تامين صحى</v>
      </c>
    </row>
    <row r="57" spans="1:16" ht="15.5" x14ac:dyDescent="0.35">
      <c r="A57" s="137">
        <v>56</v>
      </c>
      <c r="B57" s="133" t="s">
        <v>1431</v>
      </c>
      <c r="C57" s="133" t="s">
        <v>1761</v>
      </c>
      <c r="D57" s="134" t="s">
        <v>1757</v>
      </c>
      <c r="E57" s="133" t="s">
        <v>689</v>
      </c>
      <c r="F57" s="139" t="s">
        <v>212</v>
      </c>
      <c r="G57" s="137" t="s">
        <v>1432</v>
      </c>
      <c r="H57" s="137">
        <v>26501172401071</v>
      </c>
      <c r="I57" s="139">
        <v>61</v>
      </c>
      <c r="J57" s="139" t="s">
        <v>1433</v>
      </c>
      <c r="K57" s="280">
        <v>46173</v>
      </c>
      <c r="L57" s="287">
        <f t="shared" si="0"/>
        <v>6513</v>
      </c>
      <c r="M57" s="287">
        <f t="shared" si="1"/>
        <v>2500</v>
      </c>
      <c r="N57" s="295" t="str">
        <f t="shared" si="2"/>
        <v/>
      </c>
      <c r="O57" s="287">
        <f t="shared" si="3"/>
        <v>4013</v>
      </c>
      <c r="P57" t="str">
        <f t="shared" si="4"/>
        <v>نفقة دوله</v>
      </c>
    </row>
    <row r="58" spans="1:16" ht="15.5" x14ac:dyDescent="0.35">
      <c r="A58" s="147">
        <v>57</v>
      </c>
      <c r="B58" s="148" t="s">
        <v>1434</v>
      </c>
      <c r="C58" s="148" t="s">
        <v>1761</v>
      </c>
      <c r="D58" s="149" t="s">
        <v>1757</v>
      </c>
      <c r="E58" s="148" t="s">
        <v>689</v>
      </c>
      <c r="F58" s="150" t="s">
        <v>1271</v>
      </c>
      <c r="G58" s="147" t="s">
        <v>1435</v>
      </c>
      <c r="H58" s="147">
        <v>26608232401563</v>
      </c>
      <c r="I58" s="150">
        <v>59</v>
      </c>
      <c r="J58" s="150" t="s">
        <v>1433</v>
      </c>
      <c r="K58" s="279">
        <v>46173</v>
      </c>
      <c r="L58" s="287">
        <f t="shared" si="0"/>
        <v>6513</v>
      </c>
      <c r="M58" s="287">
        <f t="shared" si="1"/>
        <v>2500</v>
      </c>
      <c r="N58" s="295" t="str">
        <f t="shared" si="2"/>
        <v/>
      </c>
      <c r="O58" s="287">
        <f t="shared" si="3"/>
        <v>4013</v>
      </c>
      <c r="P58" t="str">
        <f t="shared" si="4"/>
        <v>نفقة دوله</v>
      </c>
    </row>
    <row r="59" spans="1:16" ht="15.5" x14ac:dyDescent="0.35">
      <c r="A59" s="137">
        <v>58</v>
      </c>
      <c r="B59" s="133" t="s">
        <v>1436</v>
      </c>
      <c r="C59" s="133" t="s">
        <v>1761</v>
      </c>
      <c r="D59" s="134" t="s">
        <v>1757</v>
      </c>
      <c r="E59" s="133" t="s">
        <v>689</v>
      </c>
      <c r="F59" s="139" t="s">
        <v>1271</v>
      </c>
      <c r="G59" s="137" t="s">
        <v>1437</v>
      </c>
      <c r="H59" s="137">
        <v>27012102402995</v>
      </c>
      <c r="I59" s="139">
        <v>55</v>
      </c>
      <c r="J59" s="139" t="s">
        <v>688</v>
      </c>
      <c r="K59" s="280">
        <v>46173</v>
      </c>
      <c r="L59" s="287">
        <f t="shared" si="0"/>
        <v>6513</v>
      </c>
      <c r="M59" s="287">
        <f t="shared" si="1"/>
        <v>2500</v>
      </c>
      <c r="N59" s="295" t="str">
        <f t="shared" si="2"/>
        <v/>
      </c>
      <c r="O59" s="287">
        <f t="shared" si="3"/>
        <v>4013</v>
      </c>
      <c r="P59" t="str">
        <f t="shared" si="4"/>
        <v>تامين صحى</v>
      </c>
    </row>
    <row r="60" spans="1:16" ht="15.5" x14ac:dyDescent="0.35">
      <c r="A60" s="147">
        <v>59</v>
      </c>
      <c r="B60" s="148" t="s">
        <v>1438</v>
      </c>
      <c r="C60" s="148" t="s">
        <v>1761</v>
      </c>
      <c r="D60" s="149" t="s">
        <v>1758</v>
      </c>
      <c r="E60" s="148" t="s">
        <v>689</v>
      </c>
      <c r="F60" s="150" t="s">
        <v>212</v>
      </c>
      <c r="G60" s="147" t="s">
        <v>1439</v>
      </c>
      <c r="H60" s="147">
        <v>25909010102882</v>
      </c>
      <c r="I60" s="150">
        <v>68</v>
      </c>
      <c r="J60" s="150"/>
      <c r="K60" s="279">
        <v>46173</v>
      </c>
      <c r="L60" s="287">
        <f t="shared" si="0"/>
        <v>7500</v>
      </c>
      <c r="M60" s="287">
        <f t="shared" si="1"/>
        <v>3000</v>
      </c>
      <c r="N60" s="295">
        <f t="shared" si="2"/>
        <v>4500</v>
      </c>
      <c r="O60" s="287" t="str">
        <f t="shared" si="3"/>
        <v/>
      </c>
      <c r="P60" t="str">
        <f t="shared" si="4"/>
        <v>برايفيت</v>
      </c>
    </row>
    <row r="61" spans="1:16" ht="15.5" x14ac:dyDescent="0.35">
      <c r="A61" s="137">
        <v>60</v>
      </c>
      <c r="B61" s="133" t="s">
        <v>1440</v>
      </c>
      <c r="C61" s="133" t="s">
        <v>1766</v>
      </c>
      <c r="D61" s="134" t="s">
        <v>1758</v>
      </c>
      <c r="E61" s="133" t="s">
        <v>1730</v>
      </c>
      <c r="F61" s="139" t="s">
        <v>1278</v>
      </c>
      <c r="G61" s="137" t="s">
        <v>1441</v>
      </c>
      <c r="H61" s="137">
        <v>25403022400314</v>
      </c>
      <c r="I61" s="139">
        <v>72</v>
      </c>
      <c r="J61" s="139" t="s">
        <v>688</v>
      </c>
      <c r="K61" s="280">
        <v>46175</v>
      </c>
      <c r="L61" s="287">
        <f t="shared" si="0"/>
        <v>18100</v>
      </c>
      <c r="M61" s="287">
        <f t="shared" si="1"/>
        <v>8000</v>
      </c>
      <c r="N61" s="295" t="str">
        <f t="shared" si="2"/>
        <v/>
      </c>
      <c r="O61" s="287">
        <f t="shared" si="3"/>
        <v>10100</v>
      </c>
      <c r="P61" t="str">
        <f t="shared" si="4"/>
        <v>تامين صحى</v>
      </c>
    </row>
    <row r="62" spans="1:16" ht="15.5" x14ac:dyDescent="0.35">
      <c r="A62" s="147">
        <v>61</v>
      </c>
      <c r="B62" s="148" t="s">
        <v>1442</v>
      </c>
      <c r="C62" s="148" t="s">
        <v>1766</v>
      </c>
      <c r="D62" s="149" t="s">
        <v>1757</v>
      </c>
      <c r="E62" s="148" t="s">
        <v>1730</v>
      </c>
      <c r="F62" s="150" t="s">
        <v>1443</v>
      </c>
      <c r="G62" s="147" t="s">
        <v>1444</v>
      </c>
      <c r="H62" s="147">
        <v>24908242400031</v>
      </c>
      <c r="I62" s="150">
        <v>76</v>
      </c>
      <c r="J62" s="150" t="s">
        <v>688</v>
      </c>
      <c r="K62" s="279">
        <v>46175</v>
      </c>
      <c r="L62" s="287">
        <f t="shared" si="0"/>
        <v>18100</v>
      </c>
      <c r="M62" s="287">
        <f t="shared" si="1"/>
        <v>8000</v>
      </c>
      <c r="N62" s="295" t="str">
        <f t="shared" si="2"/>
        <v/>
      </c>
      <c r="O62" s="287">
        <f t="shared" si="3"/>
        <v>10100</v>
      </c>
      <c r="P62" t="str">
        <f t="shared" si="4"/>
        <v>تامين صحى</v>
      </c>
    </row>
    <row r="63" spans="1:16" ht="15.5" x14ac:dyDescent="0.35">
      <c r="A63" s="137">
        <v>62</v>
      </c>
      <c r="B63" s="133" t="s">
        <v>1445</v>
      </c>
      <c r="C63" s="133" t="s">
        <v>1766</v>
      </c>
      <c r="D63" s="134" t="s">
        <v>1757</v>
      </c>
      <c r="E63" s="133" t="s">
        <v>1730</v>
      </c>
      <c r="F63" s="139" t="s">
        <v>1275</v>
      </c>
      <c r="G63" s="137" t="s">
        <v>1446</v>
      </c>
      <c r="H63" s="137">
        <v>26409042400215</v>
      </c>
      <c r="I63" s="139">
        <v>61</v>
      </c>
      <c r="J63" s="139" t="s">
        <v>688</v>
      </c>
      <c r="K63" s="280">
        <v>46175</v>
      </c>
      <c r="L63" s="287">
        <f t="shared" si="0"/>
        <v>18100</v>
      </c>
      <c r="M63" s="287">
        <f t="shared" si="1"/>
        <v>8000</v>
      </c>
      <c r="N63" s="295" t="str">
        <f t="shared" si="2"/>
        <v/>
      </c>
      <c r="O63" s="287">
        <f t="shared" si="3"/>
        <v>10100</v>
      </c>
      <c r="P63" t="str">
        <f t="shared" si="4"/>
        <v>تامين صحى</v>
      </c>
    </row>
    <row r="64" spans="1:16" ht="46.5" x14ac:dyDescent="0.35">
      <c r="A64" s="147">
        <v>63</v>
      </c>
      <c r="B64" s="148" t="s">
        <v>1447</v>
      </c>
      <c r="C64" s="148" t="s">
        <v>1767</v>
      </c>
      <c r="D64" s="149" t="s">
        <v>1757</v>
      </c>
      <c r="E64" s="148" t="s">
        <v>1730</v>
      </c>
      <c r="F64" s="150" t="s">
        <v>459</v>
      </c>
      <c r="G64" s="147" t="s">
        <v>1448</v>
      </c>
      <c r="H64" s="147">
        <v>29306152401923</v>
      </c>
      <c r="I64" s="150">
        <v>33</v>
      </c>
      <c r="J64" s="150"/>
      <c r="K64" s="279">
        <v>46175</v>
      </c>
      <c r="L64" s="287">
        <f t="shared" si="0"/>
        <v>9500</v>
      </c>
      <c r="M64" s="287">
        <f t="shared" si="1"/>
        <v>2500</v>
      </c>
      <c r="N64" s="295">
        <f t="shared" si="2"/>
        <v>7000</v>
      </c>
      <c r="O64" s="287" t="str">
        <f t="shared" si="3"/>
        <v/>
      </c>
      <c r="P64" t="str">
        <f t="shared" si="4"/>
        <v>برايفيت</v>
      </c>
    </row>
    <row r="65" spans="1:16" ht="15.5" x14ac:dyDescent="0.35">
      <c r="A65" s="137">
        <v>64</v>
      </c>
      <c r="B65" s="133" t="s">
        <v>1449</v>
      </c>
      <c r="C65" s="133" t="s">
        <v>1764</v>
      </c>
      <c r="D65" s="134" t="s">
        <v>1758</v>
      </c>
      <c r="E65" s="133" t="s">
        <v>1730</v>
      </c>
      <c r="F65" s="139" t="s">
        <v>459</v>
      </c>
      <c r="G65" s="137" t="s">
        <v>1450</v>
      </c>
      <c r="H65" s="137">
        <v>25910052403078</v>
      </c>
      <c r="I65" s="139">
        <v>66</v>
      </c>
      <c r="J65" s="139"/>
      <c r="K65" s="280">
        <v>46175</v>
      </c>
      <c r="L65" s="287">
        <f t="shared" si="0"/>
        <v>8000</v>
      </c>
      <c r="M65" s="287">
        <f t="shared" si="1"/>
        <v>1500</v>
      </c>
      <c r="N65" s="295">
        <f t="shared" si="2"/>
        <v>6500</v>
      </c>
      <c r="O65" s="287" t="str">
        <f t="shared" si="3"/>
        <v/>
      </c>
      <c r="P65" t="str">
        <f t="shared" si="4"/>
        <v>برايفيت</v>
      </c>
    </row>
    <row r="66" spans="1:16" ht="15.5" x14ac:dyDescent="0.35">
      <c r="A66" s="147">
        <v>65</v>
      </c>
      <c r="B66" s="148" t="s">
        <v>1451</v>
      </c>
      <c r="C66" s="148" t="s">
        <v>1761</v>
      </c>
      <c r="D66" s="149" t="s">
        <v>1757</v>
      </c>
      <c r="E66" s="148" t="s">
        <v>1298</v>
      </c>
      <c r="F66" s="150" t="s">
        <v>212</v>
      </c>
      <c r="G66" s="147" t="s">
        <v>1452</v>
      </c>
      <c r="H66" s="147">
        <v>26502272400532</v>
      </c>
      <c r="I66" s="150">
        <v>61</v>
      </c>
      <c r="J66" s="150" t="s">
        <v>688</v>
      </c>
      <c r="K66" s="279">
        <v>46176</v>
      </c>
      <c r="L66" s="287">
        <f t="shared" si="0"/>
        <v>6513</v>
      </c>
      <c r="M66" s="287">
        <f t="shared" si="1"/>
        <v>2500</v>
      </c>
      <c r="N66" s="295" t="str">
        <f t="shared" si="2"/>
        <v/>
      </c>
      <c r="O66" s="287">
        <f t="shared" si="3"/>
        <v>4013</v>
      </c>
      <c r="P66" t="str">
        <f t="shared" si="4"/>
        <v>تامين صحى</v>
      </c>
    </row>
    <row r="67" spans="1:16" ht="15.5" x14ac:dyDescent="0.35">
      <c r="A67" s="137">
        <v>66</v>
      </c>
      <c r="B67" s="133" t="s">
        <v>1453</v>
      </c>
      <c r="C67" s="133" t="s">
        <v>1761</v>
      </c>
      <c r="D67" s="134" t="s">
        <v>1758</v>
      </c>
      <c r="E67" s="133" t="s">
        <v>1298</v>
      </c>
      <c r="F67" s="139" t="s">
        <v>1278</v>
      </c>
      <c r="G67" s="137" t="s">
        <v>1454</v>
      </c>
      <c r="H67" s="137">
        <v>25507242401338</v>
      </c>
      <c r="I67" s="139">
        <v>70</v>
      </c>
      <c r="J67" s="139" t="s">
        <v>688</v>
      </c>
      <c r="K67" s="280">
        <v>46176</v>
      </c>
      <c r="L67" s="287">
        <f t="shared" ref="L67:L130" si="5">IF(COUNTIFS($Q$2:$Q$30,TRIM($C67),$R$2:$R$30,$P67)=0,"",SUMIFS($S$2:$S$30,$Q$2:$Q$30,TRIM($C67),$R$2:$R$30,$P67))</f>
        <v>6513</v>
      </c>
      <c r="M67" s="287">
        <f t="shared" ref="M67:M130" si="6">IF($L67="","",SUMIFS($T$2:$T$30,$Q$2:$Q$30,TRIM($C67),$R$2:$R$30,$P67))</f>
        <v>2500</v>
      </c>
      <c r="N67" s="295" t="str">
        <f t="shared" ref="N67:N130" si="7">IF($L67="","",IF($P67="برايفيت",$L67-$M67,""))</f>
        <v/>
      </c>
      <c r="O67" s="287">
        <f t="shared" ref="O67:O130" si="8">IF($L67="","",IF($P67="برايفيت","",$L67-$M67))</f>
        <v>4013</v>
      </c>
      <c r="P67" t="str">
        <f t="shared" ref="P67:P130" si="9">IF(TRIM($J67)="","برايفيت",TRIM($J67))</f>
        <v>تامين صحى</v>
      </c>
    </row>
    <row r="68" spans="1:16" ht="15.5" x14ac:dyDescent="0.35">
      <c r="A68" s="147">
        <v>67</v>
      </c>
      <c r="B68" s="148" t="s">
        <v>1455</v>
      </c>
      <c r="C68" s="148" t="s">
        <v>1761</v>
      </c>
      <c r="D68" s="149" t="s">
        <v>1758</v>
      </c>
      <c r="E68" s="148" t="s">
        <v>1298</v>
      </c>
      <c r="F68" s="150" t="s">
        <v>1271</v>
      </c>
      <c r="G68" s="147" t="s">
        <v>1456</v>
      </c>
      <c r="H68" s="147">
        <v>25407282400992</v>
      </c>
      <c r="I68" s="150">
        <v>71</v>
      </c>
      <c r="J68" s="150" t="s">
        <v>688</v>
      </c>
      <c r="K68" s="279">
        <v>46176</v>
      </c>
      <c r="L68" s="287">
        <f t="shared" si="5"/>
        <v>6513</v>
      </c>
      <c r="M68" s="287">
        <f t="shared" si="6"/>
        <v>2500</v>
      </c>
      <c r="N68" s="295" t="str">
        <f t="shared" si="7"/>
        <v/>
      </c>
      <c r="O68" s="287">
        <f t="shared" si="8"/>
        <v>4013</v>
      </c>
      <c r="P68" t="str">
        <f t="shared" si="9"/>
        <v>تامين صحى</v>
      </c>
    </row>
    <row r="69" spans="1:16" ht="15.5" x14ac:dyDescent="0.35">
      <c r="A69" s="137">
        <v>68</v>
      </c>
      <c r="B69" s="133" t="s">
        <v>1457</v>
      </c>
      <c r="C69" s="133" t="s">
        <v>1761</v>
      </c>
      <c r="D69" s="134" t="s">
        <v>1757</v>
      </c>
      <c r="E69" s="133" t="s">
        <v>689</v>
      </c>
      <c r="F69" s="139" t="s">
        <v>1275</v>
      </c>
      <c r="G69" s="137" t="s">
        <v>1458</v>
      </c>
      <c r="H69" s="137">
        <v>26208202401404</v>
      </c>
      <c r="I69" s="139">
        <v>63</v>
      </c>
      <c r="J69" s="139" t="s">
        <v>688</v>
      </c>
      <c r="K69" s="280">
        <v>46176</v>
      </c>
      <c r="L69" s="287">
        <f t="shared" si="5"/>
        <v>6513</v>
      </c>
      <c r="M69" s="287">
        <f t="shared" si="6"/>
        <v>2500</v>
      </c>
      <c r="N69" s="295" t="str">
        <f t="shared" si="7"/>
        <v/>
      </c>
      <c r="O69" s="287">
        <f t="shared" si="8"/>
        <v>4013</v>
      </c>
      <c r="P69" t="str">
        <f t="shared" si="9"/>
        <v>تامين صحى</v>
      </c>
    </row>
    <row r="70" spans="1:16" ht="15.5" x14ac:dyDescent="0.35">
      <c r="A70" s="147">
        <v>69</v>
      </c>
      <c r="B70" s="148" t="s">
        <v>1459</v>
      </c>
      <c r="C70" s="148" t="s">
        <v>1761</v>
      </c>
      <c r="D70" s="149" t="s">
        <v>1757</v>
      </c>
      <c r="E70" s="148" t="s">
        <v>689</v>
      </c>
      <c r="F70" s="150" t="s">
        <v>1271</v>
      </c>
      <c r="G70" s="147" t="s">
        <v>1460</v>
      </c>
      <c r="H70" s="147">
        <v>26308062400733</v>
      </c>
      <c r="I70" s="150">
        <v>62</v>
      </c>
      <c r="J70" s="150" t="s">
        <v>688</v>
      </c>
      <c r="K70" s="279">
        <v>46176</v>
      </c>
      <c r="L70" s="287">
        <f t="shared" si="5"/>
        <v>6513</v>
      </c>
      <c r="M70" s="287">
        <f t="shared" si="6"/>
        <v>2500</v>
      </c>
      <c r="N70" s="295" t="str">
        <f t="shared" si="7"/>
        <v/>
      </c>
      <c r="O70" s="287">
        <f t="shared" si="8"/>
        <v>4013</v>
      </c>
      <c r="P70" t="str">
        <f t="shared" si="9"/>
        <v>تامين صحى</v>
      </c>
    </row>
    <row r="71" spans="1:16" ht="15.5" x14ac:dyDescent="0.35">
      <c r="A71" s="137">
        <v>70</v>
      </c>
      <c r="B71" s="133" t="s">
        <v>1461</v>
      </c>
      <c r="C71" s="133" t="s">
        <v>1761</v>
      </c>
      <c r="D71" s="134" t="s">
        <v>1757</v>
      </c>
      <c r="E71" s="133" t="s">
        <v>689</v>
      </c>
      <c r="F71" s="139" t="s">
        <v>1275</v>
      </c>
      <c r="G71" s="137" t="s">
        <v>1462</v>
      </c>
      <c r="H71" s="137">
        <v>31711152407574</v>
      </c>
      <c r="I71" s="139">
        <v>8</v>
      </c>
      <c r="J71" s="139" t="s">
        <v>688</v>
      </c>
      <c r="K71" s="280">
        <v>46176</v>
      </c>
      <c r="L71" s="287">
        <f t="shared" si="5"/>
        <v>6513</v>
      </c>
      <c r="M71" s="287">
        <f t="shared" si="6"/>
        <v>2500</v>
      </c>
      <c r="N71" s="295" t="str">
        <f t="shared" si="7"/>
        <v/>
      </c>
      <c r="O71" s="287">
        <f t="shared" si="8"/>
        <v>4013</v>
      </c>
      <c r="P71" t="str">
        <f t="shared" si="9"/>
        <v>تامين صحى</v>
      </c>
    </row>
    <row r="72" spans="1:16" ht="15.5" x14ac:dyDescent="0.35">
      <c r="A72" s="147">
        <v>71</v>
      </c>
      <c r="B72" s="148" t="s">
        <v>1463</v>
      </c>
      <c r="C72" s="148" t="s">
        <v>1761</v>
      </c>
      <c r="D72" s="149" t="s">
        <v>1757</v>
      </c>
      <c r="E72" s="148" t="s">
        <v>1730</v>
      </c>
      <c r="F72" s="150" t="s">
        <v>1275</v>
      </c>
      <c r="G72" s="147" t="s">
        <v>1464</v>
      </c>
      <c r="H72" s="147">
        <v>26703222400031</v>
      </c>
      <c r="I72" s="150">
        <v>59</v>
      </c>
      <c r="J72" s="150" t="s">
        <v>688</v>
      </c>
      <c r="K72" s="279">
        <v>46182</v>
      </c>
      <c r="L72" s="287">
        <f t="shared" si="5"/>
        <v>6513</v>
      </c>
      <c r="M72" s="287">
        <f t="shared" si="6"/>
        <v>2500</v>
      </c>
      <c r="N72" s="295" t="str">
        <f t="shared" si="7"/>
        <v/>
      </c>
      <c r="O72" s="287">
        <f t="shared" si="8"/>
        <v>4013</v>
      </c>
      <c r="P72" t="str">
        <f t="shared" si="9"/>
        <v>تامين صحى</v>
      </c>
    </row>
    <row r="73" spans="1:16" ht="15.5" x14ac:dyDescent="0.35">
      <c r="A73" s="137">
        <v>72</v>
      </c>
      <c r="B73" s="133" t="s">
        <v>1465</v>
      </c>
      <c r="C73" s="133" t="s">
        <v>1761</v>
      </c>
      <c r="D73" s="134" t="s">
        <v>1757</v>
      </c>
      <c r="E73" s="133" t="s">
        <v>1730</v>
      </c>
      <c r="F73" s="139" t="s">
        <v>1275</v>
      </c>
      <c r="G73" s="137" t="s">
        <v>1466</v>
      </c>
      <c r="H73" s="137">
        <v>25912312400565</v>
      </c>
      <c r="I73" s="139">
        <v>66</v>
      </c>
      <c r="J73" s="139" t="s">
        <v>688</v>
      </c>
      <c r="K73" s="280">
        <v>46182</v>
      </c>
      <c r="L73" s="287">
        <f t="shared" si="5"/>
        <v>6513</v>
      </c>
      <c r="M73" s="287">
        <f t="shared" si="6"/>
        <v>2500</v>
      </c>
      <c r="N73" s="295" t="str">
        <f t="shared" si="7"/>
        <v/>
      </c>
      <c r="O73" s="287">
        <f t="shared" si="8"/>
        <v>4013</v>
      </c>
      <c r="P73" t="str">
        <f t="shared" si="9"/>
        <v>تامين صحى</v>
      </c>
    </row>
    <row r="74" spans="1:16" ht="31" x14ac:dyDescent="0.35">
      <c r="A74" s="147">
        <v>73</v>
      </c>
      <c r="B74" s="148" t="s">
        <v>1467</v>
      </c>
      <c r="C74" s="148" t="s">
        <v>1761</v>
      </c>
      <c r="D74" s="149" t="s">
        <v>1758</v>
      </c>
      <c r="E74" s="148" t="s">
        <v>1730</v>
      </c>
      <c r="F74" s="150" t="s">
        <v>1275</v>
      </c>
      <c r="G74" s="147" t="s">
        <v>1468</v>
      </c>
      <c r="H74" s="147">
        <v>25905122400147</v>
      </c>
      <c r="I74" s="150">
        <v>66</v>
      </c>
      <c r="J74" s="150" t="s">
        <v>688</v>
      </c>
      <c r="K74" s="279">
        <v>46182</v>
      </c>
      <c r="L74" s="287">
        <f t="shared" si="5"/>
        <v>6513</v>
      </c>
      <c r="M74" s="287">
        <f t="shared" si="6"/>
        <v>2500</v>
      </c>
      <c r="N74" s="295" t="str">
        <f t="shared" si="7"/>
        <v/>
      </c>
      <c r="O74" s="287">
        <f t="shared" si="8"/>
        <v>4013</v>
      </c>
      <c r="P74" t="str">
        <f t="shared" si="9"/>
        <v>تامين صحى</v>
      </c>
    </row>
    <row r="75" spans="1:16" ht="15.5" x14ac:dyDescent="0.35">
      <c r="A75" s="137">
        <v>74</v>
      </c>
      <c r="B75" s="133" t="s">
        <v>1469</v>
      </c>
      <c r="C75" s="133" t="s">
        <v>1761</v>
      </c>
      <c r="D75" s="134" t="s">
        <v>1758</v>
      </c>
      <c r="E75" s="133" t="s">
        <v>1730</v>
      </c>
      <c r="F75" s="139" t="s">
        <v>1278</v>
      </c>
      <c r="G75" s="137" t="s">
        <v>1468</v>
      </c>
      <c r="H75" s="137">
        <v>25304062400262</v>
      </c>
      <c r="I75" s="139">
        <v>70</v>
      </c>
      <c r="J75" s="139" t="s">
        <v>688</v>
      </c>
      <c r="K75" s="280">
        <v>46182</v>
      </c>
      <c r="L75" s="287">
        <f t="shared" si="5"/>
        <v>6513</v>
      </c>
      <c r="M75" s="287">
        <f t="shared" si="6"/>
        <v>2500</v>
      </c>
      <c r="N75" s="295" t="str">
        <f t="shared" si="7"/>
        <v/>
      </c>
      <c r="O75" s="287">
        <f t="shared" si="8"/>
        <v>4013</v>
      </c>
      <c r="P75" t="str">
        <f t="shared" si="9"/>
        <v>تامين صحى</v>
      </c>
    </row>
    <row r="76" spans="1:16" ht="15.5" x14ac:dyDescent="0.35">
      <c r="A76" s="147">
        <v>75</v>
      </c>
      <c r="B76" s="148" t="s">
        <v>1470</v>
      </c>
      <c r="C76" s="148" t="s">
        <v>1761</v>
      </c>
      <c r="D76" s="149" t="s">
        <v>1758</v>
      </c>
      <c r="E76" s="148" t="s">
        <v>1730</v>
      </c>
      <c r="F76" s="150" t="s">
        <v>1275</v>
      </c>
      <c r="G76" s="147" t="s">
        <v>1471</v>
      </c>
      <c r="H76" s="147">
        <v>26509062400909</v>
      </c>
      <c r="I76" s="150">
        <v>60</v>
      </c>
      <c r="J76" s="150" t="s">
        <v>688</v>
      </c>
      <c r="K76" s="279">
        <v>46182</v>
      </c>
      <c r="L76" s="287">
        <f t="shared" si="5"/>
        <v>6513</v>
      </c>
      <c r="M76" s="287">
        <f t="shared" si="6"/>
        <v>2500</v>
      </c>
      <c r="N76" s="295" t="str">
        <f t="shared" si="7"/>
        <v/>
      </c>
      <c r="O76" s="287">
        <f t="shared" si="8"/>
        <v>4013</v>
      </c>
      <c r="P76" t="str">
        <f t="shared" si="9"/>
        <v>تامين صحى</v>
      </c>
    </row>
    <row r="77" spans="1:16" ht="15.5" x14ac:dyDescent="0.35">
      <c r="A77" s="137">
        <v>76</v>
      </c>
      <c r="B77" s="133" t="s">
        <v>1472</v>
      </c>
      <c r="C77" s="133" t="s">
        <v>1761</v>
      </c>
      <c r="D77" s="134" t="s">
        <v>1758</v>
      </c>
      <c r="E77" s="133" t="s">
        <v>1730</v>
      </c>
      <c r="F77" s="139" t="s">
        <v>459</v>
      </c>
      <c r="G77" s="137" t="s">
        <v>1473</v>
      </c>
      <c r="H77" s="137">
        <v>26706052401699</v>
      </c>
      <c r="I77" s="139">
        <v>65</v>
      </c>
      <c r="J77" s="139" t="s">
        <v>688</v>
      </c>
      <c r="K77" s="280">
        <v>46182</v>
      </c>
      <c r="L77" s="287">
        <f t="shared" si="5"/>
        <v>6513</v>
      </c>
      <c r="M77" s="287">
        <f t="shared" si="6"/>
        <v>2500</v>
      </c>
      <c r="N77" s="295" t="str">
        <f t="shared" si="7"/>
        <v/>
      </c>
      <c r="O77" s="287">
        <f t="shared" si="8"/>
        <v>4013</v>
      </c>
      <c r="P77" t="str">
        <f t="shared" si="9"/>
        <v>تامين صحى</v>
      </c>
    </row>
    <row r="78" spans="1:16" ht="15.5" x14ac:dyDescent="0.35">
      <c r="A78" s="147">
        <v>77</v>
      </c>
      <c r="B78" s="148" t="s">
        <v>1474</v>
      </c>
      <c r="C78" s="148" t="s">
        <v>1761</v>
      </c>
      <c r="D78" s="149" t="s">
        <v>1757</v>
      </c>
      <c r="E78" s="148" t="s">
        <v>1475</v>
      </c>
      <c r="F78" s="150" t="s">
        <v>212</v>
      </c>
      <c r="G78" s="147" t="s">
        <v>1476</v>
      </c>
      <c r="H78" s="147">
        <v>27010012400780</v>
      </c>
      <c r="I78" s="150">
        <v>56</v>
      </c>
      <c r="J78" s="150"/>
      <c r="K78" s="279">
        <v>46183</v>
      </c>
      <c r="L78" s="287">
        <f t="shared" si="5"/>
        <v>7500</v>
      </c>
      <c r="M78" s="287">
        <f t="shared" si="6"/>
        <v>3000</v>
      </c>
      <c r="N78" s="295">
        <f t="shared" si="7"/>
        <v>4500</v>
      </c>
      <c r="O78" s="287" t="str">
        <f t="shared" si="8"/>
        <v/>
      </c>
      <c r="P78" t="str">
        <f t="shared" si="9"/>
        <v>برايفيت</v>
      </c>
    </row>
    <row r="79" spans="1:16" ht="15.5" x14ac:dyDescent="0.35">
      <c r="A79" s="137">
        <v>78</v>
      </c>
      <c r="B79" s="133" t="s">
        <v>1477</v>
      </c>
      <c r="C79" s="133" t="s">
        <v>1761</v>
      </c>
      <c r="D79" s="134" t="s">
        <v>1758</v>
      </c>
      <c r="E79" s="133" t="s">
        <v>1475</v>
      </c>
      <c r="F79" s="139" t="s">
        <v>212</v>
      </c>
      <c r="G79" s="137" t="s">
        <v>1478</v>
      </c>
      <c r="H79" s="137">
        <v>25008202402521</v>
      </c>
      <c r="I79" s="139">
        <v>76</v>
      </c>
      <c r="J79" s="139" t="s">
        <v>688</v>
      </c>
      <c r="K79" s="280">
        <v>46183</v>
      </c>
      <c r="L79" s="287">
        <f t="shared" si="5"/>
        <v>6513</v>
      </c>
      <c r="M79" s="287">
        <f t="shared" si="6"/>
        <v>2500</v>
      </c>
      <c r="N79" s="295" t="str">
        <f t="shared" si="7"/>
        <v/>
      </c>
      <c r="O79" s="287">
        <f t="shared" si="8"/>
        <v>4013</v>
      </c>
      <c r="P79" t="str">
        <f t="shared" si="9"/>
        <v>تامين صحى</v>
      </c>
    </row>
    <row r="80" spans="1:16" ht="15.5" x14ac:dyDescent="0.35">
      <c r="A80" s="147">
        <v>79</v>
      </c>
      <c r="B80" s="148" t="s">
        <v>1479</v>
      </c>
      <c r="C80" s="148" t="s">
        <v>1761</v>
      </c>
      <c r="D80" s="149" t="s">
        <v>1757</v>
      </c>
      <c r="E80" s="148" t="s">
        <v>689</v>
      </c>
      <c r="F80" s="150" t="s">
        <v>212</v>
      </c>
      <c r="G80" s="147" t="s">
        <v>1480</v>
      </c>
      <c r="H80" s="147">
        <v>24905122400925</v>
      </c>
      <c r="I80" s="150">
        <v>77</v>
      </c>
      <c r="J80" s="150"/>
      <c r="K80" s="279">
        <v>46183</v>
      </c>
      <c r="L80" s="287">
        <f t="shared" si="5"/>
        <v>7500</v>
      </c>
      <c r="M80" s="287">
        <f t="shared" si="6"/>
        <v>3000</v>
      </c>
      <c r="N80" s="295">
        <f t="shared" si="7"/>
        <v>4500</v>
      </c>
      <c r="O80" s="287" t="str">
        <f t="shared" si="8"/>
        <v/>
      </c>
      <c r="P80" t="str">
        <f t="shared" si="9"/>
        <v>برايفيت</v>
      </c>
    </row>
    <row r="81" spans="1:16" ht="15.5" x14ac:dyDescent="0.35">
      <c r="A81" s="137">
        <v>80</v>
      </c>
      <c r="B81" s="133" t="s">
        <v>1481</v>
      </c>
      <c r="C81" s="133" t="s">
        <v>1761</v>
      </c>
      <c r="D81" s="134" t="s">
        <v>1758</v>
      </c>
      <c r="E81" s="133" t="s">
        <v>1298</v>
      </c>
      <c r="F81" s="139" t="s">
        <v>1278</v>
      </c>
      <c r="G81" s="137" t="s">
        <v>1482</v>
      </c>
      <c r="H81" s="137">
        <v>24902062400158</v>
      </c>
      <c r="I81" s="139">
        <v>77</v>
      </c>
      <c r="J81" s="139" t="s">
        <v>688</v>
      </c>
      <c r="K81" s="280">
        <v>46183</v>
      </c>
      <c r="L81" s="287">
        <f t="shared" si="5"/>
        <v>6513</v>
      </c>
      <c r="M81" s="287">
        <f t="shared" si="6"/>
        <v>2500</v>
      </c>
      <c r="N81" s="295" t="str">
        <f t="shared" si="7"/>
        <v/>
      </c>
      <c r="O81" s="287">
        <f t="shared" si="8"/>
        <v>4013</v>
      </c>
      <c r="P81" t="str">
        <f t="shared" si="9"/>
        <v>تامين صحى</v>
      </c>
    </row>
    <row r="82" spans="1:16" ht="15.5" x14ac:dyDescent="0.35">
      <c r="A82" s="147">
        <v>81</v>
      </c>
      <c r="B82" s="148" t="s">
        <v>1483</v>
      </c>
      <c r="C82" s="148" t="s">
        <v>1761</v>
      </c>
      <c r="D82" s="149" t="s">
        <v>1757</v>
      </c>
      <c r="E82" s="148" t="s">
        <v>1298</v>
      </c>
      <c r="F82" s="150" t="s">
        <v>1275</v>
      </c>
      <c r="G82" s="147" t="s">
        <v>1484</v>
      </c>
      <c r="H82" s="147">
        <v>25501082401133</v>
      </c>
      <c r="I82" s="150">
        <v>73</v>
      </c>
      <c r="J82" s="150" t="s">
        <v>688</v>
      </c>
      <c r="K82" s="279">
        <v>46183</v>
      </c>
      <c r="L82" s="287">
        <f t="shared" si="5"/>
        <v>6513</v>
      </c>
      <c r="M82" s="287">
        <f t="shared" si="6"/>
        <v>2500</v>
      </c>
      <c r="N82" s="295" t="str">
        <f t="shared" si="7"/>
        <v/>
      </c>
      <c r="O82" s="287">
        <f t="shared" si="8"/>
        <v>4013</v>
      </c>
      <c r="P82" t="str">
        <f t="shared" si="9"/>
        <v>تامين صحى</v>
      </c>
    </row>
    <row r="83" spans="1:16" ht="15.5" x14ac:dyDescent="0.35">
      <c r="A83" s="137">
        <v>82</v>
      </c>
      <c r="B83" s="133" t="s">
        <v>1485</v>
      </c>
      <c r="C83" s="133" t="s">
        <v>1761</v>
      </c>
      <c r="D83" s="134" t="s">
        <v>1758</v>
      </c>
      <c r="E83" s="133" t="s">
        <v>1475</v>
      </c>
      <c r="F83" s="139" t="s">
        <v>1288</v>
      </c>
      <c r="G83" s="137" t="s">
        <v>1486</v>
      </c>
      <c r="H83" s="137">
        <v>25112092200661</v>
      </c>
      <c r="I83" s="139">
        <v>63</v>
      </c>
      <c r="J83" s="139"/>
      <c r="K83" s="280">
        <v>46187</v>
      </c>
      <c r="L83" s="287">
        <f t="shared" si="5"/>
        <v>7500</v>
      </c>
      <c r="M83" s="287">
        <f t="shared" si="6"/>
        <v>3000</v>
      </c>
      <c r="N83" s="295">
        <f t="shared" si="7"/>
        <v>4500</v>
      </c>
      <c r="O83" s="287" t="str">
        <f t="shared" si="8"/>
        <v/>
      </c>
      <c r="P83" t="str">
        <f t="shared" si="9"/>
        <v>برايفيت</v>
      </c>
    </row>
    <row r="84" spans="1:16" ht="15.5" x14ac:dyDescent="0.35">
      <c r="A84" s="147">
        <v>83</v>
      </c>
      <c r="B84" s="148" t="s">
        <v>1487</v>
      </c>
      <c r="C84" s="148" t="s">
        <v>1761</v>
      </c>
      <c r="D84" s="149" t="s">
        <v>1757</v>
      </c>
      <c r="E84" s="148" t="s">
        <v>689</v>
      </c>
      <c r="F84" s="150" t="s">
        <v>212</v>
      </c>
      <c r="G84" s="147" t="s">
        <v>1488</v>
      </c>
      <c r="H84" s="147">
        <v>29010012420875</v>
      </c>
      <c r="I84" s="150">
        <v>32</v>
      </c>
      <c r="J84" s="150"/>
      <c r="K84" s="279">
        <v>46187</v>
      </c>
      <c r="L84" s="287">
        <f t="shared" si="5"/>
        <v>7500</v>
      </c>
      <c r="M84" s="287">
        <f t="shared" si="6"/>
        <v>3000</v>
      </c>
      <c r="N84" s="295">
        <f t="shared" si="7"/>
        <v>4500</v>
      </c>
      <c r="O84" s="287" t="str">
        <f t="shared" si="8"/>
        <v/>
      </c>
      <c r="P84" t="str">
        <f t="shared" si="9"/>
        <v>برايفيت</v>
      </c>
    </row>
    <row r="85" spans="1:16" ht="31" x14ac:dyDescent="0.35">
      <c r="A85" s="137">
        <v>84</v>
      </c>
      <c r="B85" s="133" t="s">
        <v>1489</v>
      </c>
      <c r="C85" s="133" t="s">
        <v>1761</v>
      </c>
      <c r="D85" s="134" t="s">
        <v>1758</v>
      </c>
      <c r="E85" s="133" t="s">
        <v>689</v>
      </c>
      <c r="F85" s="139" t="s">
        <v>212</v>
      </c>
      <c r="G85" s="137" t="s">
        <v>1490</v>
      </c>
      <c r="H85" s="137" t="s">
        <v>1491</v>
      </c>
      <c r="I85" s="139">
        <v>65</v>
      </c>
      <c r="J85" s="139"/>
      <c r="K85" s="280">
        <v>46187</v>
      </c>
      <c r="L85" s="287">
        <f t="shared" si="5"/>
        <v>7500</v>
      </c>
      <c r="M85" s="287">
        <f t="shared" si="6"/>
        <v>3000</v>
      </c>
      <c r="N85" s="295">
        <f t="shared" si="7"/>
        <v>4500</v>
      </c>
      <c r="O85" s="287" t="str">
        <f t="shared" si="8"/>
        <v/>
      </c>
      <c r="P85" t="str">
        <f t="shared" si="9"/>
        <v>برايفيت</v>
      </c>
    </row>
    <row r="86" spans="1:16" ht="15.5" x14ac:dyDescent="0.35">
      <c r="A86" s="147">
        <v>85</v>
      </c>
      <c r="B86" s="148" t="s">
        <v>1492</v>
      </c>
      <c r="C86" s="148" t="s">
        <v>1761</v>
      </c>
      <c r="D86" s="149" t="s">
        <v>1758</v>
      </c>
      <c r="E86" s="148" t="s">
        <v>689</v>
      </c>
      <c r="F86" s="150" t="s">
        <v>212</v>
      </c>
      <c r="G86" s="147" t="s">
        <v>1493</v>
      </c>
      <c r="H86" s="147" t="s">
        <v>1494</v>
      </c>
      <c r="I86" s="150">
        <v>53</v>
      </c>
      <c r="J86" s="150"/>
      <c r="K86" s="279">
        <v>46187</v>
      </c>
      <c r="L86" s="287">
        <f t="shared" si="5"/>
        <v>7500</v>
      </c>
      <c r="M86" s="287">
        <f t="shared" si="6"/>
        <v>3000</v>
      </c>
      <c r="N86" s="295">
        <f t="shared" si="7"/>
        <v>4500</v>
      </c>
      <c r="O86" s="287" t="str">
        <f t="shared" si="8"/>
        <v/>
      </c>
      <c r="P86" t="str">
        <f t="shared" si="9"/>
        <v>برايفيت</v>
      </c>
    </row>
    <row r="87" spans="1:16" ht="15.5" x14ac:dyDescent="0.35">
      <c r="A87" s="137">
        <v>86</v>
      </c>
      <c r="B87" s="133" t="s">
        <v>1495</v>
      </c>
      <c r="C87" s="133" t="s">
        <v>1761</v>
      </c>
      <c r="D87" s="134" t="s">
        <v>1757</v>
      </c>
      <c r="E87" s="133" t="s">
        <v>1730</v>
      </c>
      <c r="F87" s="139" t="s">
        <v>212</v>
      </c>
      <c r="G87" s="137" t="s">
        <v>1496</v>
      </c>
      <c r="H87" s="137" t="s">
        <v>1497</v>
      </c>
      <c r="I87" s="139">
        <v>46</v>
      </c>
      <c r="J87" s="139"/>
      <c r="K87" s="280">
        <v>46189</v>
      </c>
      <c r="L87" s="287">
        <f t="shared" si="5"/>
        <v>7500</v>
      </c>
      <c r="M87" s="287">
        <f t="shared" si="6"/>
        <v>3000</v>
      </c>
      <c r="N87" s="295">
        <f t="shared" si="7"/>
        <v>4500</v>
      </c>
      <c r="O87" s="287" t="str">
        <f t="shared" si="8"/>
        <v/>
      </c>
      <c r="P87" t="str">
        <f t="shared" si="9"/>
        <v>برايفيت</v>
      </c>
    </row>
    <row r="88" spans="1:16" ht="31" x14ac:dyDescent="0.35">
      <c r="A88" s="147">
        <v>87</v>
      </c>
      <c r="B88" s="148" t="s">
        <v>1498</v>
      </c>
      <c r="C88" s="148" t="s">
        <v>1761</v>
      </c>
      <c r="D88" s="149" t="s">
        <v>1757</v>
      </c>
      <c r="E88" s="148" t="s">
        <v>1730</v>
      </c>
      <c r="F88" s="150" t="s">
        <v>212</v>
      </c>
      <c r="G88" s="147" t="s">
        <v>1499</v>
      </c>
      <c r="H88" s="147">
        <v>26211222500817</v>
      </c>
      <c r="I88" s="150">
        <v>63</v>
      </c>
      <c r="J88" s="150" t="s">
        <v>688</v>
      </c>
      <c r="K88" s="279">
        <v>46189</v>
      </c>
      <c r="L88" s="287">
        <f t="shared" si="5"/>
        <v>6513</v>
      </c>
      <c r="M88" s="287">
        <f t="shared" si="6"/>
        <v>2500</v>
      </c>
      <c r="N88" s="295" t="str">
        <f t="shared" si="7"/>
        <v/>
      </c>
      <c r="O88" s="287">
        <f t="shared" si="8"/>
        <v>4013</v>
      </c>
      <c r="P88" t="str">
        <f t="shared" si="9"/>
        <v>تامين صحى</v>
      </c>
    </row>
    <row r="89" spans="1:16" ht="15.5" x14ac:dyDescent="0.35">
      <c r="A89" s="137">
        <v>88</v>
      </c>
      <c r="B89" s="133" t="s">
        <v>1500</v>
      </c>
      <c r="C89" s="133" t="s">
        <v>1761</v>
      </c>
      <c r="D89" s="134" t="s">
        <v>1757</v>
      </c>
      <c r="E89" s="133" t="s">
        <v>1730</v>
      </c>
      <c r="F89" s="139" t="s">
        <v>212</v>
      </c>
      <c r="G89" s="137" t="s">
        <v>1501</v>
      </c>
      <c r="H89" s="137">
        <v>27506252401787</v>
      </c>
      <c r="I89" s="139">
        <v>50</v>
      </c>
      <c r="J89" s="139"/>
      <c r="K89" s="280">
        <v>46189</v>
      </c>
      <c r="L89" s="287">
        <f t="shared" si="5"/>
        <v>7500</v>
      </c>
      <c r="M89" s="287">
        <f t="shared" si="6"/>
        <v>3000</v>
      </c>
      <c r="N89" s="295">
        <f t="shared" si="7"/>
        <v>4500</v>
      </c>
      <c r="O89" s="287" t="str">
        <f t="shared" si="8"/>
        <v/>
      </c>
      <c r="P89" t="str">
        <f t="shared" si="9"/>
        <v>برايفيت</v>
      </c>
    </row>
    <row r="90" spans="1:16" ht="15.5" x14ac:dyDescent="0.35">
      <c r="A90" s="147">
        <v>89</v>
      </c>
      <c r="B90" s="148" t="s">
        <v>1502</v>
      </c>
      <c r="C90" s="148" t="s">
        <v>1761</v>
      </c>
      <c r="D90" s="149" t="s">
        <v>1757</v>
      </c>
      <c r="E90" s="148" t="s">
        <v>1730</v>
      </c>
      <c r="F90" s="150" t="s">
        <v>212</v>
      </c>
      <c r="G90" s="147" t="s">
        <v>1503</v>
      </c>
      <c r="H90" s="147">
        <v>27110032402498</v>
      </c>
      <c r="I90" s="150">
        <v>55</v>
      </c>
      <c r="J90" s="150"/>
      <c r="K90" s="279">
        <v>46189</v>
      </c>
      <c r="L90" s="287">
        <f t="shared" si="5"/>
        <v>7500</v>
      </c>
      <c r="M90" s="287">
        <f t="shared" si="6"/>
        <v>3000</v>
      </c>
      <c r="N90" s="295">
        <f t="shared" si="7"/>
        <v>4500</v>
      </c>
      <c r="O90" s="287" t="str">
        <f t="shared" si="8"/>
        <v/>
      </c>
      <c r="P90" t="str">
        <f t="shared" si="9"/>
        <v>برايفيت</v>
      </c>
    </row>
    <row r="91" spans="1:16" ht="15.5" x14ac:dyDescent="0.35">
      <c r="A91" s="137">
        <v>90</v>
      </c>
      <c r="B91" s="133" t="s">
        <v>1504</v>
      </c>
      <c r="C91" s="133" t="s">
        <v>1761</v>
      </c>
      <c r="D91" s="134" t="s">
        <v>1758</v>
      </c>
      <c r="E91" s="133" t="s">
        <v>1730</v>
      </c>
      <c r="F91" s="139" t="s">
        <v>212</v>
      </c>
      <c r="G91" s="137" t="s">
        <v>1505</v>
      </c>
      <c r="H91" s="137">
        <v>25310102402263</v>
      </c>
      <c r="I91" s="139">
        <v>65</v>
      </c>
      <c r="J91" s="139"/>
      <c r="K91" s="280">
        <v>46189</v>
      </c>
      <c r="L91" s="287">
        <f t="shared" si="5"/>
        <v>7500</v>
      </c>
      <c r="M91" s="287">
        <f t="shared" si="6"/>
        <v>3000</v>
      </c>
      <c r="N91" s="295">
        <f t="shared" si="7"/>
        <v>4500</v>
      </c>
      <c r="O91" s="287" t="str">
        <f t="shared" si="8"/>
        <v/>
      </c>
      <c r="P91" t="str">
        <f t="shared" si="9"/>
        <v>برايفيت</v>
      </c>
    </row>
    <row r="92" spans="1:16" ht="15.5" x14ac:dyDescent="0.35">
      <c r="A92" s="147">
        <v>91</v>
      </c>
      <c r="B92" s="148" t="s">
        <v>1506</v>
      </c>
      <c r="C92" s="148" t="s">
        <v>1761</v>
      </c>
      <c r="D92" s="149" t="s">
        <v>1757</v>
      </c>
      <c r="E92" s="148" t="s">
        <v>1730</v>
      </c>
      <c r="F92" s="150" t="s">
        <v>1443</v>
      </c>
      <c r="G92" s="147" t="s">
        <v>1507</v>
      </c>
      <c r="H92" s="147">
        <v>24912292401531</v>
      </c>
      <c r="I92" s="150">
        <v>76</v>
      </c>
      <c r="J92" s="150" t="s">
        <v>688</v>
      </c>
      <c r="K92" s="279">
        <v>46189</v>
      </c>
      <c r="L92" s="287">
        <f t="shared" si="5"/>
        <v>6513</v>
      </c>
      <c r="M92" s="287">
        <f t="shared" si="6"/>
        <v>2500</v>
      </c>
      <c r="N92" s="295" t="str">
        <f t="shared" si="7"/>
        <v/>
      </c>
      <c r="O92" s="287">
        <f t="shared" si="8"/>
        <v>4013</v>
      </c>
      <c r="P92" t="str">
        <f t="shared" si="9"/>
        <v>تامين صحى</v>
      </c>
    </row>
    <row r="93" spans="1:16" ht="15.5" x14ac:dyDescent="0.35">
      <c r="A93" s="137">
        <v>92</v>
      </c>
      <c r="B93" s="133" t="s">
        <v>1508</v>
      </c>
      <c r="C93" s="133" t="s">
        <v>1761</v>
      </c>
      <c r="D93" s="134" t="s">
        <v>1757</v>
      </c>
      <c r="E93" s="133" t="s">
        <v>689</v>
      </c>
      <c r="F93" s="139" t="s">
        <v>210</v>
      </c>
      <c r="G93" s="137" t="s">
        <v>1509</v>
      </c>
      <c r="H93" s="137">
        <v>26306162400762</v>
      </c>
      <c r="I93" s="139">
        <v>55</v>
      </c>
      <c r="J93" s="139"/>
      <c r="K93" s="280">
        <v>46194</v>
      </c>
      <c r="L93" s="287">
        <f t="shared" si="5"/>
        <v>7500</v>
      </c>
      <c r="M93" s="287">
        <f t="shared" si="6"/>
        <v>3000</v>
      </c>
      <c r="N93" s="295">
        <f t="shared" si="7"/>
        <v>4500</v>
      </c>
      <c r="O93" s="287" t="str">
        <f t="shared" si="8"/>
        <v/>
      </c>
      <c r="P93" t="str">
        <f t="shared" si="9"/>
        <v>برايفيت</v>
      </c>
    </row>
    <row r="94" spans="1:16" ht="15.5" x14ac:dyDescent="0.35">
      <c r="A94" s="147">
        <v>93</v>
      </c>
      <c r="B94" s="148" t="s">
        <v>1510</v>
      </c>
      <c r="C94" s="148" t="s">
        <v>1761</v>
      </c>
      <c r="D94" s="149" t="s">
        <v>1757</v>
      </c>
      <c r="E94" s="148" t="s">
        <v>689</v>
      </c>
      <c r="F94" s="150" t="s">
        <v>212</v>
      </c>
      <c r="G94" s="147" t="s">
        <v>1511</v>
      </c>
      <c r="H94" s="147">
        <v>26709202401586</v>
      </c>
      <c r="I94" s="150">
        <v>55</v>
      </c>
      <c r="J94" s="150"/>
      <c r="K94" s="279">
        <v>46194</v>
      </c>
      <c r="L94" s="287">
        <f t="shared" si="5"/>
        <v>7500</v>
      </c>
      <c r="M94" s="287">
        <f t="shared" si="6"/>
        <v>3000</v>
      </c>
      <c r="N94" s="295">
        <f t="shared" si="7"/>
        <v>4500</v>
      </c>
      <c r="O94" s="287" t="str">
        <f t="shared" si="8"/>
        <v/>
      </c>
      <c r="P94" t="str">
        <f t="shared" si="9"/>
        <v>برايفيت</v>
      </c>
    </row>
    <row r="95" spans="1:16" ht="31" x14ac:dyDescent="0.35">
      <c r="A95" s="137">
        <v>94</v>
      </c>
      <c r="B95" s="133" t="s">
        <v>1512</v>
      </c>
      <c r="C95" s="133" t="s">
        <v>1768</v>
      </c>
      <c r="D95" s="134" t="s">
        <v>1757</v>
      </c>
      <c r="E95" s="133" t="s">
        <v>689</v>
      </c>
      <c r="F95" s="139" t="s">
        <v>212</v>
      </c>
      <c r="G95" s="137" t="s">
        <v>1513</v>
      </c>
      <c r="H95" s="137">
        <v>30502232400927</v>
      </c>
      <c r="I95" s="139">
        <v>21</v>
      </c>
      <c r="J95" s="139"/>
      <c r="K95" s="280">
        <v>46194</v>
      </c>
      <c r="L95" s="287">
        <v>15000</v>
      </c>
      <c r="M95" s="287">
        <v>4000</v>
      </c>
      <c r="N95" s="295">
        <f t="shared" si="7"/>
        <v>11000</v>
      </c>
      <c r="O95" s="287" t="str">
        <f t="shared" si="8"/>
        <v/>
      </c>
      <c r="P95" t="str">
        <f t="shared" si="9"/>
        <v>برايفيت</v>
      </c>
    </row>
    <row r="96" spans="1:16" ht="15.5" x14ac:dyDescent="0.35">
      <c r="A96" s="147">
        <v>95</v>
      </c>
      <c r="B96" s="148" t="s">
        <v>1514</v>
      </c>
      <c r="C96" s="148" t="s">
        <v>1761</v>
      </c>
      <c r="D96" s="149" t="s">
        <v>1758</v>
      </c>
      <c r="E96" s="148" t="s">
        <v>1298</v>
      </c>
      <c r="F96" s="150" t="s">
        <v>212</v>
      </c>
      <c r="G96" s="147" t="s">
        <v>1515</v>
      </c>
      <c r="H96" s="147">
        <v>25711022401457</v>
      </c>
      <c r="I96" s="150">
        <v>67</v>
      </c>
      <c r="J96" s="150"/>
      <c r="K96" s="279">
        <v>46194</v>
      </c>
      <c r="L96" s="287">
        <f t="shared" si="5"/>
        <v>7500</v>
      </c>
      <c r="M96" s="287">
        <f t="shared" si="6"/>
        <v>3000</v>
      </c>
      <c r="N96" s="295">
        <f t="shared" si="7"/>
        <v>4500</v>
      </c>
      <c r="O96" s="287" t="str">
        <f t="shared" si="8"/>
        <v/>
      </c>
      <c r="P96" t="str">
        <f t="shared" si="9"/>
        <v>برايفيت</v>
      </c>
    </row>
    <row r="97" spans="1:16" ht="15.5" x14ac:dyDescent="0.35">
      <c r="A97" s="137">
        <v>96</v>
      </c>
      <c r="B97" s="133" t="s">
        <v>1516</v>
      </c>
      <c r="C97" s="133" t="s">
        <v>1761</v>
      </c>
      <c r="D97" s="134" t="s">
        <v>1757</v>
      </c>
      <c r="E97" s="133" t="s">
        <v>1298</v>
      </c>
      <c r="F97" s="139" t="s">
        <v>1288</v>
      </c>
      <c r="G97" s="137" t="s">
        <v>1517</v>
      </c>
      <c r="H97" s="137">
        <v>27511172201454</v>
      </c>
      <c r="I97" s="139">
        <v>51</v>
      </c>
      <c r="J97" s="139"/>
      <c r="K97" s="280">
        <v>46194</v>
      </c>
      <c r="L97" s="287">
        <f t="shared" si="5"/>
        <v>7500</v>
      </c>
      <c r="M97" s="287">
        <f t="shared" si="6"/>
        <v>3000</v>
      </c>
      <c r="N97" s="295">
        <f t="shared" si="7"/>
        <v>4500</v>
      </c>
      <c r="O97" s="287" t="str">
        <f t="shared" si="8"/>
        <v/>
      </c>
      <c r="P97" t="str">
        <f t="shared" si="9"/>
        <v>برايفيت</v>
      </c>
    </row>
    <row r="98" spans="1:16" ht="46.5" x14ac:dyDescent="0.35">
      <c r="A98" s="147">
        <v>97</v>
      </c>
      <c r="B98" s="148" t="s">
        <v>1518</v>
      </c>
      <c r="C98" s="148" t="s">
        <v>1769</v>
      </c>
      <c r="D98" s="149" t="s">
        <v>1758</v>
      </c>
      <c r="E98" s="148" t="s">
        <v>1730</v>
      </c>
      <c r="F98" s="150" t="s">
        <v>212</v>
      </c>
      <c r="G98" s="147" t="s">
        <v>1519</v>
      </c>
      <c r="H98" s="147">
        <v>27812122405024</v>
      </c>
      <c r="I98" s="150">
        <v>46</v>
      </c>
      <c r="J98" s="150"/>
      <c r="K98" s="279">
        <v>46196</v>
      </c>
      <c r="L98" s="287">
        <f t="shared" si="5"/>
        <v>9500</v>
      </c>
      <c r="M98" s="287">
        <f t="shared" si="6"/>
        <v>2500</v>
      </c>
      <c r="N98" s="295">
        <f t="shared" si="7"/>
        <v>7000</v>
      </c>
      <c r="O98" s="287" t="str">
        <f t="shared" si="8"/>
        <v/>
      </c>
      <c r="P98" t="str">
        <f t="shared" si="9"/>
        <v>برايفيت</v>
      </c>
    </row>
    <row r="99" spans="1:16" ht="15.5" x14ac:dyDescent="0.35">
      <c r="A99" s="137">
        <v>98</v>
      </c>
      <c r="B99" s="133" t="s">
        <v>1520</v>
      </c>
      <c r="C99" s="133" t="s">
        <v>11</v>
      </c>
      <c r="D99" s="134" t="s">
        <v>1757</v>
      </c>
      <c r="E99" s="133" t="s">
        <v>1730</v>
      </c>
      <c r="F99" s="139" t="s">
        <v>1271</v>
      </c>
      <c r="G99" s="137" t="s">
        <v>1521</v>
      </c>
      <c r="H99" s="137">
        <v>30010012403755</v>
      </c>
      <c r="I99" s="139">
        <v>26</v>
      </c>
      <c r="J99" s="139"/>
      <c r="K99" s="280">
        <v>46196</v>
      </c>
      <c r="L99" s="287">
        <v>4000</v>
      </c>
      <c r="M99" s="287">
        <v>550</v>
      </c>
      <c r="N99" s="295">
        <f t="shared" si="7"/>
        <v>3450</v>
      </c>
      <c r="O99" s="287" t="str">
        <f t="shared" si="8"/>
        <v/>
      </c>
      <c r="P99" t="str">
        <f t="shared" si="9"/>
        <v>برايفيت</v>
      </c>
    </row>
    <row r="100" spans="1:16" ht="46.5" x14ac:dyDescent="0.35">
      <c r="A100" s="147">
        <v>99</v>
      </c>
      <c r="B100" s="148" t="s">
        <v>1522</v>
      </c>
      <c r="C100" s="148" t="s">
        <v>1770</v>
      </c>
      <c r="D100" s="149" t="s">
        <v>1758</v>
      </c>
      <c r="E100" s="148" t="s">
        <v>1730</v>
      </c>
      <c r="F100" s="150" t="s">
        <v>1278</v>
      </c>
      <c r="G100" s="147" t="s">
        <v>1523</v>
      </c>
      <c r="H100" s="147">
        <v>24812272400381</v>
      </c>
      <c r="I100" s="150">
        <v>74</v>
      </c>
      <c r="J100" s="150"/>
      <c r="K100" s="279">
        <v>46196</v>
      </c>
      <c r="L100" s="287">
        <v>40000</v>
      </c>
      <c r="M100" s="287">
        <v>8000</v>
      </c>
      <c r="N100" s="295">
        <f t="shared" si="7"/>
        <v>32000</v>
      </c>
      <c r="O100" s="287" t="str">
        <f t="shared" si="8"/>
        <v/>
      </c>
      <c r="P100" t="str">
        <f t="shared" si="9"/>
        <v>برايفيت</v>
      </c>
    </row>
    <row r="101" spans="1:16" ht="15.5" x14ac:dyDescent="0.35">
      <c r="A101" s="137">
        <v>100</v>
      </c>
      <c r="B101" s="133" t="s">
        <v>1524</v>
      </c>
      <c r="C101" s="133" t="s">
        <v>31</v>
      </c>
      <c r="D101" s="134" t="s">
        <v>1758</v>
      </c>
      <c r="E101" s="133" t="s">
        <v>1730</v>
      </c>
      <c r="F101" s="139" t="s">
        <v>1288</v>
      </c>
      <c r="G101" s="137" t="s">
        <v>1525</v>
      </c>
      <c r="H101" s="137">
        <v>27909232201711</v>
      </c>
      <c r="I101" s="139">
        <v>40</v>
      </c>
      <c r="J101" s="139"/>
      <c r="K101" s="280">
        <v>46196</v>
      </c>
      <c r="L101" s="287">
        <f t="shared" si="5"/>
        <v>40000</v>
      </c>
      <c r="M101" s="287">
        <f t="shared" si="6"/>
        <v>8000</v>
      </c>
      <c r="N101" s="295">
        <f t="shared" si="7"/>
        <v>32000</v>
      </c>
      <c r="O101" s="287" t="str">
        <f t="shared" si="8"/>
        <v/>
      </c>
      <c r="P101" t="str">
        <f t="shared" si="9"/>
        <v>برايفيت</v>
      </c>
    </row>
    <row r="102" spans="1:16" ht="15.5" x14ac:dyDescent="0.35">
      <c r="A102" s="147">
        <v>101</v>
      </c>
      <c r="B102" s="148" t="s">
        <v>1526</v>
      </c>
      <c r="C102" s="148" t="s">
        <v>1761</v>
      </c>
      <c r="D102" s="149" t="s">
        <v>1757</v>
      </c>
      <c r="E102" s="148" t="s">
        <v>1730</v>
      </c>
      <c r="F102" s="150" t="s">
        <v>212</v>
      </c>
      <c r="G102" s="147" t="s">
        <v>1527</v>
      </c>
      <c r="H102" s="147">
        <v>25801302401494</v>
      </c>
      <c r="I102" s="150">
        <v>66</v>
      </c>
      <c r="J102" s="150"/>
      <c r="K102" s="279">
        <v>46196</v>
      </c>
      <c r="L102" s="287">
        <f t="shared" si="5"/>
        <v>7500</v>
      </c>
      <c r="M102" s="287">
        <f t="shared" si="6"/>
        <v>3000</v>
      </c>
      <c r="N102" s="295">
        <f t="shared" si="7"/>
        <v>4500</v>
      </c>
      <c r="O102" s="287" t="str">
        <f t="shared" si="8"/>
        <v/>
      </c>
      <c r="P102" t="str">
        <f t="shared" si="9"/>
        <v>برايفيت</v>
      </c>
    </row>
    <row r="103" spans="1:16" ht="15.5" x14ac:dyDescent="0.35">
      <c r="A103" s="137">
        <v>102</v>
      </c>
      <c r="B103" s="133" t="s">
        <v>1528</v>
      </c>
      <c r="C103" s="133" t="s">
        <v>1761</v>
      </c>
      <c r="D103" s="134" t="s">
        <v>1758</v>
      </c>
      <c r="E103" s="133" t="s">
        <v>1730</v>
      </c>
      <c r="F103" s="139" t="s">
        <v>212</v>
      </c>
      <c r="G103" s="137" t="s">
        <v>1529</v>
      </c>
      <c r="H103" s="137">
        <v>25711192400846</v>
      </c>
      <c r="I103" s="139">
        <v>60</v>
      </c>
      <c r="J103" s="139"/>
      <c r="K103" s="280">
        <v>46196</v>
      </c>
      <c r="L103" s="287">
        <f t="shared" si="5"/>
        <v>7500</v>
      </c>
      <c r="M103" s="287">
        <f t="shared" si="6"/>
        <v>3000</v>
      </c>
      <c r="N103" s="295">
        <f t="shared" si="7"/>
        <v>4500</v>
      </c>
      <c r="O103" s="287" t="str">
        <f t="shared" si="8"/>
        <v/>
      </c>
      <c r="P103" t="str">
        <f t="shared" si="9"/>
        <v>برايفيت</v>
      </c>
    </row>
    <row r="104" spans="1:16" ht="15.5" x14ac:dyDescent="0.35">
      <c r="A104" s="147">
        <v>103</v>
      </c>
      <c r="B104" s="148" t="s">
        <v>776</v>
      </c>
      <c r="C104" s="148" t="s">
        <v>1761</v>
      </c>
      <c r="D104" s="149" t="s">
        <v>1757</v>
      </c>
      <c r="E104" s="148" t="s">
        <v>1730</v>
      </c>
      <c r="F104" s="150" t="s">
        <v>1288</v>
      </c>
      <c r="G104" s="147" t="s">
        <v>1530</v>
      </c>
      <c r="H104" s="147">
        <v>25308142200987</v>
      </c>
      <c r="I104" s="150">
        <v>70</v>
      </c>
      <c r="J104" s="150"/>
      <c r="K104" s="279">
        <v>46196</v>
      </c>
      <c r="L104" s="287">
        <f t="shared" si="5"/>
        <v>7500</v>
      </c>
      <c r="M104" s="287">
        <f t="shared" si="6"/>
        <v>3000</v>
      </c>
      <c r="N104" s="295">
        <f t="shared" si="7"/>
        <v>4500</v>
      </c>
      <c r="O104" s="287" t="str">
        <f t="shared" si="8"/>
        <v/>
      </c>
      <c r="P104" t="str">
        <f t="shared" si="9"/>
        <v>برايفيت</v>
      </c>
    </row>
    <row r="105" spans="1:16" ht="15.5" x14ac:dyDescent="0.35">
      <c r="A105" s="137">
        <v>104</v>
      </c>
      <c r="B105" s="133" t="s">
        <v>1531</v>
      </c>
      <c r="C105" s="133" t="s">
        <v>1761</v>
      </c>
      <c r="D105" s="134" t="s">
        <v>1757</v>
      </c>
      <c r="E105" s="133" t="s">
        <v>689</v>
      </c>
      <c r="F105" s="139" t="s">
        <v>1288</v>
      </c>
      <c r="G105" s="137" t="s">
        <v>1532</v>
      </c>
      <c r="H105" s="137">
        <v>25205292401286</v>
      </c>
      <c r="I105" s="139">
        <v>74</v>
      </c>
      <c r="J105" s="139"/>
      <c r="K105" s="280">
        <v>46197</v>
      </c>
      <c r="L105" s="287">
        <f t="shared" si="5"/>
        <v>7500</v>
      </c>
      <c r="M105" s="287">
        <f t="shared" si="6"/>
        <v>3000</v>
      </c>
      <c r="N105" s="295">
        <f t="shared" si="7"/>
        <v>4500</v>
      </c>
      <c r="O105" s="287" t="str">
        <f t="shared" si="8"/>
        <v/>
      </c>
      <c r="P105" t="str">
        <f t="shared" si="9"/>
        <v>برايفيت</v>
      </c>
    </row>
    <row r="106" spans="1:16" ht="15.5" x14ac:dyDescent="0.35">
      <c r="A106" s="147">
        <v>105</v>
      </c>
      <c r="B106" s="148" t="s">
        <v>1533</v>
      </c>
      <c r="C106" s="148" t="s">
        <v>1761</v>
      </c>
      <c r="D106" s="149" t="s">
        <v>1758</v>
      </c>
      <c r="E106" s="148" t="s">
        <v>689</v>
      </c>
      <c r="F106" s="150" t="s">
        <v>1443</v>
      </c>
      <c r="G106" s="147" t="s">
        <v>1534</v>
      </c>
      <c r="H106" s="147">
        <v>26012222402758</v>
      </c>
      <c r="I106" s="150">
        <v>65</v>
      </c>
      <c r="J106" s="150" t="s">
        <v>688</v>
      </c>
      <c r="K106" s="279">
        <v>46197</v>
      </c>
      <c r="L106" s="287">
        <f t="shared" si="5"/>
        <v>6513</v>
      </c>
      <c r="M106" s="287">
        <f t="shared" si="6"/>
        <v>2500</v>
      </c>
      <c r="N106" s="295" t="str">
        <f t="shared" si="7"/>
        <v/>
      </c>
      <c r="O106" s="287">
        <f t="shared" si="8"/>
        <v>4013</v>
      </c>
      <c r="P106" t="str">
        <f t="shared" si="9"/>
        <v>تامين صحى</v>
      </c>
    </row>
    <row r="107" spans="1:16" ht="15.5" x14ac:dyDescent="0.35">
      <c r="A107" s="137">
        <v>106</v>
      </c>
      <c r="B107" s="133" t="s">
        <v>1535</v>
      </c>
      <c r="C107" s="133" t="s">
        <v>1761</v>
      </c>
      <c r="D107" s="134" t="s">
        <v>1757</v>
      </c>
      <c r="E107" s="133" t="s">
        <v>689</v>
      </c>
      <c r="F107" s="139" t="s">
        <v>459</v>
      </c>
      <c r="G107" s="137" t="s">
        <v>1536</v>
      </c>
      <c r="H107" s="137">
        <v>26811082401284</v>
      </c>
      <c r="I107" s="139">
        <v>58</v>
      </c>
      <c r="J107" s="139" t="s">
        <v>688</v>
      </c>
      <c r="K107" s="280">
        <v>46197</v>
      </c>
      <c r="L107" s="287">
        <f t="shared" si="5"/>
        <v>6513</v>
      </c>
      <c r="M107" s="287">
        <f t="shared" si="6"/>
        <v>2500</v>
      </c>
      <c r="N107" s="295" t="str">
        <f t="shared" si="7"/>
        <v/>
      </c>
      <c r="O107" s="287">
        <f t="shared" si="8"/>
        <v>4013</v>
      </c>
      <c r="P107" t="str">
        <f t="shared" si="9"/>
        <v>تامين صحى</v>
      </c>
    </row>
    <row r="108" spans="1:16" ht="15.5" x14ac:dyDescent="0.35">
      <c r="A108" s="147">
        <v>107</v>
      </c>
      <c r="B108" s="148" t="s">
        <v>1537</v>
      </c>
      <c r="C108" s="148" t="s">
        <v>1761</v>
      </c>
      <c r="D108" s="149" t="s">
        <v>1758</v>
      </c>
      <c r="E108" s="148" t="s">
        <v>1298</v>
      </c>
      <c r="F108" s="150" t="s">
        <v>1271</v>
      </c>
      <c r="G108" s="147" t="s">
        <v>1538</v>
      </c>
      <c r="H108" s="147">
        <v>24709032401996</v>
      </c>
      <c r="I108" s="150">
        <v>79</v>
      </c>
      <c r="J108" s="150"/>
      <c r="K108" s="279">
        <v>46197</v>
      </c>
      <c r="L108" s="287">
        <f t="shared" si="5"/>
        <v>7500</v>
      </c>
      <c r="M108" s="287">
        <f t="shared" si="6"/>
        <v>3000</v>
      </c>
      <c r="N108" s="295">
        <f t="shared" si="7"/>
        <v>4500</v>
      </c>
      <c r="O108" s="287" t="str">
        <f t="shared" si="8"/>
        <v/>
      </c>
      <c r="P108" t="str">
        <f t="shared" si="9"/>
        <v>برايفيت</v>
      </c>
    </row>
    <row r="109" spans="1:16" ht="15.5" x14ac:dyDescent="0.35">
      <c r="A109" s="137">
        <v>108</v>
      </c>
      <c r="B109" s="133" t="s">
        <v>1539</v>
      </c>
      <c r="C109" s="133" t="s">
        <v>1761</v>
      </c>
      <c r="D109" s="134" t="s">
        <v>1757</v>
      </c>
      <c r="E109" s="133" t="s">
        <v>1298</v>
      </c>
      <c r="F109" s="139" t="s">
        <v>1311</v>
      </c>
      <c r="G109" s="137" t="s">
        <v>1540</v>
      </c>
      <c r="H109" s="137">
        <v>27306132401504</v>
      </c>
      <c r="I109" s="139">
        <v>52</v>
      </c>
      <c r="J109" s="139"/>
      <c r="K109" s="280">
        <v>46197</v>
      </c>
      <c r="L109" s="287">
        <f t="shared" si="5"/>
        <v>7500</v>
      </c>
      <c r="M109" s="287">
        <f t="shared" si="6"/>
        <v>3000</v>
      </c>
      <c r="N109" s="295">
        <f t="shared" si="7"/>
        <v>4500</v>
      </c>
      <c r="O109" s="287" t="str">
        <f t="shared" si="8"/>
        <v/>
      </c>
      <c r="P109" t="str">
        <f t="shared" si="9"/>
        <v>برايفيت</v>
      </c>
    </row>
    <row r="110" spans="1:16" ht="15.5" x14ac:dyDescent="0.35">
      <c r="A110" s="147">
        <v>109</v>
      </c>
      <c r="B110" s="148" t="s">
        <v>1541</v>
      </c>
      <c r="C110" s="148" t="s">
        <v>1761</v>
      </c>
      <c r="D110" s="149" t="s">
        <v>1758</v>
      </c>
      <c r="E110" s="148" t="s">
        <v>689</v>
      </c>
      <c r="F110" s="150" t="s">
        <v>1275</v>
      </c>
      <c r="G110" s="147" t="s">
        <v>1542</v>
      </c>
      <c r="H110" s="147">
        <v>25909172400280</v>
      </c>
      <c r="I110" s="150">
        <v>66</v>
      </c>
      <c r="J110" s="150" t="s">
        <v>688</v>
      </c>
      <c r="K110" s="279">
        <v>46201</v>
      </c>
      <c r="L110" s="287">
        <f t="shared" si="5"/>
        <v>6513</v>
      </c>
      <c r="M110" s="287">
        <f t="shared" si="6"/>
        <v>2500</v>
      </c>
      <c r="N110" s="295" t="str">
        <f t="shared" si="7"/>
        <v/>
      </c>
      <c r="O110" s="287">
        <f t="shared" si="8"/>
        <v>4013</v>
      </c>
      <c r="P110" t="str">
        <f t="shared" si="9"/>
        <v>تامين صحى</v>
      </c>
    </row>
    <row r="111" spans="1:16" ht="15.5" x14ac:dyDescent="0.35">
      <c r="A111" s="137">
        <v>110</v>
      </c>
      <c r="B111" s="133" t="s">
        <v>1543</v>
      </c>
      <c r="C111" s="133" t="s">
        <v>1761</v>
      </c>
      <c r="D111" s="134" t="s">
        <v>1758</v>
      </c>
      <c r="E111" s="133" t="s">
        <v>689</v>
      </c>
      <c r="F111" s="139" t="s">
        <v>1443</v>
      </c>
      <c r="G111" s="137" t="s">
        <v>1544</v>
      </c>
      <c r="H111" s="137">
        <v>26201282400352</v>
      </c>
      <c r="I111" s="139">
        <v>64</v>
      </c>
      <c r="J111" s="139" t="s">
        <v>688</v>
      </c>
      <c r="K111" s="280">
        <v>46201</v>
      </c>
      <c r="L111" s="287">
        <f t="shared" si="5"/>
        <v>6513</v>
      </c>
      <c r="M111" s="287">
        <f t="shared" si="6"/>
        <v>2500</v>
      </c>
      <c r="N111" s="295" t="str">
        <f t="shared" si="7"/>
        <v/>
      </c>
      <c r="O111" s="287">
        <f t="shared" si="8"/>
        <v>4013</v>
      </c>
      <c r="P111" t="str">
        <f t="shared" si="9"/>
        <v>تامين صحى</v>
      </c>
    </row>
    <row r="112" spans="1:16" ht="15.5" x14ac:dyDescent="0.35">
      <c r="A112" s="147">
        <v>111</v>
      </c>
      <c r="B112" s="148" t="s">
        <v>1545</v>
      </c>
      <c r="C112" s="148" t="s">
        <v>1761</v>
      </c>
      <c r="D112" s="149" t="s">
        <v>1758</v>
      </c>
      <c r="E112" s="148" t="s">
        <v>689</v>
      </c>
      <c r="F112" s="150" t="s">
        <v>1275</v>
      </c>
      <c r="G112" s="147" t="s">
        <v>1546</v>
      </c>
      <c r="H112" s="147">
        <v>31609252407149</v>
      </c>
      <c r="I112" s="150">
        <v>9</v>
      </c>
      <c r="J112" s="150" t="s">
        <v>688</v>
      </c>
      <c r="K112" s="279">
        <v>46201</v>
      </c>
      <c r="L112" s="287">
        <f t="shared" si="5"/>
        <v>6513</v>
      </c>
      <c r="M112" s="287">
        <f t="shared" si="6"/>
        <v>2500</v>
      </c>
      <c r="N112" s="295" t="str">
        <f t="shared" si="7"/>
        <v/>
      </c>
      <c r="O112" s="287">
        <f t="shared" si="8"/>
        <v>4013</v>
      </c>
      <c r="P112" t="str">
        <f t="shared" si="9"/>
        <v>تامين صحى</v>
      </c>
    </row>
    <row r="113" spans="1:16" ht="15.5" x14ac:dyDescent="0.35">
      <c r="A113" s="137">
        <v>112</v>
      </c>
      <c r="B113" s="133" t="s">
        <v>1547</v>
      </c>
      <c r="C113" s="133" t="s">
        <v>1761</v>
      </c>
      <c r="D113" s="134" t="s">
        <v>1757</v>
      </c>
      <c r="E113" s="133" t="s">
        <v>689</v>
      </c>
      <c r="F113" s="139" t="s">
        <v>212</v>
      </c>
      <c r="G113" s="137" t="s">
        <v>1548</v>
      </c>
      <c r="H113" s="137">
        <v>26007102401398</v>
      </c>
      <c r="I113" s="139">
        <v>66</v>
      </c>
      <c r="J113" s="139" t="s">
        <v>688</v>
      </c>
      <c r="K113" s="280">
        <v>46201</v>
      </c>
      <c r="L113" s="287">
        <f t="shared" si="5"/>
        <v>6513</v>
      </c>
      <c r="M113" s="287">
        <f t="shared" si="6"/>
        <v>2500</v>
      </c>
      <c r="N113" s="295" t="str">
        <f t="shared" si="7"/>
        <v/>
      </c>
      <c r="O113" s="287">
        <f t="shared" si="8"/>
        <v>4013</v>
      </c>
      <c r="P113" t="str">
        <f t="shared" si="9"/>
        <v>تامين صحى</v>
      </c>
    </row>
    <row r="114" spans="1:16" ht="15.5" x14ac:dyDescent="0.35">
      <c r="A114" s="147">
        <v>113</v>
      </c>
      <c r="B114" s="148" t="s">
        <v>1549</v>
      </c>
      <c r="C114" s="148" t="s">
        <v>1761</v>
      </c>
      <c r="D114" s="149" t="s">
        <v>1757</v>
      </c>
      <c r="E114" s="148" t="s">
        <v>689</v>
      </c>
      <c r="F114" s="150" t="s">
        <v>212</v>
      </c>
      <c r="G114" s="147" t="s">
        <v>1550</v>
      </c>
      <c r="H114" s="147">
        <v>26101212401462</v>
      </c>
      <c r="I114" s="150">
        <v>64</v>
      </c>
      <c r="J114" s="150"/>
      <c r="K114" s="279">
        <v>46201</v>
      </c>
      <c r="L114" s="287">
        <f t="shared" si="5"/>
        <v>7500</v>
      </c>
      <c r="M114" s="287">
        <f t="shared" si="6"/>
        <v>3000</v>
      </c>
      <c r="N114" s="295">
        <f t="shared" si="7"/>
        <v>4500</v>
      </c>
      <c r="O114" s="287" t="str">
        <f t="shared" si="8"/>
        <v/>
      </c>
      <c r="P114" t="str">
        <f t="shared" si="9"/>
        <v>برايفيت</v>
      </c>
    </row>
    <row r="115" spans="1:16" ht="15.5" x14ac:dyDescent="0.35">
      <c r="A115" s="137">
        <v>114</v>
      </c>
      <c r="B115" s="133" t="s">
        <v>1551</v>
      </c>
      <c r="C115" s="133" t="s">
        <v>1761</v>
      </c>
      <c r="D115" s="134" t="s">
        <v>1758</v>
      </c>
      <c r="E115" s="133" t="s">
        <v>689</v>
      </c>
      <c r="F115" s="139" t="s">
        <v>1288</v>
      </c>
      <c r="G115" s="137" t="s">
        <v>1552</v>
      </c>
      <c r="H115" s="137">
        <v>25007272200687</v>
      </c>
      <c r="I115" s="139">
        <v>61</v>
      </c>
      <c r="J115" s="139"/>
      <c r="K115" s="280">
        <v>46201</v>
      </c>
      <c r="L115" s="287">
        <f t="shared" si="5"/>
        <v>7500</v>
      </c>
      <c r="M115" s="287">
        <f t="shared" si="6"/>
        <v>3000</v>
      </c>
      <c r="N115" s="295">
        <f t="shared" si="7"/>
        <v>4500</v>
      </c>
      <c r="O115" s="287" t="str">
        <f t="shared" si="8"/>
        <v/>
      </c>
      <c r="P115" t="str">
        <f t="shared" si="9"/>
        <v>برايفيت</v>
      </c>
    </row>
    <row r="116" spans="1:16" ht="15.5" x14ac:dyDescent="0.35">
      <c r="A116" s="147">
        <v>115</v>
      </c>
      <c r="B116" s="148" t="s">
        <v>1553</v>
      </c>
      <c r="C116" s="148" t="s">
        <v>1761</v>
      </c>
      <c r="D116" s="149" t="s">
        <v>1757</v>
      </c>
      <c r="E116" s="148" t="s">
        <v>1730</v>
      </c>
      <c r="F116" s="150" t="s">
        <v>1275</v>
      </c>
      <c r="G116" s="147" t="s">
        <v>1554</v>
      </c>
      <c r="H116" s="147">
        <v>25210112401171</v>
      </c>
      <c r="I116" s="150">
        <v>73</v>
      </c>
      <c r="J116" s="150" t="s">
        <v>688</v>
      </c>
      <c r="K116" s="279">
        <v>46203</v>
      </c>
      <c r="L116" s="287">
        <f t="shared" si="5"/>
        <v>6513</v>
      </c>
      <c r="M116" s="287">
        <f t="shared" si="6"/>
        <v>2500</v>
      </c>
      <c r="N116" s="295" t="str">
        <f t="shared" si="7"/>
        <v/>
      </c>
      <c r="O116" s="287">
        <f t="shared" si="8"/>
        <v>4013</v>
      </c>
      <c r="P116" t="str">
        <f t="shared" si="9"/>
        <v>تامين صحى</v>
      </c>
    </row>
    <row r="117" spans="1:16" ht="15.5" x14ac:dyDescent="0.35">
      <c r="A117" s="137">
        <v>116</v>
      </c>
      <c r="B117" s="133" t="s">
        <v>1555</v>
      </c>
      <c r="C117" s="133" t="s">
        <v>1766</v>
      </c>
      <c r="D117" s="134" t="s">
        <v>1757</v>
      </c>
      <c r="E117" s="133" t="s">
        <v>1730</v>
      </c>
      <c r="F117" s="139" t="s">
        <v>1271</v>
      </c>
      <c r="G117" s="137" t="s">
        <v>1556</v>
      </c>
      <c r="H117" s="137">
        <v>25808282400911</v>
      </c>
      <c r="I117" s="139">
        <v>67</v>
      </c>
      <c r="J117" s="139" t="s">
        <v>688</v>
      </c>
      <c r="K117" s="280">
        <v>46203</v>
      </c>
      <c r="L117" s="287">
        <f t="shared" si="5"/>
        <v>18100</v>
      </c>
      <c r="M117" s="287">
        <f t="shared" si="6"/>
        <v>8000</v>
      </c>
      <c r="N117" s="295" t="str">
        <f t="shared" si="7"/>
        <v/>
      </c>
      <c r="O117" s="287">
        <f t="shared" si="8"/>
        <v>10100</v>
      </c>
      <c r="P117" t="str">
        <f t="shared" si="9"/>
        <v>تامين صحى</v>
      </c>
    </row>
    <row r="118" spans="1:16" ht="31" x14ac:dyDescent="0.35">
      <c r="A118" s="147">
        <v>117</v>
      </c>
      <c r="B118" s="148" t="s">
        <v>1557</v>
      </c>
      <c r="C118" s="148" t="s">
        <v>1771</v>
      </c>
      <c r="D118" s="149" t="s">
        <v>1757</v>
      </c>
      <c r="E118" s="148" t="s">
        <v>1730</v>
      </c>
      <c r="F118" s="150" t="s">
        <v>212</v>
      </c>
      <c r="G118" s="147" t="s">
        <v>1558</v>
      </c>
      <c r="H118" s="147">
        <v>32501152403217</v>
      </c>
      <c r="I118" s="150" t="s">
        <v>1559</v>
      </c>
      <c r="J118" s="150"/>
      <c r="K118" s="279">
        <v>46203</v>
      </c>
      <c r="L118" s="287">
        <v>10000</v>
      </c>
      <c r="M118" s="287">
        <v>3000</v>
      </c>
      <c r="N118" s="295">
        <f t="shared" si="7"/>
        <v>7000</v>
      </c>
      <c r="O118" s="287" t="str">
        <f t="shared" si="8"/>
        <v/>
      </c>
      <c r="P118" t="str">
        <f t="shared" si="9"/>
        <v>برايفيت</v>
      </c>
    </row>
    <row r="119" spans="1:16" ht="15.5" x14ac:dyDescent="0.35">
      <c r="A119" s="137">
        <v>118</v>
      </c>
      <c r="B119" s="133" t="s">
        <v>1560</v>
      </c>
      <c r="C119" s="133" t="s">
        <v>1761</v>
      </c>
      <c r="D119" s="134" t="s">
        <v>1757</v>
      </c>
      <c r="E119" s="133" t="s">
        <v>1730</v>
      </c>
      <c r="F119" s="139" t="s">
        <v>1275</v>
      </c>
      <c r="G119" s="137" t="s">
        <v>1561</v>
      </c>
      <c r="H119" s="137">
        <v>26911302400912</v>
      </c>
      <c r="I119" s="139">
        <v>56</v>
      </c>
      <c r="J119" s="139" t="s">
        <v>688</v>
      </c>
      <c r="K119" s="280">
        <v>46203</v>
      </c>
      <c r="L119" s="287">
        <f t="shared" si="5"/>
        <v>6513</v>
      </c>
      <c r="M119" s="287">
        <f t="shared" si="6"/>
        <v>2500</v>
      </c>
      <c r="N119" s="295" t="str">
        <f t="shared" si="7"/>
        <v/>
      </c>
      <c r="O119" s="287">
        <f t="shared" si="8"/>
        <v>4013</v>
      </c>
      <c r="P119" t="str">
        <f t="shared" si="9"/>
        <v>تامين صحى</v>
      </c>
    </row>
    <row r="120" spans="1:16" ht="15.5" x14ac:dyDescent="0.35">
      <c r="A120" s="147">
        <v>119</v>
      </c>
      <c r="B120" s="148" t="s">
        <v>1562</v>
      </c>
      <c r="C120" s="148" t="s">
        <v>1761</v>
      </c>
      <c r="D120" s="149" t="s">
        <v>1757</v>
      </c>
      <c r="E120" s="148" t="s">
        <v>1730</v>
      </c>
      <c r="F120" s="150" t="s">
        <v>1443</v>
      </c>
      <c r="G120" s="147" t="s">
        <v>1563</v>
      </c>
      <c r="H120" s="147">
        <v>26907202401795</v>
      </c>
      <c r="I120" s="150">
        <v>56</v>
      </c>
      <c r="J120" s="150" t="s">
        <v>688</v>
      </c>
      <c r="K120" s="279">
        <v>46203</v>
      </c>
      <c r="L120" s="287">
        <f t="shared" si="5"/>
        <v>6513</v>
      </c>
      <c r="M120" s="287">
        <f t="shared" si="6"/>
        <v>2500</v>
      </c>
      <c r="N120" s="295" t="str">
        <f t="shared" si="7"/>
        <v/>
      </c>
      <c r="O120" s="287">
        <f t="shared" si="8"/>
        <v>4013</v>
      </c>
      <c r="P120" t="str">
        <f t="shared" si="9"/>
        <v>تامين صحى</v>
      </c>
    </row>
    <row r="121" spans="1:16" ht="15.5" x14ac:dyDescent="0.35">
      <c r="A121" s="137">
        <v>120</v>
      </c>
      <c r="B121" s="133" t="s">
        <v>1564</v>
      </c>
      <c r="C121" s="133" t="s">
        <v>1761</v>
      </c>
      <c r="D121" s="134" t="s">
        <v>1757</v>
      </c>
      <c r="E121" s="133" t="s">
        <v>1730</v>
      </c>
      <c r="F121" s="139" t="s">
        <v>1275</v>
      </c>
      <c r="G121" s="137" t="s">
        <v>1565</v>
      </c>
      <c r="H121" s="137">
        <v>27011052400043</v>
      </c>
      <c r="I121" s="139">
        <v>55</v>
      </c>
      <c r="J121" s="139" t="s">
        <v>688</v>
      </c>
      <c r="K121" s="280">
        <v>46203</v>
      </c>
      <c r="L121" s="287">
        <f t="shared" si="5"/>
        <v>6513</v>
      </c>
      <c r="M121" s="287">
        <f t="shared" si="6"/>
        <v>2500</v>
      </c>
      <c r="N121" s="295" t="str">
        <f t="shared" si="7"/>
        <v/>
      </c>
      <c r="O121" s="287">
        <f t="shared" si="8"/>
        <v>4013</v>
      </c>
      <c r="P121" t="str">
        <f t="shared" si="9"/>
        <v>تامين صحى</v>
      </c>
    </row>
    <row r="122" spans="1:16" ht="15.5" x14ac:dyDescent="0.35">
      <c r="A122" s="147">
        <v>121</v>
      </c>
      <c r="B122" s="148" t="s">
        <v>1566</v>
      </c>
      <c r="C122" s="148" t="s">
        <v>1761</v>
      </c>
      <c r="D122" s="149" t="s">
        <v>1757</v>
      </c>
      <c r="E122" s="148" t="s">
        <v>689</v>
      </c>
      <c r="F122" s="150" t="s">
        <v>212</v>
      </c>
      <c r="G122" s="147" t="s">
        <v>1567</v>
      </c>
      <c r="H122" s="147">
        <v>25610102401597</v>
      </c>
      <c r="I122" s="150">
        <v>70</v>
      </c>
      <c r="J122" s="150" t="s">
        <v>688</v>
      </c>
      <c r="K122" s="279">
        <v>46204</v>
      </c>
      <c r="L122" s="287">
        <f t="shared" si="5"/>
        <v>6513</v>
      </c>
      <c r="M122" s="287">
        <f t="shared" si="6"/>
        <v>2500</v>
      </c>
      <c r="N122" s="295" t="str">
        <f t="shared" si="7"/>
        <v/>
      </c>
      <c r="O122" s="287">
        <f t="shared" si="8"/>
        <v>4013</v>
      </c>
      <c r="P122" t="str">
        <f t="shared" si="9"/>
        <v>تامين صحى</v>
      </c>
    </row>
    <row r="123" spans="1:16" ht="15.5" x14ac:dyDescent="0.35">
      <c r="A123" s="137">
        <v>122</v>
      </c>
      <c r="B123" s="133" t="s">
        <v>1568</v>
      </c>
      <c r="C123" s="133" t="s">
        <v>1761</v>
      </c>
      <c r="D123" s="134" t="s">
        <v>1757</v>
      </c>
      <c r="E123" s="133" t="s">
        <v>689</v>
      </c>
      <c r="F123" s="139" t="s">
        <v>212</v>
      </c>
      <c r="G123" s="137" t="s">
        <v>1569</v>
      </c>
      <c r="H123" s="137">
        <v>26301202401706</v>
      </c>
      <c r="I123" s="139">
        <v>63</v>
      </c>
      <c r="J123" s="139" t="s">
        <v>688</v>
      </c>
      <c r="K123" s="280">
        <v>46204</v>
      </c>
      <c r="L123" s="287">
        <f t="shared" si="5"/>
        <v>6513</v>
      </c>
      <c r="M123" s="287">
        <f t="shared" si="6"/>
        <v>2500</v>
      </c>
      <c r="N123" s="295" t="str">
        <f t="shared" si="7"/>
        <v/>
      </c>
      <c r="O123" s="287">
        <f t="shared" si="8"/>
        <v>4013</v>
      </c>
      <c r="P123" t="str">
        <f t="shared" si="9"/>
        <v>تامين صحى</v>
      </c>
    </row>
    <row r="124" spans="1:16" ht="15.5" x14ac:dyDescent="0.35">
      <c r="A124" s="147">
        <v>123</v>
      </c>
      <c r="B124" s="148" t="s">
        <v>1570</v>
      </c>
      <c r="C124" s="148" t="s">
        <v>1761</v>
      </c>
      <c r="D124" s="149" t="s">
        <v>1758</v>
      </c>
      <c r="E124" s="148" t="s">
        <v>689</v>
      </c>
      <c r="F124" s="150" t="s">
        <v>1278</v>
      </c>
      <c r="G124" s="147" t="s">
        <v>1571</v>
      </c>
      <c r="H124" s="147">
        <v>25901072400366</v>
      </c>
      <c r="I124" s="150">
        <v>66</v>
      </c>
      <c r="J124" s="150" t="s">
        <v>688</v>
      </c>
      <c r="K124" s="279">
        <v>46204</v>
      </c>
      <c r="L124" s="287">
        <f t="shared" si="5"/>
        <v>6513</v>
      </c>
      <c r="M124" s="287">
        <f t="shared" si="6"/>
        <v>2500</v>
      </c>
      <c r="N124" s="295" t="str">
        <f t="shared" si="7"/>
        <v/>
      </c>
      <c r="O124" s="287">
        <f t="shared" si="8"/>
        <v>4013</v>
      </c>
      <c r="P124" t="str">
        <f t="shared" si="9"/>
        <v>تامين صحى</v>
      </c>
    </row>
    <row r="125" spans="1:16" ht="15.5" x14ac:dyDescent="0.35">
      <c r="A125" s="137">
        <v>124</v>
      </c>
      <c r="B125" s="133" t="s">
        <v>1572</v>
      </c>
      <c r="C125" s="133" t="s">
        <v>1761</v>
      </c>
      <c r="D125" s="134" t="s">
        <v>1757</v>
      </c>
      <c r="E125" s="133" t="s">
        <v>1298</v>
      </c>
      <c r="F125" s="139" t="s">
        <v>212</v>
      </c>
      <c r="G125" s="137" t="s">
        <v>1573</v>
      </c>
      <c r="H125" s="137">
        <v>27406292401971</v>
      </c>
      <c r="I125" s="139">
        <v>50</v>
      </c>
      <c r="J125" s="139"/>
      <c r="K125" s="280">
        <v>46204</v>
      </c>
      <c r="L125" s="287">
        <f t="shared" si="5"/>
        <v>7500</v>
      </c>
      <c r="M125" s="287">
        <f t="shared" si="6"/>
        <v>3000</v>
      </c>
      <c r="N125" s="295">
        <f t="shared" si="7"/>
        <v>4500</v>
      </c>
      <c r="O125" s="287" t="str">
        <f t="shared" si="8"/>
        <v/>
      </c>
      <c r="P125" t="str">
        <f t="shared" si="9"/>
        <v>برايفيت</v>
      </c>
    </row>
    <row r="126" spans="1:16" ht="31" x14ac:dyDescent="0.35">
      <c r="A126" s="147">
        <v>125</v>
      </c>
      <c r="B126" s="148" t="s">
        <v>1215</v>
      </c>
      <c r="C126" s="148" t="s">
        <v>1772</v>
      </c>
      <c r="D126" s="149" t="s">
        <v>1757</v>
      </c>
      <c r="E126" s="148" t="s">
        <v>1298</v>
      </c>
      <c r="F126" s="150" t="s">
        <v>1288</v>
      </c>
      <c r="G126" s="147" t="s">
        <v>1574</v>
      </c>
      <c r="H126" s="147">
        <v>30110012213128</v>
      </c>
      <c r="I126" s="150">
        <v>24</v>
      </c>
      <c r="J126" s="150"/>
      <c r="K126" s="279">
        <v>46204</v>
      </c>
      <c r="L126" s="287">
        <v>25000</v>
      </c>
      <c r="M126" s="287">
        <v>18000</v>
      </c>
      <c r="N126" s="295">
        <f t="shared" si="7"/>
        <v>7000</v>
      </c>
      <c r="O126" s="287" t="str">
        <f t="shared" si="8"/>
        <v/>
      </c>
      <c r="P126" t="str">
        <f t="shared" si="9"/>
        <v>برايفيت</v>
      </c>
    </row>
    <row r="127" spans="1:16" ht="15.5" x14ac:dyDescent="0.35">
      <c r="A127" s="137">
        <v>126</v>
      </c>
      <c r="B127" s="133" t="s">
        <v>1575</v>
      </c>
      <c r="C127" s="133" t="s">
        <v>1761</v>
      </c>
      <c r="D127" s="134" t="s">
        <v>1757</v>
      </c>
      <c r="E127" s="133" t="s">
        <v>689</v>
      </c>
      <c r="F127" s="139" t="s">
        <v>1443</v>
      </c>
      <c r="G127" s="137" t="s">
        <v>1576</v>
      </c>
      <c r="H127" s="137">
        <v>26910132401408</v>
      </c>
      <c r="I127" s="139">
        <v>57</v>
      </c>
      <c r="J127" s="139" t="s">
        <v>688</v>
      </c>
      <c r="K127" s="280">
        <v>46208</v>
      </c>
      <c r="L127" s="287">
        <f t="shared" si="5"/>
        <v>6513</v>
      </c>
      <c r="M127" s="287">
        <f t="shared" si="6"/>
        <v>2500</v>
      </c>
      <c r="N127" s="295" t="str">
        <f t="shared" si="7"/>
        <v/>
      </c>
      <c r="O127" s="287">
        <f t="shared" si="8"/>
        <v>4013</v>
      </c>
      <c r="P127" t="str">
        <f t="shared" si="9"/>
        <v>تامين صحى</v>
      </c>
    </row>
    <row r="128" spans="1:16" ht="15.5" x14ac:dyDescent="0.35">
      <c r="A128" s="147">
        <v>127</v>
      </c>
      <c r="B128" s="148" t="s">
        <v>1577</v>
      </c>
      <c r="C128" s="148" t="s">
        <v>1761</v>
      </c>
      <c r="D128" s="149" t="s">
        <v>1757</v>
      </c>
      <c r="E128" s="148" t="s">
        <v>689</v>
      </c>
      <c r="F128" s="150" t="s">
        <v>1311</v>
      </c>
      <c r="G128" s="147" t="s">
        <v>1578</v>
      </c>
      <c r="H128" s="147">
        <v>26205042400458</v>
      </c>
      <c r="I128" s="150">
        <v>64</v>
      </c>
      <c r="J128" s="150" t="s">
        <v>688</v>
      </c>
      <c r="K128" s="279">
        <v>46208</v>
      </c>
      <c r="L128" s="287">
        <f t="shared" si="5"/>
        <v>6513</v>
      </c>
      <c r="M128" s="287">
        <f t="shared" si="6"/>
        <v>2500</v>
      </c>
      <c r="N128" s="295" t="str">
        <f t="shared" si="7"/>
        <v/>
      </c>
      <c r="O128" s="287">
        <f t="shared" si="8"/>
        <v>4013</v>
      </c>
      <c r="P128" t="str">
        <f t="shared" si="9"/>
        <v>تامين صحى</v>
      </c>
    </row>
    <row r="129" spans="1:16" ht="15.5" x14ac:dyDescent="0.35">
      <c r="A129" s="137">
        <v>128</v>
      </c>
      <c r="B129" s="133" t="s">
        <v>1579</v>
      </c>
      <c r="C129" s="133" t="s">
        <v>1761</v>
      </c>
      <c r="D129" s="134" t="s">
        <v>1758</v>
      </c>
      <c r="E129" s="133" t="s">
        <v>689</v>
      </c>
      <c r="F129" s="139" t="s">
        <v>1275</v>
      </c>
      <c r="G129" s="137" t="s">
        <v>1580</v>
      </c>
      <c r="H129" s="137">
        <v>31301052405473</v>
      </c>
      <c r="I129" s="139">
        <v>13</v>
      </c>
      <c r="J129" s="139" t="s">
        <v>688</v>
      </c>
      <c r="K129" s="280">
        <v>46208</v>
      </c>
      <c r="L129" s="287">
        <f t="shared" si="5"/>
        <v>6513</v>
      </c>
      <c r="M129" s="287">
        <f t="shared" si="6"/>
        <v>2500</v>
      </c>
      <c r="N129" s="295" t="str">
        <f t="shared" si="7"/>
        <v/>
      </c>
      <c r="O129" s="287">
        <f t="shared" si="8"/>
        <v>4013</v>
      </c>
      <c r="P129" t="str">
        <f t="shared" si="9"/>
        <v>تامين صحى</v>
      </c>
    </row>
    <row r="130" spans="1:16" ht="15.5" x14ac:dyDescent="0.35">
      <c r="A130" s="147">
        <v>129</v>
      </c>
      <c r="B130" s="148" t="s">
        <v>1581</v>
      </c>
      <c r="C130" s="148" t="s">
        <v>1761</v>
      </c>
      <c r="D130" s="149" t="s">
        <v>1758</v>
      </c>
      <c r="E130" s="148" t="s">
        <v>689</v>
      </c>
      <c r="F130" s="150" t="s">
        <v>212</v>
      </c>
      <c r="G130" s="147" t="s">
        <v>1582</v>
      </c>
      <c r="H130" s="147">
        <v>27207081401701</v>
      </c>
      <c r="I130" s="150">
        <v>54</v>
      </c>
      <c r="J130" s="150" t="s">
        <v>688</v>
      </c>
      <c r="K130" s="279">
        <v>46208</v>
      </c>
      <c r="L130" s="287">
        <f t="shared" si="5"/>
        <v>6513</v>
      </c>
      <c r="M130" s="287">
        <f t="shared" si="6"/>
        <v>2500</v>
      </c>
      <c r="N130" s="295" t="str">
        <f t="shared" si="7"/>
        <v/>
      </c>
      <c r="O130" s="287">
        <f t="shared" si="8"/>
        <v>4013</v>
      </c>
      <c r="P130" t="str">
        <f t="shared" si="9"/>
        <v>تامين صحى</v>
      </c>
    </row>
    <row r="131" spans="1:16" ht="15.5" x14ac:dyDescent="0.35">
      <c r="A131" s="137">
        <v>130</v>
      </c>
      <c r="B131" s="133" t="s">
        <v>1583</v>
      </c>
      <c r="C131" s="133" t="s">
        <v>1761</v>
      </c>
      <c r="D131" s="134" t="s">
        <v>1758</v>
      </c>
      <c r="E131" s="133" t="s">
        <v>689</v>
      </c>
      <c r="F131" s="139" t="s">
        <v>1288</v>
      </c>
      <c r="G131" s="137" t="s">
        <v>1584</v>
      </c>
      <c r="H131" s="137">
        <v>27811052201632</v>
      </c>
      <c r="I131" s="139">
        <v>65</v>
      </c>
      <c r="J131" s="139"/>
      <c r="K131" s="280">
        <v>46208</v>
      </c>
      <c r="L131" s="287">
        <f t="shared" ref="L131:L194" si="10">IF(COUNTIFS($Q$2:$Q$30,TRIM($C131),$R$2:$R$30,$P131)=0,"",SUMIFS($S$2:$S$30,$Q$2:$Q$30,TRIM($C131),$R$2:$R$30,$P131))</f>
        <v>7500</v>
      </c>
      <c r="M131" s="287">
        <f t="shared" ref="M131:M194" si="11">IF($L131="","",SUMIFS($T$2:$T$30,$Q$2:$Q$30,TRIM($C131),$R$2:$R$30,$P131))</f>
        <v>3000</v>
      </c>
      <c r="N131" s="295">
        <f t="shared" ref="N131:N194" si="12">IF($L131="","",IF($P131="برايفيت",$L131-$M131,""))</f>
        <v>4500</v>
      </c>
      <c r="O131" s="287" t="str">
        <f t="shared" ref="O131:O194" si="13">IF($L131="","",IF($P131="برايفيت","",$L131-$M131))</f>
        <v/>
      </c>
      <c r="P131" t="str">
        <f t="shared" ref="P131:P194" si="14">IF(TRIM($J131)="","برايفيت",TRIM($J131))</f>
        <v>برايفيت</v>
      </c>
    </row>
    <row r="132" spans="1:16" ht="15.5" x14ac:dyDescent="0.35">
      <c r="A132" s="147">
        <v>131</v>
      </c>
      <c r="B132" s="148" t="s">
        <v>1585</v>
      </c>
      <c r="C132" s="148" t="s">
        <v>1761</v>
      </c>
      <c r="D132" s="149" t="s">
        <v>1758</v>
      </c>
      <c r="E132" s="148" t="s">
        <v>1730</v>
      </c>
      <c r="F132" s="150" t="s">
        <v>1271</v>
      </c>
      <c r="G132" s="147" t="s">
        <v>1586</v>
      </c>
      <c r="H132" s="147">
        <v>25808222401382</v>
      </c>
      <c r="I132" s="150">
        <v>76</v>
      </c>
      <c r="J132" s="150"/>
      <c r="K132" s="279">
        <v>46210</v>
      </c>
      <c r="L132" s="287">
        <f t="shared" si="10"/>
        <v>7500</v>
      </c>
      <c r="M132" s="287">
        <f t="shared" si="11"/>
        <v>3000</v>
      </c>
      <c r="N132" s="295">
        <f t="shared" si="12"/>
        <v>4500</v>
      </c>
      <c r="O132" s="287" t="str">
        <f t="shared" si="13"/>
        <v/>
      </c>
      <c r="P132" t="str">
        <f t="shared" si="14"/>
        <v>برايفيت</v>
      </c>
    </row>
    <row r="133" spans="1:16" ht="15.5" x14ac:dyDescent="0.35">
      <c r="A133" s="137">
        <v>132</v>
      </c>
      <c r="B133" s="133" t="s">
        <v>1587</v>
      </c>
      <c r="C133" s="133" t="s">
        <v>1761</v>
      </c>
      <c r="D133" s="134" t="s">
        <v>1758</v>
      </c>
      <c r="E133" s="133" t="s">
        <v>1730</v>
      </c>
      <c r="F133" s="139" t="s">
        <v>1275</v>
      </c>
      <c r="G133" s="137" t="s">
        <v>1588</v>
      </c>
      <c r="H133" s="137">
        <v>25303122400996</v>
      </c>
      <c r="I133" s="139">
        <v>73</v>
      </c>
      <c r="J133" s="139" t="s">
        <v>688</v>
      </c>
      <c r="K133" s="280">
        <v>46210</v>
      </c>
      <c r="L133" s="287">
        <f t="shared" si="10"/>
        <v>6513</v>
      </c>
      <c r="M133" s="287">
        <f t="shared" si="11"/>
        <v>2500</v>
      </c>
      <c r="N133" s="295" t="str">
        <f t="shared" si="12"/>
        <v/>
      </c>
      <c r="O133" s="287">
        <f t="shared" si="13"/>
        <v>4013</v>
      </c>
      <c r="P133" t="str">
        <f t="shared" si="14"/>
        <v>تامين صحى</v>
      </c>
    </row>
    <row r="134" spans="1:16" ht="15.5" x14ac:dyDescent="0.35">
      <c r="A134" s="147">
        <v>133</v>
      </c>
      <c r="B134" s="148" t="s">
        <v>1589</v>
      </c>
      <c r="C134" s="148" t="s">
        <v>1766</v>
      </c>
      <c r="D134" s="149" t="s">
        <v>1758</v>
      </c>
      <c r="E134" s="148" t="s">
        <v>1730</v>
      </c>
      <c r="F134" s="150" t="s">
        <v>1389</v>
      </c>
      <c r="G134" s="147" t="s">
        <v>1590</v>
      </c>
      <c r="H134" s="147">
        <v>25601042402573</v>
      </c>
      <c r="I134" s="150">
        <v>70</v>
      </c>
      <c r="J134" s="150" t="s">
        <v>688</v>
      </c>
      <c r="K134" s="279">
        <v>46210</v>
      </c>
      <c r="L134" s="287">
        <f t="shared" si="10"/>
        <v>18100</v>
      </c>
      <c r="M134" s="287">
        <f t="shared" si="11"/>
        <v>8000</v>
      </c>
      <c r="N134" s="295" t="str">
        <f t="shared" si="12"/>
        <v/>
      </c>
      <c r="O134" s="287">
        <f t="shared" si="13"/>
        <v>10100</v>
      </c>
      <c r="P134" t="str">
        <f t="shared" si="14"/>
        <v>تامين صحى</v>
      </c>
    </row>
    <row r="135" spans="1:16" ht="31" x14ac:dyDescent="0.35">
      <c r="A135" s="137">
        <v>134</v>
      </c>
      <c r="B135" s="133" t="s">
        <v>1591</v>
      </c>
      <c r="C135" s="133" t="s">
        <v>1773</v>
      </c>
      <c r="D135" s="134" t="s">
        <v>1757</v>
      </c>
      <c r="E135" s="133" t="s">
        <v>689</v>
      </c>
      <c r="F135" s="139" t="s">
        <v>459</v>
      </c>
      <c r="G135" s="137" t="s">
        <v>1592</v>
      </c>
      <c r="H135" s="137">
        <v>31908312400138</v>
      </c>
      <c r="I135" s="139">
        <v>7</v>
      </c>
      <c r="J135" s="139" t="s">
        <v>688</v>
      </c>
      <c r="K135" s="280">
        <v>46211</v>
      </c>
      <c r="L135" s="287">
        <v>5544</v>
      </c>
      <c r="M135" s="287">
        <v>1500</v>
      </c>
      <c r="N135" s="295" t="str">
        <f t="shared" si="12"/>
        <v/>
      </c>
      <c r="O135" s="287">
        <f t="shared" si="13"/>
        <v>4044</v>
      </c>
      <c r="P135" t="str">
        <f t="shared" si="14"/>
        <v>تامين صحى</v>
      </c>
    </row>
    <row r="136" spans="1:16" ht="15.5" x14ac:dyDescent="0.35">
      <c r="A136" s="147">
        <v>135</v>
      </c>
      <c r="B136" s="148" t="s">
        <v>1593</v>
      </c>
      <c r="C136" s="148" t="s">
        <v>1761</v>
      </c>
      <c r="D136" s="149" t="s">
        <v>1758</v>
      </c>
      <c r="E136" s="148" t="s">
        <v>689</v>
      </c>
      <c r="F136" s="150" t="s">
        <v>459</v>
      </c>
      <c r="G136" s="147" t="s">
        <v>1594</v>
      </c>
      <c r="H136" s="147">
        <v>27104192401021</v>
      </c>
      <c r="I136" s="150">
        <v>55</v>
      </c>
      <c r="J136" s="150"/>
      <c r="K136" s="279">
        <v>46211</v>
      </c>
      <c r="L136" s="287">
        <f t="shared" si="10"/>
        <v>7500</v>
      </c>
      <c r="M136" s="287">
        <f t="shared" si="11"/>
        <v>3000</v>
      </c>
      <c r="N136" s="295">
        <f t="shared" si="12"/>
        <v>4500</v>
      </c>
      <c r="O136" s="287" t="str">
        <f t="shared" si="13"/>
        <v/>
      </c>
      <c r="P136" t="str">
        <f t="shared" si="14"/>
        <v>برايفيت</v>
      </c>
    </row>
    <row r="137" spans="1:16" ht="15.5" x14ac:dyDescent="0.35">
      <c r="A137" s="137">
        <v>136</v>
      </c>
      <c r="B137" s="133" t="s">
        <v>1595</v>
      </c>
      <c r="C137" s="133" t="s">
        <v>1761</v>
      </c>
      <c r="D137" s="134" t="s">
        <v>1758</v>
      </c>
      <c r="E137" s="133" t="s">
        <v>689</v>
      </c>
      <c r="F137" s="139" t="s">
        <v>459</v>
      </c>
      <c r="G137" s="137" t="s">
        <v>1596</v>
      </c>
      <c r="H137" s="137">
        <v>26506262401501</v>
      </c>
      <c r="I137" s="139">
        <v>61</v>
      </c>
      <c r="J137" s="139" t="s">
        <v>1433</v>
      </c>
      <c r="K137" s="280">
        <v>46211</v>
      </c>
      <c r="L137" s="287">
        <f t="shared" si="10"/>
        <v>6513</v>
      </c>
      <c r="M137" s="287">
        <f t="shared" si="11"/>
        <v>2500</v>
      </c>
      <c r="N137" s="295" t="str">
        <f t="shared" si="12"/>
        <v/>
      </c>
      <c r="O137" s="287">
        <f t="shared" si="13"/>
        <v>4013</v>
      </c>
      <c r="P137" t="str">
        <f t="shared" si="14"/>
        <v>نفقة دوله</v>
      </c>
    </row>
    <row r="138" spans="1:16" ht="15.5" x14ac:dyDescent="0.35">
      <c r="A138" s="147">
        <v>137</v>
      </c>
      <c r="B138" s="148" t="s">
        <v>1597</v>
      </c>
      <c r="C138" s="148" t="s">
        <v>1761</v>
      </c>
      <c r="D138" s="149" t="s">
        <v>1757</v>
      </c>
      <c r="E138" s="148" t="s">
        <v>1475</v>
      </c>
      <c r="F138" s="150" t="s">
        <v>1278</v>
      </c>
      <c r="G138" s="147" t="s">
        <v>1598</v>
      </c>
      <c r="H138" s="147">
        <v>29009252401861</v>
      </c>
      <c r="I138" s="150">
        <v>35</v>
      </c>
      <c r="J138" s="150" t="s">
        <v>688</v>
      </c>
      <c r="K138" s="279">
        <v>46211</v>
      </c>
      <c r="L138" s="287">
        <f t="shared" si="10"/>
        <v>6513</v>
      </c>
      <c r="M138" s="287">
        <f t="shared" si="11"/>
        <v>2500</v>
      </c>
      <c r="N138" s="295" t="str">
        <f t="shared" si="12"/>
        <v/>
      </c>
      <c r="O138" s="287">
        <f t="shared" si="13"/>
        <v>4013</v>
      </c>
      <c r="P138" t="str">
        <f t="shared" si="14"/>
        <v>تامين صحى</v>
      </c>
    </row>
    <row r="139" spans="1:16" ht="15.5" x14ac:dyDescent="0.35">
      <c r="A139" s="137">
        <v>138</v>
      </c>
      <c r="B139" s="133" t="s">
        <v>1599</v>
      </c>
      <c r="C139" s="133" t="s">
        <v>1761</v>
      </c>
      <c r="D139" s="134" t="s">
        <v>1757</v>
      </c>
      <c r="E139" s="133" t="s">
        <v>1298</v>
      </c>
      <c r="F139" s="139" t="s">
        <v>1275</v>
      </c>
      <c r="G139" s="137" t="s">
        <v>1600</v>
      </c>
      <c r="H139" s="137">
        <v>26009212400934</v>
      </c>
      <c r="I139" s="139">
        <v>66</v>
      </c>
      <c r="J139" s="139" t="s">
        <v>688</v>
      </c>
      <c r="K139" s="280">
        <v>46211</v>
      </c>
      <c r="L139" s="287">
        <f t="shared" si="10"/>
        <v>6513</v>
      </c>
      <c r="M139" s="287">
        <f t="shared" si="11"/>
        <v>2500</v>
      </c>
      <c r="N139" s="295" t="str">
        <f t="shared" si="12"/>
        <v/>
      </c>
      <c r="O139" s="287">
        <f t="shared" si="13"/>
        <v>4013</v>
      </c>
      <c r="P139" t="str">
        <f t="shared" si="14"/>
        <v>تامين صحى</v>
      </c>
    </row>
    <row r="140" spans="1:16" ht="15.5" x14ac:dyDescent="0.35">
      <c r="A140" s="147">
        <v>139</v>
      </c>
      <c r="B140" s="148" t="s">
        <v>1601</v>
      </c>
      <c r="C140" s="148" t="s">
        <v>1761</v>
      </c>
      <c r="D140" s="149" t="s">
        <v>1757</v>
      </c>
      <c r="E140" s="148" t="s">
        <v>1298</v>
      </c>
      <c r="F140" s="150" t="s">
        <v>459</v>
      </c>
      <c r="G140" s="147" t="s">
        <v>1602</v>
      </c>
      <c r="H140" s="147">
        <v>25807012403165</v>
      </c>
      <c r="I140" s="150">
        <v>65</v>
      </c>
      <c r="J140" s="150"/>
      <c r="K140" s="279">
        <v>46211</v>
      </c>
      <c r="L140" s="287">
        <f t="shared" si="10"/>
        <v>7500</v>
      </c>
      <c r="M140" s="287">
        <f t="shared" si="11"/>
        <v>3000</v>
      </c>
      <c r="N140" s="295">
        <f t="shared" si="12"/>
        <v>4500</v>
      </c>
      <c r="O140" s="287" t="str">
        <f t="shared" si="13"/>
        <v/>
      </c>
      <c r="P140" t="str">
        <f t="shared" si="14"/>
        <v>برايفيت</v>
      </c>
    </row>
    <row r="141" spans="1:16" ht="15.5" x14ac:dyDescent="0.35">
      <c r="A141" s="137">
        <v>140</v>
      </c>
      <c r="B141" s="133" t="s">
        <v>1170</v>
      </c>
      <c r="C141" s="133" t="s">
        <v>1761</v>
      </c>
      <c r="D141" s="134" t="s">
        <v>1757</v>
      </c>
      <c r="E141" s="133" t="s">
        <v>1298</v>
      </c>
      <c r="F141" s="139" t="s">
        <v>212</v>
      </c>
      <c r="G141" s="137" t="s">
        <v>1603</v>
      </c>
      <c r="H141" s="137">
        <v>25107100100901</v>
      </c>
      <c r="I141" s="139">
        <v>75</v>
      </c>
      <c r="J141" s="139"/>
      <c r="K141" s="280">
        <v>46211</v>
      </c>
      <c r="L141" s="287">
        <f t="shared" si="10"/>
        <v>7500</v>
      </c>
      <c r="M141" s="287">
        <f t="shared" si="11"/>
        <v>3000</v>
      </c>
      <c r="N141" s="295">
        <f t="shared" si="12"/>
        <v>4500</v>
      </c>
      <c r="O141" s="287" t="str">
        <f t="shared" si="13"/>
        <v/>
      </c>
      <c r="P141" t="str">
        <f t="shared" si="14"/>
        <v>برايفيت</v>
      </c>
    </row>
    <row r="142" spans="1:16" ht="15.5" x14ac:dyDescent="0.35">
      <c r="A142" s="147">
        <v>141</v>
      </c>
      <c r="B142" s="148" t="s">
        <v>1604</v>
      </c>
      <c r="C142" s="148" t="s">
        <v>1761</v>
      </c>
      <c r="D142" s="149" t="s">
        <v>1757</v>
      </c>
      <c r="E142" s="148" t="s">
        <v>689</v>
      </c>
      <c r="F142" s="150" t="s">
        <v>1278</v>
      </c>
      <c r="G142" s="147" t="s">
        <v>1605</v>
      </c>
      <c r="H142" s="147">
        <v>26706272401851</v>
      </c>
      <c r="I142" s="150">
        <v>59</v>
      </c>
      <c r="J142" s="150" t="s">
        <v>688</v>
      </c>
      <c r="K142" s="279">
        <v>46215</v>
      </c>
      <c r="L142" s="287">
        <f t="shared" si="10"/>
        <v>6513</v>
      </c>
      <c r="M142" s="287">
        <f t="shared" si="11"/>
        <v>2500</v>
      </c>
      <c r="N142" s="295" t="str">
        <f t="shared" si="12"/>
        <v/>
      </c>
      <c r="O142" s="287">
        <f t="shared" si="13"/>
        <v>4013</v>
      </c>
      <c r="P142" t="str">
        <f t="shared" si="14"/>
        <v>تامين صحى</v>
      </c>
    </row>
    <row r="143" spans="1:16" ht="15.5" x14ac:dyDescent="0.35">
      <c r="A143" s="137">
        <v>142</v>
      </c>
      <c r="B143" s="133" t="s">
        <v>1606</v>
      </c>
      <c r="C143" s="133" t="s">
        <v>1761</v>
      </c>
      <c r="D143" s="134" t="s">
        <v>1757</v>
      </c>
      <c r="E143" s="133" t="s">
        <v>689</v>
      </c>
      <c r="F143" s="139" t="s">
        <v>1311</v>
      </c>
      <c r="G143" s="137" t="s">
        <v>1607</v>
      </c>
      <c r="H143" s="137">
        <v>28311302401668</v>
      </c>
      <c r="I143" s="139">
        <v>40</v>
      </c>
      <c r="J143" s="139"/>
      <c r="K143" s="280">
        <v>46215</v>
      </c>
      <c r="L143" s="287">
        <f t="shared" si="10"/>
        <v>7500</v>
      </c>
      <c r="M143" s="287">
        <f t="shared" si="11"/>
        <v>3000</v>
      </c>
      <c r="N143" s="295">
        <f t="shared" si="12"/>
        <v>4500</v>
      </c>
      <c r="O143" s="287" t="str">
        <f t="shared" si="13"/>
        <v/>
      </c>
      <c r="P143" t="str">
        <f t="shared" si="14"/>
        <v>برايفيت</v>
      </c>
    </row>
    <row r="144" spans="1:16" ht="15.5" x14ac:dyDescent="0.35">
      <c r="A144" s="147">
        <v>143</v>
      </c>
      <c r="B144" s="148" t="s">
        <v>1608</v>
      </c>
      <c r="C144" s="148" t="s">
        <v>1761</v>
      </c>
      <c r="D144" s="149" t="s">
        <v>1757</v>
      </c>
      <c r="E144" s="148" t="s">
        <v>689</v>
      </c>
      <c r="F144" s="150" t="s">
        <v>1271</v>
      </c>
      <c r="G144" s="147" t="s">
        <v>1609</v>
      </c>
      <c r="H144" s="147">
        <v>26711252402103</v>
      </c>
      <c r="I144" s="150">
        <v>59</v>
      </c>
      <c r="J144" s="150"/>
      <c r="K144" s="279">
        <v>46215</v>
      </c>
      <c r="L144" s="287">
        <f t="shared" si="10"/>
        <v>7500</v>
      </c>
      <c r="M144" s="287">
        <f t="shared" si="11"/>
        <v>3000</v>
      </c>
      <c r="N144" s="295">
        <f t="shared" si="12"/>
        <v>4500</v>
      </c>
      <c r="O144" s="287" t="str">
        <f t="shared" si="13"/>
        <v/>
      </c>
      <c r="P144" t="str">
        <f t="shared" si="14"/>
        <v>برايفيت</v>
      </c>
    </row>
    <row r="145" spans="1:16" ht="15.5" x14ac:dyDescent="0.35">
      <c r="A145" s="137">
        <v>144</v>
      </c>
      <c r="B145" s="133" t="s">
        <v>1610</v>
      </c>
      <c r="C145" s="133" t="s">
        <v>1761</v>
      </c>
      <c r="D145" s="134" t="s">
        <v>1758</v>
      </c>
      <c r="E145" s="133" t="s">
        <v>689</v>
      </c>
      <c r="F145" s="139" t="s">
        <v>1271</v>
      </c>
      <c r="G145" s="137" t="s">
        <v>1611</v>
      </c>
      <c r="H145" s="137">
        <v>26610262402291</v>
      </c>
      <c r="I145" s="139">
        <v>59</v>
      </c>
      <c r="J145" s="139"/>
      <c r="K145" s="280">
        <v>46215</v>
      </c>
      <c r="L145" s="287">
        <f t="shared" si="10"/>
        <v>7500</v>
      </c>
      <c r="M145" s="287">
        <f t="shared" si="11"/>
        <v>3000</v>
      </c>
      <c r="N145" s="295">
        <f t="shared" si="12"/>
        <v>4500</v>
      </c>
      <c r="O145" s="287" t="str">
        <f t="shared" si="13"/>
        <v/>
      </c>
      <c r="P145" t="str">
        <f t="shared" si="14"/>
        <v>برايفيت</v>
      </c>
    </row>
    <row r="146" spans="1:16" ht="46.5" x14ac:dyDescent="0.35">
      <c r="A146" s="147">
        <v>145</v>
      </c>
      <c r="B146" s="148" t="s">
        <v>842</v>
      </c>
      <c r="C146" s="148" t="s">
        <v>1767</v>
      </c>
      <c r="D146" s="149" t="s">
        <v>1758</v>
      </c>
      <c r="E146" s="148" t="s">
        <v>1730</v>
      </c>
      <c r="F146" s="150" t="s">
        <v>212</v>
      </c>
      <c r="G146" s="147" t="s">
        <v>890</v>
      </c>
      <c r="H146" s="147">
        <v>26704042401388</v>
      </c>
      <c r="I146" s="150">
        <v>59</v>
      </c>
      <c r="J146" s="150" t="s">
        <v>688</v>
      </c>
      <c r="K146" s="279">
        <v>46217</v>
      </c>
      <c r="L146" s="287">
        <f t="shared" si="10"/>
        <v>8805</v>
      </c>
      <c r="M146" s="287">
        <f t="shared" si="11"/>
        <v>2500</v>
      </c>
      <c r="N146" s="295" t="str">
        <f t="shared" si="12"/>
        <v/>
      </c>
      <c r="O146" s="287">
        <f t="shared" si="13"/>
        <v>6305</v>
      </c>
      <c r="P146" t="str">
        <f t="shared" si="14"/>
        <v>تامين صحى</v>
      </c>
    </row>
    <row r="147" spans="1:16" ht="15.5" x14ac:dyDescent="0.35">
      <c r="A147" s="137">
        <v>146</v>
      </c>
      <c r="B147" s="133" t="s">
        <v>1612</v>
      </c>
      <c r="C147" s="133" t="s">
        <v>1761</v>
      </c>
      <c r="D147" s="134" t="s">
        <v>1757</v>
      </c>
      <c r="E147" s="133" t="s">
        <v>1730</v>
      </c>
      <c r="F147" s="139" t="s">
        <v>1275</v>
      </c>
      <c r="G147" s="137" t="s">
        <v>1613</v>
      </c>
      <c r="H147" s="137">
        <v>25804132400195</v>
      </c>
      <c r="I147" s="139">
        <v>70</v>
      </c>
      <c r="J147" s="139" t="s">
        <v>688</v>
      </c>
      <c r="K147" s="280">
        <v>46217</v>
      </c>
      <c r="L147" s="287">
        <f t="shared" si="10"/>
        <v>6513</v>
      </c>
      <c r="M147" s="287">
        <f t="shared" si="11"/>
        <v>2500</v>
      </c>
      <c r="N147" s="295" t="str">
        <f t="shared" si="12"/>
        <v/>
      </c>
      <c r="O147" s="287">
        <f t="shared" si="13"/>
        <v>4013</v>
      </c>
      <c r="P147" t="str">
        <f t="shared" si="14"/>
        <v>تامين صحى</v>
      </c>
    </row>
    <row r="148" spans="1:16" ht="15.5" x14ac:dyDescent="0.35">
      <c r="A148" s="147">
        <v>147</v>
      </c>
      <c r="B148" s="148" t="s">
        <v>1614</v>
      </c>
      <c r="C148" s="148" t="s">
        <v>1761</v>
      </c>
      <c r="D148" s="149" t="s">
        <v>1757</v>
      </c>
      <c r="E148" s="148" t="s">
        <v>1730</v>
      </c>
      <c r="F148" s="150" t="s">
        <v>1275</v>
      </c>
      <c r="G148" s="147" t="s">
        <v>1615</v>
      </c>
      <c r="H148" s="147">
        <v>26201292401284</v>
      </c>
      <c r="I148" s="150">
        <v>62</v>
      </c>
      <c r="J148" s="150" t="s">
        <v>688</v>
      </c>
      <c r="K148" s="279">
        <v>46217</v>
      </c>
      <c r="L148" s="287">
        <f t="shared" si="10"/>
        <v>6513</v>
      </c>
      <c r="M148" s="287">
        <f t="shared" si="11"/>
        <v>2500</v>
      </c>
      <c r="N148" s="295" t="str">
        <f t="shared" si="12"/>
        <v/>
      </c>
      <c r="O148" s="287">
        <f t="shared" si="13"/>
        <v>4013</v>
      </c>
      <c r="P148" t="str">
        <f t="shared" si="14"/>
        <v>تامين صحى</v>
      </c>
    </row>
    <row r="149" spans="1:16" ht="15.5" x14ac:dyDescent="0.35">
      <c r="A149" s="137">
        <v>148</v>
      </c>
      <c r="B149" s="133" t="s">
        <v>1616</v>
      </c>
      <c r="C149" s="133" t="s">
        <v>1761</v>
      </c>
      <c r="D149" s="134" t="s">
        <v>1758</v>
      </c>
      <c r="E149" s="133" t="s">
        <v>1730</v>
      </c>
      <c r="F149" s="139" t="s">
        <v>212</v>
      </c>
      <c r="G149" s="137" t="s">
        <v>1617</v>
      </c>
      <c r="H149" s="137">
        <v>25506112401577</v>
      </c>
      <c r="I149" s="139">
        <v>70</v>
      </c>
      <c r="J149" s="139"/>
      <c r="K149" s="280">
        <v>46217</v>
      </c>
      <c r="L149" s="287">
        <f t="shared" si="10"/>
        <v>7500</v>
      </c>
      <c r="M149" s="287">
        <f t="shared" si="11"/>
        <v>3000</v>
      </c>
      <c r="N149" s="295">
        <f t="shared" si="12"/>
        <v>4500</v>
      </c>
      <c r="O149" s="287" t="str">
        <f t="shared" si="13"/>
        <v/>
      </c>
      <c r="P149" t="str">
        <f t="shared" si="14"/>
        <v>برايفيت</v>
      </c>
    </row>
    <row r="150" spans="1:16" ht="15.5" x14ac:dyDescent="0.35">
      <c r="A150" s="147">
        <v>149</v>
      </c>
      <c r="B150" s="148" t="s">
        <v>1618</v>
      </c>
      <c r="C150" s="148" t="s">
        <v>1761</v>
      </c>
      <c r="D150" s="149" t="s">
        <v>1757</v>
      </c>
      <c r="E150" s="148" t="s">
        <v>1730</v>
      </c>
      <c r="F150" s="150" t="s">
        <v>1275</v>
      </c>
      <c r="G150" s="147" t="s">
        <v>1619</v>
      </c>
      <c r="H150" s="147">
        <v>26803022400073</v>
      </c>
      <c r="I150" s="150">
        <v>58</v>
      </c>
      <c r="J150" s="150" t="s">
        <v>688</v>
      </c>
      <c r="K150" s="279">
        <v>46217</v>
      </c>
      <c r="L150" s="287">
        <f t="shared" si="10"/>
        <v>6513</v>
      </c>
      <c r="M150" s="287">
        <f t="shared" si="11"/>
        <v>2500</v>
      </c>
      <c r="N150" s="295" t="str">
        <f t="shared" si="12"/>
        <v/>
      </c>
      <c r="O150" s="287">
        <f t="shared" si="13"/>
        <v>4013</v>
      </c>
      <c r="P150" t="str">
        <f t="shared" si="14"/>
        <v>تامين صحى</v>
      </c>
    </row>
    <row r="151" spans="1:16" ht="15.5" x14ac:dyDescent="0.35">
      <c r="A151" s="137">
        <v>150</v>
      </c>
      <c r="B151" s="133" t="s">
        <v>1620</v>
      </c>
      <c r="C151" s="133" t="s">
        <v>1761</v>
      </c>
      <c r="D151" s="134" t="s">
        <v>1758</v>
      </c>
      <c r="E151" s="133" t="s">
        <v>689</v>
      </c>
      <c r="F151" s="139" t="s">
        <v>1288</v>
      </c>
      <c r="G151" s="137" t="s">
        <v>1621</v>
      </c>
      <c r="H151" s="137">
        <v>27501022201302</v>
      </c>
      <c r="I151" s="139">
        <v>50</v>
      </c>
      <c r="J151" s="139"/>
      <c r="K151" s="280">
        <v>46218</v>
      </c>
      <c r="L151" s="287">
        <f t="shared" si="10"/>
        <v>7500</v>
      </c>
      <c r="M151" s="287">
        <f t="shared" si="11"/>
        <v>3000</v>
      </c>
      <c r="N151" s="295">
        <f t="shared" si="12"/>
        <v>4500</v>
      </c>
      <c r="O151" s="287" t="str">
        <f t="shared" si="13"/>
        <v/>
      </c>
      <c r="P151" t="str">
        <f t="shared" si="14"/>
        <v>برايفيت</v>
      </c>
    </row>
    <row r="152" spans="1:16" ht="15.5" x14ac:dyDescent="0.35">
      <c r="A152" s="147">
        <v>151</v>
      </c>
      <c r="B152" s="148" t="s">
        <v>1622</v>
      </c>
      <c r="C152" s="148" t="s">
        <v>1761</v>
      </c>
      <c r="D152" s="149" t="s">
        <v>1758</v>
      </c>
      <c r="E152" s="148" t="s">
        <v>689</v>
      </c>
      <c r="F152" s="150" t="s">
        <v>212</v>
      </c>
      <c r="G152" s="147" t="s">
        <v>1623</v>
      </c>
      <c r="H152" s="147">
        <v>28202222402163</v>
      </c>
      <c r="I152" s="150">
        <v>35</v>
      </c>
      <c r="J152" s="150"/>
      <c r="K152" s="279">
        <v>46218</v>
      </c>
      <c r="L152" s="287">
        <f t="shared" si="10"/>
        <v>7500</v>
      </c>
      <c r="M152" s="287">
        <f t="shared" si="11"/>
        <v>3000</v>
      </c>
      <c r="N152" s="295">
        <f t="shared" si="12"/>
        <v>4500</v>
      </c>
      <c r="O152" s="287" t="str">
        <f t="shared" si="13"/>
        <v/>
      </c>
      <c r="P152" t="str">
        <f t="shared" si="14"/>
        <v>برايفيت</v>
      </c>
    </row>
    <row r="153" spans="1:16" ht="15.5" x14ac:dyDescent="0.35">
      <c r="A153" s="137">
        <v>152</v>
      </c>
      <c r="B153" s="133" t="s">
        <v>1624</v>
      </c>
      <c r="C153" s="133" t="s">
        <v>1761</v>
      </c>
      <c r="D153" s="134" t="s">
        <v>1758</v>
      </c>
      <c r="E153" s="133" t="s">
        <v>689</v>
      </c>
      <c r="F153" s="139" t="s">
        <v>1625</v>
      </c>
      <c r="G153" s="137" t="s">
        <v>1626</v>
      </c>
      <c r="H153" s="137">
        <v>26804272200947</v>
      </c>
      <c r="I153" s="139">
        <v>59</v>
      </c>
      <c r="J153" s="139"/>
      <c r="K153" s="280">
        <v>46218</v>
      </c>
      <c r="L153" s="287">
        <f t="shared" si="10"/>
        <v>7500</v>
      </c>
      <c r="M153" s="287">
        <f t="shared" si="11"/>
        <v>3000</v>
      </c>
      <c r="N153" s="295">
        <f t="shared" si="12"/>
        <v>4500</v>
      </c>
      <c r="O153" s="287" t="str">
        <f t="shared" si="13"/>
        <v/>
      </c>
      <c r="P153" t="str">
        <f t="shared" si="14"/>
        <v>برايفيت</v>
      </c>
    </row>
    <row r="154" spans="1:16" ht="15.5" x14ac:dyDescent="0.35">
      <c r="A154" s="147">
        <v>153</v>
      </c>
      <c r="B154" s="148" t="s">
        <v>1627</v>
      </c>
      <c r="C154" s="148" t="s">
        <v>1761</v>
      </c>
      <c r="D154" s="149" t="s">
        <v>1757</v>
      </c>
      <c r="E154" s="148" t="s">
        <v>1298</v>
      </c>
      <c r="F154" s="150" t="s">
        <v>1311</v>
      </c>
      <c r="G154" s="147" t="s">
        <v>1628</v>
      </c>
      <c r="H154" s="147">
        <v>25712012402893</v>
      </c>
      <c r="I154" s="150">
        <v>68</v>
      </c>
      <c r="J154" s="150" t="s">
        <v>688</v>
      </c>
      <c r="K154" s="279">
        <v>46218</v>
      </c>
      <c r="L154" s="287">
        <f t="shared" si="10"/>
        <v>6513</v>
      </c>
      <c r="M154" s="287">
        <f t="shared" si="11"/>
        <v>2500</v>
      </c>
      <c r="N154" s="295" t="str">
        <f t="shared" si="12"/>
        <v/>
      </c>
      <c r="O154" s="287">
        <f t="shared" si="13"/>
        <v>4013</v>
      </c>
      <c r="P154" t="str">
        <f t="shared" si="14"/>
        <v>تامين صحى</v>
      </c>
    </row>
    <row r="155" spans="1:16" ht="15.5" x14ac:dyDescent="0.35">
      <c r="A155" s="137">
        <v>154</v>
      </c>
      <c r="B155" s="133" t="s">
        <v>1629</v>
      </c>
      <c r="C155" s="133" t="s">
        <v>1761</v>
      </c>
      <c r="D155" s="134" t="s">
        <v>1757</v>
      </c>
      <c r="E155" s="133" t="s">
        <v>1298</v>
      </c>
      <c r="F155" s="139" t="s">
        <v>1389</v>
      </c>
      <c r="G155" s="137" t="s">
        <v>1630</v>
      </c>
      <c r="H155" s="137">
        <v>25702032400255</v>
      </c>
      <c r="I155" s="139">
        <v>69</v>
      </c>
      <c r="J155" s="139" t="s">
        <v>688</v>
      </c>
      <c r="K155" s="280">
        <v>46218</v>
      </c>
      <c r="L155" s="287">
        <f t="shared" si="10"/>
        <v>6513</v>
      </c>
      <c r="M155" s="287">
        <f t="shared" si="11"/>
        <v>2500</v>
      </c>
      <c r="N155" s="295" t="str">
        <f t="shared" si="12"/>
        <v/>
      </c>
      <c r="O155" s="287">
        <f t="shared" si="13"/>
        <v>4013</v>
      </c>
      <c r="P155" t="str">
        <f t="shared" si="14"/>
        <v>تامين صحى</v>
      </c>
    </row>
    <row r="156" spans="1:16" ht="15.5" x14ac:dyDescent="0.35">
      <c r="A156" s="147">
        <v>155</v>
      </c>
      <c r="B156" s="148" t="s">
        <v>1631</v>
      </c>
      <c r="C156" s="148" t="s">
        <v>1761</v>
      </c>
      <c r="D156" s="149" t="s">
        <v>1758</v>
      </c>
      <c r="E156" s="148" t="s">
        <v>1298</v>
      </c>
      <c r="F156" s="150" t="s">
        <v>212</v>
      </c>
      <c r="G156" s="147" t="s">
        <v>1632</v>
      </c>
      <c r="H156" s="147">
        <v>24801042401165</v>
      </c>
      <c r="I156" s="150">
        <v>78</v>
      </c>
      <c r="J156" s="150"/>
      <c r="K156" s="279">
        <v>46218</v>
      </c>
      <c r="L156" s="287">
        <f t="shared" si="10"/>
        <v>7500</v>
      </c>
      <c r="M156" s="287">
        <f t="shared" si="11"/>
        <v>3000</v>
      </c>
      <c r="N156" s="295">
        <f t="shared" si="12"/>
        <v>4500</v>
      </c>
      <c r="O156" s="287" t="str">
        <f t="shared" si="13"/>
        <v/>
      </c>
      <c r="P156" t="str">
        <f t="shared" si="14"/>
        <v>برايفيت</v>
      </c>
    </row>
    <row r="157" spans="1:16" ht="15.5" x14ac:dyDescent="0.35">
      <c r="A157" s="137">
        <v>156</v>
      </c>
      <c r="B157" s="133" t="s">
        <v>1633</v>
      </c>
      <c r="C157" s="133" t="s">
        <v>1761</v>
      </c>
      <c r="D157" s="134" t="s">
        <v>1758</v>
      </c>
      <c r="E157" s="133" t="s">
        <v>1475</v>
      </c>
      <c r="F157" s="139" t="s">
        <v>212</v>
      </c>
      <c r="G157" s="137" t="s">
        <v>1634</v>
      </c>
      <c r="H157" s="137">
        <v>25112192401108</v>
      </c>
      <c r="I157" s="139">
        <v>72</v>
      </c>
      <c r="J157" s="139"/>
      <c r="K157" s="280">
        <v>46222</v>
      </c>
      <c r="L157" s="287">
        <f t="shared" si="10"/>
        <v>7500</v>
      </c>
      <c r="M157" s="287">
        <f t="shared" si="11"/>
        <v>3000</v>
      </c>
      <c r="N157" s="295">
        <f t="shared" si="12"/>
        <v>4500</v>
      </c>
      <c r="O157" s="287" t="str">
        <f t="shared" si="13"/>
        <v/>
      </c>
      <c r="P157" t="str">
        <f t="shared" si="14"/>
        <v>برايفيت</v>
      </c>
    </row>
    <row r="158" spans="1:16" ht="15.5" x14ac:dyDescent="0.35">
      <c r="A158" s="147">
        <v>157</v>
      </c>
      <c r="B158" s="148" t="s">
        <v>1635</v>
      </c>
      <c r="C158" s="148" t="s">
        <v>1761</v>
      </c>
      <c r="D158" s="149" t="s">
        <v>1758</v>
      </c>
      <c r="E158" s="148" t="s">
        <v>1475</v>
      </c>
      <c r="F158" s="150" t="s">
        <v>212</v>
      </c>
      <c r="G158" s="147" t="s">
        <v>1636</v>
      </c>
      <c r="H158" s="147">
        <v>26009022401071</v>
      </c>
      <c r="I158" s="150">
        <v>66</v>
      </c>
      <c r="J158" s="150"/>
      <c r="K158" s="279">
        <v>46222</v>
      </c>
      <c r="L158" s="287">
        <f t="shared" si="10"/>
        <v>7500</v>
      </c>
      <c r="M158" s="287">
        <f t="shared" si="11"/>
        <v>3000</v>
      </c>
      <c r="N158" s="295">
        <f t="shared" si="12"/>
        <v>4500</v>
      </c>
      <c r="O158" s="287" t="str">
        <f t="shared" si="13"/>
        <v/>
      </c>
      <c r="P158" t="str">
        <f t="shared" si="14"/>
        <v>برايفيت</v>
      </c>
    </row>
    <row r="159" spans="1:16" ht="31" x14ac:dyDescent="0.35">
      <c r="A159" s="137">
        <v>158</v>
      </c>
      <c r="B159" s="133" t="s">
        <v>1637</v>
      </c>
      <c r="C159" s="133" t="s">
        <v>1774</v>
      </c>
      <c r="D159" s="134" t="s">
        <v>1758</v>
      </c>
      <c r="E159" s="133" t="s">
        <v>1475</v>
      </c>
      <c r="F159" s="139" t="s">
        <v>1288</v>
      </c>
      <c r="G159" s="137" t="s">
        <v>1638</v>
      </c>
      <c r="H159" s="137">
        <v>27502062201361</v>
      </c>
      <c r="I159" s="139">
        <v>60</v>
      </c>
      <c r="J159" s="139"/>
      <c r="K159" s="280">
        <v>46222</v>
      </c>
      <c r="L159" s="287">
        <f t="shared" si="10"/>
        <v>11000</v>
      </c>
      <c r="M159" s="287">
        <f t="shared" si="11"/>
        <v>3200</v>
      </c>
      <c r="N159" s="295">
        <f t="shared" si="12"/>
        <v>7800</v>
      </c>
      <c r="O159" s="287" t="str">
        <f t="shared" si="13"/>
        <v/>
      </c>
      <c r="P159" t="str">
        <f t="shared" si="14"/>
        <v>برايفيت</v>
      </c>
    </row>
    <row r="160" spans="1:16" ht="15.5" x14ac:dyDescent="0.35">
      <c r="A160" s="147">
        <v>159</v>
      </c>
      <c r="B160" s="148" t="s">
        <v>1639</v>
      </c>
      <c r="C160" s="148" t="s">
        <v>1761</v>
      </c>
      <c r="D160" s="149" t="s">
        <v>1757</v>
      </c>
      <c r="E160" s="148" t="s">
        <v>1475</v>
      </c>
      <c r="F160" s="150" t="s">
        <v>1275</v>
      </c>
      <c r="G160" s="147" t="s">
        <v>1640</v>
      </c>
      <c r="H160" s="147">
        <v>26408232400118</v>
      </c>
      <c r="I160" s="150">
        <v>63</v>
      </c>
      <c r="J160" s="150" t="s">
        <v>688</v>
      </c>
      <c r="K160" s="279">
        <v>46222</v>
      </c>
      <c r="L160" s="287">
        <f t="shared" si="10"/>
        <v>6513</v>
      </c>
      <c r="M160" s="287">
        <f t="shared" si="11"/>
        <v>2500</v>
      </c>
      <c r="N160" s="295" t="str">
        <f t="shared" si="12"/>
        <v/>
      </c>
      <c r="O160" s="287">
        <f t="shared" si="13"/>
        <v>4013</v>
      </c>
      <c r="P160" t="str">
        <f t="shared" si="14"/>
        <v>تامين صحى</v>
      </c>
    </row>
    <row r="161" spans="1:16" ht="15.5" x14ac:dyDescent="0.35">
      <c r="A161" s="137">
        <v>160</v>
      </c>
      <c r="B161" s="133" t="s">
        <v>1641</v>
      </c>
      <c r="C161" s="133" t="s">
        <v>1761</v>
      </c>
      <c r="D161" s="134" t="s">
        <v>1757</v>
      </c>
      <c r="E161" s="133" t="s">
        <v>1475</v>
      </c>
      <c r="F161" s="139" t="s">
        <v>212</v>
      </c>
      <c r="G161" s="137" t="s">
        <v>1642</v>
      </c>
      <c r="H161" s="137">
        <v>25702032401219</v>
      </c>
      <c r="I161" s="139">
        <v>69</v>
      </c>
      <c r="J161" s="139"/>
      <c r="K161" s="280">
        <v>46222</v>
      </c>
      <c r="L161" s="287">
        <f t="shared" si="10"/>
        <v>7500</v>
      </c>
      <c r="M161" s="287">
        <f t="shared" si="11"/>
        <v>3000</v>
      </c>
      <c r="N161" s="295">
        <f t="shared" si="12"/>
        <v>4500</v>
      </c>
      <c r="O161" s="287" t="str">
        <f t="shared" si="13"/>
        <v/>
      </c>
      <c r="P161" t="str">
        <f t="shared" si="14"/>
        <v>برايفيت</v>
      </c>
    </row>
    <row r="162" spans="1:16" ht="15.5" x14ac:dyDescent="0.35">
      <c r="A162" s="147">
        <v>161</v>
      </c>
      <c r="B162" s="148" t="s">
        <v>1643</v>
      </c>
      <c r="C162" s="148" t="s">
        <v>1761</v>
      </c>
      <c r="D162" s="149" t="s">
        <v>1757</v>
      </c>
      <c r="E162" s="148" t="s">
        <v>1475</v>
      </c>
      <c r="F162" s="150" t="s">
        <v>1271</v>
      </c>
      <c r="G162" s="147" t="s">
        <v>1644</v>
      </c>
      <c r="H162" s="147">
        <v>26907252401303</v>
      </c>
      <c r="I162" s="150">
        <v>55</v>
      </c>
      <c r="J162" s="150"/>
      <c r="K162" s="279">
        <v>46222</v>
      </c>
      <c r="L162" s="287">
        <f t="shared" si="10"/>
        <v>7500</v>
      </c>
      <c r="M162" s="287">
        <f t="shared" si="11"/>
        <v>3000</v>
      </c>
      <c r="N162" s="295">
        <f t="shared" si="12"/>
        <v>4500</v>
      </c>
      <c r="O162" s="287" t="str">
        <f t="shared" si="13"/>
        <v/>
      </c>
      <c r="P162" t="str">
        <f t="shared" si="14"/>
        <v>برايفيت</v>
      </c>
    </row>
    <row r="163" spans="1:16" ht="15.5" x14ac:dyDescent="0.35">
      <c r="A163" s="137">
        <v>162</v>
      </c>
      <c r="B163" s="133" t="s">
        <v>1645</v>
      </c>
      <c r="C163" s="133" t="s">
        <v>1761</v>
      </c>
      <c r="D163" s="134" t="s">
        <v>1757</v>
      </c>
      <c r="E163" s="133" t="s">
        <v>1475</v>
      </c>
      <c r="F163" s="139" t="s">
        <v>212</v>
      </c>
      <c r="G163" s="137" t="s">
        <v>1646</v>
      </c>
      <c r="H163" s="137">
        <v>31401012412714</v>
      </c>
      <c r="I163" s="139">
        <v>12</v>
      </c>
      <c r="J163" s="139"/>
      <c r="K163" s="280">
        <v>46222</v>
      </c>
      <c r="L163" s="287">
        <f t="shared" si="10"/>
        <v>7500</v>
      </c>
      <c r="M163" s="287">
        <f t="shared" si="11"/>
        <v>3000</v>
      </c>
      <c r="N163" s="295">
        <f t="shared" si="12"/>
        <v>4500</v>
      </c>
      <c r="O163" s="287" t="str">
        <f t="shared" si="13"/>
        <v/>
      </c>
      <c r="P163" t="str">
        <f t="shared" si="14"/>
        <v>برايفيت</v>
      </c>
    </row>
    <row r="164" spans="1:16" ht="15.5" x14ac:dyDescent="0.35">
      <c r="A164" s="147">
        <v>163</v>
      </c>
      <c r="B164" s="148" t="s">
        <v>1647</v>
      </c>
      <c r="C164" s="148" t="s">
        <v>31</v>
      </c>
      <c r="D164" s="149" t="s">
        <v>1757</v>
      </c>
      <c r="E164" s="148" t="s">
        <v>1730</v>
      </c>
      <c r="F164" s="150" t="s">
        <v>1271</v>
      </c>
      <c r="G164" s="147" t="s">
        <v>1648</v>
      </c>
      <c r="H164" s="147">
        <v>26809302401413</v>
      </c>
      <c r="I164" s="150">
        <v>59</v>
      </c>
      <c r="J164" s="150"/>
      <c r="K164" s="279">
        <v>46224</v>
      </c>
      <c r="L164" s="287">
        <f t="shared" si="10"/>
        <v>40000</v>
      </c>
      <c r="M164" s="287">
        <f t="shared" si="11"/>
        <v>8000</v>
      </c>
      <c r="N164" s="295">
        <f t="shared" si="12"/>
        <v>32000</v>
      </c>
      <c r="O164" s="287" t="str">
        <f t="shared" si="13"/>
        <v/>
      </c>
      <c r="P164" t="str">
        <f t="shared" si="14"/>
        <v>برايفيت</v>
      </c>
    </row>
    <row r="165" spans="1:16" ht="15.5" x14ac:dyDescent="0.35">
      <c r="A165" s="137">
        <v>164</v>
      </c>
      <c r="B165" s="133" t="s">
        <v>1649</v>
      </c>
      <c r="C165" s="133" t="s">
        <v>1761</v>
      </c>
      <c r="D165" s="134" t="s">
        <v>1757</v>
      </c>
      <c r="E165" s="133" t="s">
        <v>1730</v>
      </c>
      <c r="F165" s="139" t="s">
        <v>1385</v>
      </c>
      <c r="G165" s="137" t="s">
        <v>1650</v>
      </c>
      <c r="H165" s="137">
        <v>25604132400439</v>
      </c>
      <c r="I165" s="139">
        <v>70</v>
      </c>
      <c r="J165" s="139" t="s">
        <v>688</v>
      </c>
      <c r="K165" s="280">
        <v>46224</v>
      </c>
      <c r="L165" s="287">
        <f t="shared" si="10"/>
        <v>6513</v>
      </c>
      <c r="M165" s="287">
        <f t="shared" si="11"/>
        <v>2500</v>
      </c>
      <c r="N165" s="295" t="str">
        <f t="shared" si="12"/>
        <v/>
      </c>
      <c r="O165" s="287">
        <f t="shared" si="13"/>
        <v>4013</v>
      </c>
      <c r="P165" t="str">
        <f t="shared" si="14"/>
        <v>تامين صحى</v>
      </c>
    </row>
    <row r="166" spans="1:16" ht="15.5" x14ac:dyDescent="0.35">
      <c r="A166" s="147">
        <v>165</v>
      </c>
      <c r="B166" s="148" t="s">
        <v>1651</v>
      </c>
      <c r="C166" s="148" t="s">
        <v>1761</v>
      </c>
      <c r="D166" s="149" t="s">
        <v>1757</v>
      </c>
      <c r="E166" s="148" t="s">
        <v>1730</v>
      </c>
      <c r="F166" s="150" t="s">
        <v>1275</v>
      </c>
      <c r="G166" s="147" t="s">
        <v>1652</v>
      </c>
      <c r="H166" s="147">
        <v>27201252401056</v>
      </c>
      <c r="I166" s="150">
        <v>54</v>
      </c>
      <c r="J166" s="150" t="s">
        <v>688</v>
      </c>
      <c r="K166" s="279">
        <v>46224</v>
      </c>
      <c r="L166" s="287">
        <f t="shared" si="10"/>
        <v>6513</v>
      </c>
      <c r="M166" s="287">
        <f t="shared" si="11"/>
        <v>2500</v>
      </c>
      <c r="N166" s="295" t="str">
        <f t="shared" si="12"/>
        <v/>
      </c>
      <c r="O166" s="287">
        <f t="shared" si="13"/>
        <v>4013</v>
      </c>
      <c r="P166" t="str">
        <f t="shared" si="14"/>
        <v>تامين صحى</v>
      </c>
    </row>
    <row r="167" spans="1:16" ht="15.5" x14ac:dyDescent="0.35">
      <c r="A167" s="137">
        <v>166</v>
      </c>
      <c r="B167" s="133" t="s">
        <v>1653</v>
      </c>
      <c r="C167" s="133" t="s">
        <v>1761</v>
      </c>
      <c r="D167" s="134" t="s">
        <v>1757</v>
      </c>
      <c r="E167" s="133" t="s">
        <v>1730</v>
      </c>
      <c r="F167" s="139" t="s">
        <v>1278</v>
      </c>
      <c r="G167" s="137" t="s">
        <v>1654</v>
      </c>
      <c r="H167" s="137">
        <v>26110152400436</v>
      </c>
      <c r="I167" s="139">
        <v>64</v>
      </c>
      <c r="J167" s="139" t="s">
        <v>688</v>
      </c>
      <c r="K167" s="280">
        <v>46224</v>
      </c>
      <c r="L167" s="287">
        <f t="shared" si="10"/>
        <v>6513</v>
      </c>
      <c r="M167" s="287">
        <f t="shared" si="11"/>
        <v>2500</v>
      </c>
      <c r="N167" s="295" t="str">
        <f t="shared" si="12"/>
        <v/>
      </c>
      <c r="O167" s="287">
        <f t="shared" si="13"/>
        <v>4013</v>
      </c>
      <c r="P167" t="str">
        <f t="shared" si="14"/>
        <v>تامين صحى</v>
      </c>
    </row>
    <row r="168" spans="1:16" ht="15.5" x14ac:dyDescent="0.35">
      <c r="A168" s="147">
        <v>167</v>
      </c>
      <c r="B168" s="148" t="s">
        <v>1655</v>
      </c>
      <c r="C168" s="148" t="s">
        <v>1761</v>
      </c>
      <c r="D168" s="149" t="s">
        <v>1757</v>
      </c>
      <c r="E168" s="148" t="s">
        <v>1730</v>
      </c>
      <c r="F168" s="150" t="s">
        <v>459</v>
      </c>
      <c r="G168" s="147" t="s">
        <v>1656</v>
      </c>
      <c r="H168" s="147">
        <v>28301092403837</v>
      </c>
      <c r="I168" s="150">
        <v>43</v>
      </c>
      <c r="J168" s="150" t="s">
        <v>688</v>
      </c>
      <c r="K168" s="279">
        <v>46224</v>
      </c>
      <c r="L168" s="287">
        <f t="shared" si="10"/>
        <v>6513</v>
      </c>
      <c r="M168" s="287">
        <f t="shared" si="11"/>
        <v>2500</v>
      </c>
      <c r="N168" s="295" t="str">
        <f t="shared" si="12"/>
        <v/>
      </c>
      <c r="O168" s="287">
        <f t="shared" si="13"/>
        <v>4013</v>
      </c>
      <c r="P168" t="str">
        <f t="shared" si="14"/>
        <v>تامين صحى</v>
      </c>
    </row>
    <row r="169" spans="1:16" ht="15.5" x14ac:dyDescent="0.35">
      <c r="A169" s="137">
        <v>168</v>
      </c>
      <c r="B169" s="133" t="s">
        <v>1657</v>
      </c>
      <c r="C169" s="133" t="s">
        <v>1761</v>
      </c>
      <c r="D169" s="134" t="s">
        <v>1757</v>
      </c>
      <c r="E169" s="133" t="s">
        <v>689</v>
      </c>
      <c r="F169" s="139" t="s">
        <v>1288</v>
      </c>
      <c r="G169" s="137" t="s">
        <v>1658</v>
      </c>
      <c r="H169" s="137">
        <v>27807022201011</v>
      </c>
      <c r="I169" s="139">
        <v>48</v>
      </c>
      <c r="J169" s="139"/>
      <c r="K169" s="280">
        <v>46225</v>
      </c>
      <c r="L169" s="287">
        <f t="shared" si="10"/>
        <v>7500</v>
      </c>
      <c r="M169" s="287">
        <f t="shared" si="11"/>
        <v>3000</v>
      </c>
      <c r="N169" s="295">
        <f t="shared" si="12"/>
        <v>4500</v>
      </c>
      <c r="O169" s="287" t="str">
        <f t="shared" si="13"/>
        <v/>
      </c>
      <c r="P169" t="str">
        <f t="shared" si="14"/>
        <v>برايفيت</v>
      </c>
    </row>
    <row r="170" spans="1:16" ht="31" x14ac:dyDescent="0.35">
      <c r="A170" s="147">
        <v>169</v>
      </c>
      <c r="B170" s="148" t="s">
        <v>1659</v>
      </c>
      <c r="C170" s="148" t="s">
        <v>1761</v>
      </c>
      <c r="D170" s="149" t="s">
        <v>1757</v>
      </c>
      <c r="E170" s="148" t="s">
        <v>689</v>
      </c>
      <c r="F170" s="150" t="s">
        <v>212</v>
      </c>
      <c r="G170" s="147" t="s">
        <v>1660</v>
      </c>
      <c r="H170" s="147">
        <v>26608052402081</v>
      </c>
      <c r="I170" s="150">
        <v>58</v>
      </c>
      <c r="J170" s="150"/>
      <c r="K170" s="279">
        <v>46225</v>
      </c>
      <c r="L170" s="287">
        <f t="shared" si="10"/>
        <v>7500</v>
      </c>
      <c r="M170" s="287">
        <f t="shared" si="11"/>
        <v>3000</v>
      </c>
      <c r="N170" s="295">
        <f t="shared" si="12"/>
        <v>4500</v>
      </c>
      <c r="O170" s="287" t="str">
        <f t="shared" si="13"/>
        <v/>
      </c>
      <c r="P170" t="str">
        <f t="shared" si="14"/>
        <v>برايفيت</v>
      </c>
    </row>
    <row r="171" spans="1:16" ht="15.5" x14ac:dyDescent="0.35">
      <c r="A171" s="137">
        <v>170</v>
      </c>
      <c r="B171" s="133" t="s">
        <v>1661</v>
      </c>
      <c r="C171" s="133" t="s">
        <v>1761</v>
      </c>
      <c r="D171" s="134" t="s">
        <v>1758</v>
      </c>
      <c r="E171" s="133" t="s">
        <v>689</v>
      </c>
      <c r="F171" s="139" t="s">
        <v>212</v>
      </c>
      <c r="G171" s="137" t="s">
        <v>1662</v>
      </c>
      <c r="H171" s="137">
        <v>26301302401444</v>
      </c>
      <c r="I171" s="139">
        <v>63</v>
      </c>
      <c r="J171" s="139"/>
      <c r="K171" s="280">
        <v>46225</v>
      </c>
      <c r="L171" s="287">
        <f t="shared" si="10"/>
        <v>7500</v>
      </c>
      <c r="M171" s="287">
        <f t="shared" si="11"/>
        <v>3000</v>
      </c>
      <c r="N171" s="295">
        <f t="shared" si="12"/>
        <v>4500</v>
      </c>
      <c r="O171" s="287" t="str">
        <f t="shared" si="13"/>
        <v/>
      </c>
      <c r="P171" t="str">
        <f t="shared" si="14"/>
        <v>برايفيت</v>
      </c>
    </row>
    <row r="172" spans="1:16" ht="15.5" x14ac:dyDescent="0.35">
      <c r="A172" s="147">
        <v>171</v>
      </c>
      <c r="B172" s="148" t="s">
        <v>1663</v>
      </c>
      <c r="C172" s="148" t="s">
        <v>1761</v>
      </c>
      <c r="D172" s="149" t="s">
        <v>1757</v>
      </c>
      <c r="E172" s="148" t="s">
        <v>1298</v>
      </c>
      <c r="F172" s="150" t="s">
        <v>1271</v>
      </c>
      <c r="G172" s="147" t="s">
        <v>1664</v>
      </c>
      <c r="H172" s="147">
        <v>25310042401513</v>
      </c>
      <c r="I172" s="150">
        <v>73</v>
      </c>
      <c r="J172" s="150"/>
      <c r="K172" s="279">
        <v>46225</v>
      </c>
      <c r="L172" s="287">
        <f t="shared" si="10"/>
        <v>7500</v>
      </c>
      <c r="M172" s="287">
        <f t="shared" si="11"/>
        <v>3000</v>
      </c>
      <c r="N172" s="295">
        <f t="shared" si="12"/>
        <v>4500</v>
      </c>
      <c r="O172" s="287" t="str">
        <f t="shared" si="13"/>
        <v/>
      </c>
      <c r="P172" t="str">
        <f t="shared" si="14"/>
        <v>برايفيت</v>
      </c>
    </row>
    <row r="173" spans="1:16" ht="15.5" x14ac:dyDescent="0.35">
      <c r="A173" s="137">
        <v>172</v>
      </c>
      <c r="B173" s="133" t="s">
        <v>1665</v>
      </c>
      <c r="C173" s="133" t="s">
        <v>1761</v>
      </c>
      <c r="D173" s="134" t="s">
        <v>1757</v>
      </c>
      <c r="E173" s="133" t="s">
        <v>1298</v>
      </c>
      <c r="F173" s="139" t="s">
        <v>212</v>
      </c>
      <c r="G173" s="137" t="s">
        <v>1666</v>
      </c>
      <c r="H173" s="137">
        <v>24908212400826</v>
      </c>
      <c r="I173" s="139">
        <v>75</v>
      </c>
      <c r="J173" s="139"/>
      <c r="K173" s="280">
        <v>46225</v>
      </c>
      <c r="L173" s="287">
        <f t="shared" si="10"/>
        <v>7500</v>
      </c>
      <c r="M173" s="287">
        <f t="shared" si="11"/>
        <v>3000</v>
      </c>
      <c r="N173" s="295">
        <f t="shared" si="12"/>
        <v>4500</v>
      </c>
      <c r="O173" s="287" t="str">
        <f t="shared" si="13"/>
        <v/>
      </c>
      <c r="P173" t="str">
        <f t="shared" si="14"/>
        <v>برايفيت</v>
      </c>
    </row>
    <row r="174" spans="1:16" ht="15.5" x14ac:dyDescent="0.35">
      <c r="A174" s="147">
        <v>173</v>
      </c>
      <c r="B174" s="148" t="s">
        <v>1667</v>
      </c>
      <c r="C174" s="148" t="s">
        <v>1761</v>
      </c>
      <c r="D174" s="149" t="s">
        <v>1758</v>
      </c>
      <c r="E174" s="148" t="s">
        <v>1298</v>
      </c>
      <c r="F174" s="150" t="s">
        <v>212</v>
      </c>
      <c r="G174" s="147" t="s">
        <v>1668</v>
      </c>
      <c r="H174" s="147">
        <v>28702012407882</v>
      </c>
      <c r="I174" s="150">
        <v>39</v>
      </c>
      <c r="J174" s="150"/>
      <c r="K174" s="279">
        <v>46225</v>
      </c>
      <c r="L174" s="287">
        <f t="shared" si="10"/>
        <v>7500</v>
      </c>
      <c r="M174" s="287">
        <f t="shared" si="11"/>
        <v>3000</v>
      </c>
      <c r="N174" s="295">
        <f t="shared" si="12"/>
        <v>4500</v>
      </c>
      <c r="O174" s="287" t="str">
        <f t="shared" si="13"/>
        <v/>
      </c>
      <c r="P174" t="str">
        <f t="shared" si="14"/>
        <v>برايفيت</v>
      </c>
    </row>
    <row r="175" spans="1:16" ht="15.5" x14ac:dyDescent="0.35">
      <c r="A175" s="137">
        <v>174</v>
      </c>
      <c r="B175" s="133" t="s">
        <v>1669</v>
      </c>
      <c r="C175" s="133" t="s">
        <v>1761</v>
      </c>
      <c r="D175" s="134" t="s">
        <v>1758</v>
      </c>
      <c r="E175" s="133" t="s">
        <v>689</v>
      </c>
      <c r="F175" s="139" t="s">
        <v>212</v>
      </c>
      <c r="G175" s="137" t="s">
        <v>1670</v>
      </c>
      <c r="H175" s="137">
        <v>28010022402316</v>
      </c>
      <c r="I175" s="139">
        <v>46</v>
      </c>
      <c r="J175" s="139"/>
      <c r="K175" s="280">
        <v>46229</v>
      </c>
      <c r="L175" s="287">
        <f t="shared" si="10"/>
        <v>7500</v>
      </c>
      <c r="M175" s="287">
        <f t="shared" si="11"/>
        <v>3000</v>
      </c>
      <c r="N175" s="295">
        <f t="shared" si="12"/>
        <v>4500</v>
      </c>
      <c r="O175" s="287" t="str">
        <f t="shared" si="13"/>
        <v/>
      </c>
      <c r="P175" t="str">
        <f t="shared" si="14"/>
        <v>برايفيت</v>
      </c>
    </row>
    <row r="176" spans="1:16" ht="15.5" x14ac:dyDescent="0.35">
      <c r="A176" s="147">
        <v>175</v>
      </c>
      <c r="B176" s="148" t="s">
        <v>1671</v>
      </c>
      <c r="C176" s="148" t="s">
        <v>1761</v>
      </c>
      <c r="D176" s="149" t="s">
        <v>1757</v>
      </c>
      <c r="E176" s="148" t="s">
        <v>1475</v>
      </c>
      <c r="F176" s="150" t="s">
        <v>212</v>
      </c>
      <c r="G176" s="147" t="s">
        <v>1672</v>
      </c>
      <c r="H176" s="147">
        <v>28011222402791</v>
      </c>
      <c r="I176" s="150">
        <v>44</v>
      </c>
      <c r="J176" s="150"/>
      <c r="K176" s="279">
        <v>46229</v>
      </c>
      <c r="L176" s="287">
        <f t="shared" si="10"/>
        <v>7500</v>
      </c>
      <c r="M176" s="287">
        <f t="shared" si="11"/>
        <v>3000</v>
      </c>
      <c r="N176" s="295">
        <f t="shared" si="12"/>
        <v>4500</v>
      </c>
      <c r="O176" s="287" t="str">
        <f t="shared" si="13"/>
        <v/>
      </c>
      <c r="P176" t="str">
        <f t="shared" si="14"/>
        <v>برايفيت</v>
      </c>
    </row>
    <row r="177" spans="1:16" ht="15.5" x14ac:dyDescent="0.35">
      <c r="A177" s="137">
        <v>176</v>
      </c>
      <c r="B177" s="133" t="s">
        <v>1673</v>
      </c>
      <c r="C177" s="133" t="s">
        <v>1761</v>
      </c>
      <c r="D177" s="134" t="s">
        <v>1758</v>
      </c>
      <c r="E177" s="133" t="s">
        <v>1475</v>
      </c>
      <c r="F177" s="139" t="s">
        <v>1288</v>
      </c>
      <c r="G177" s="137" t="s">
        <v>1674</v>
      </c>
      <c r="H177" s="137">
        <v>25402202200171</v>
      </c>
      <c r="I177" s="139">
        <v>72</v>
      </c>
      <c r="J177" s="139"/>
      <c r="K177" s="280">
        <v>46229</v>
      </c>
      <c r="L177" s="287">
        <f t="shared" si="10"/>
        <v>7500</v>
      </c>
      <c r="M177" s="287">
        <f t="shared" si="11"/>
        <v>3000</v>
      </c>
      <c r="N177" s="295">
        <f t="shared" si="12"/>
        <v>4500</v>
      </c>
      <c r="O177" s="287" t="str">
        <f t="shared" si="13"/>
        <v/>
      </c>
      <c r="P177" t="str">
        <f t="shared" si="14"/>
        <v>برايفيت</v>
      </c>
    </row>
    <row r="178" spans="1:16" ht="15.5" x14ac:dyDescent="0.35">
      <c r="A178" s="147">
        <v>177</v>
      </c>
      <c r="B178" s="148" t="s">
        <v>1675</v>
      </c>
      <c r="C178" s="148" t="s">
        <v>1761</v>
      </c>
      <c r="D178" s="149" t="s">
        <v>1758</v>
      </c>
      <c r="E178" s="148" t="s">
        <v>1475</v>
      </c>
      <c r="F178" s="150" t="s">
        <v>1275</v>
      </c>
      <c r="G178" s="147" t="s">
        <v>1676</v>
      </c>
      <c r="H178" s="147">
        <v>25206192400882</v>
      </c>
      <c r="I178" s="150">
        <v>74</v>
      </c>
      <c r="J178" s="150"/>
      <c r="K178" s="279">
        <v>46229</v>
      </c>
      <c r="L178" s="287">
        <f t="shared" si="10"/>
        <v>7500</v>
      </c>
      <c r="M178" s="287">
        <f t="shared" si="11"/>
        <v>3000</v>
      </c>
      <c r="N178" s="295">
        <f t="shared" si="12"/>
        <v>4500</v>
      </c>
      <c r="O178" s="287" t="str">
        <f t="shared" si="13"/>
        <v/>
      </c>
      <c r="P178" t="str">
        <f t="shared" si="14"/>
        <v>برايفيت</v>
      </c>
    </row>
    <row r="179" spans="1:16" ht="15.5" x14ac:dyDescent="0.35">
      <c r="A179" s="137">
        <v>178</v>
      </c>
      <c r="B179" s="133" t="s">
        <v>1677</v>
      </c>
      <c r="C179" s="133" t="s">
        <v>56</v>
      </c>
      <c r="D179" s="134" t="s">
        <v>1759</v>
      </c>
      <c r="E179" s="133" t="s">
        <v>1475</v>
      </c>
      <c r="F179" s="139" t="s">
        <v>1288</v>
      </c>
      <c r="G179" s="137" t="s">
        <v>1678</v>
      </c>
      <c r="H179" s="137">
        <v>31103072200979</v>
      </c>
      <c r="I179" s="139">
        <v>15</v>
      </c>
      <c r="J179" s="139"/>
      <c r="K179" s="280">
        <v>46229</v>
      </c>
      <c r="L179" s="287">
        <f t="shared" si="10"/>
        <v>11000</v>
      </c>
      <c r="M179" s="287">
        <f t="shared" si="11"/>
        <v>2400</v>
      </c>
      <c r="N179" s="295">
        <f t="shared" si="12"/>
        <v>8600</v>
      </c>
      <c r="O179" s="287" t="str">
        <f t="shared" si="13"/>
        <v/>
      </c>
      <c r="P179" t="str">
        <f t="shared" si="14"/>
        <v>برايفيت</v>
      </c>
    </row>
    <row r="180" spans="1:16" ht="15.5" x14ac:dyDescent="0.35">
      <c r="A180" s="147">
        <v>179</v>
      </c>
      <c r="B180" s="148" t="s">
        <v>1679</v>
      </c>
      <c r="C180" s="148" t="s">
        <v>1761</v>
      </c>
      <c r="D180" s="149" t="s">
        <v>1757</v>
      </c>
      <c r="E180" s="148" t="s">
        <v>1475</v>
      </c>
      <c r="F180" s="150" t="s">
        <v>212</v>
      </c>
      <c r="G180" s="147" t="s">
        <v>1680</v>
      </c>
      <c r="H180" s="147">
        <v>26205262400815</v>
      </c>
      <c r="I180" s="150">
        <v>65</v>
      </c>
      <c r="J180" s="150"/>
      <c r="K180" s="279">
        <v>46229</v>
      </c>
      <c r="L180" s="287">
        <f t="shared" si="10"/>
        <v>7500</v>
      </c>
      <c r="M180" s="287">
        <f t="shared" si="11"/>
        <v>3000</v>
      </c>
      <c r="N180" s="295">
        <f t="shared" si="12"/>
        <v>4500</v>
      </c>
      <c r="O180" s="287" t="str">
        <f t="shared" si="13"/>
        <v/>
      </c>
      <c r="P180" t="str">
        <f t="shared" si="14"/>
        <v>برايفيت</v>
      </c>
    </row>
    <row r="181" spans="1:16" ht="15.5" x14ac:dyDescent="0.35">
      <c r="A181" s="137">
        <v>180</v>
      </c>
      <c r="B181" s="133" t="s">
        <v>1681</v>
      </c>
      <c r="C181" s="133" t="s">
        <v>1764</v>
      </c>
      <c r="D181" s="134" t="s">
        <v>1758</v>
      </c>
      <c r="E181" s="133" t="s">
        <v>1730</v>
      </c>
      <c r="F181" s="139" t="s">
        <v>1278</v>
      </c>
      <c r="G181" s="137" t="s">
        <v>1682</v>
      </c>
      <c r="H181" s="137">
        <v>27511172402832</v>
      </c>
      <c r="I181" s="139">
        <v>50</v>
      </c>
      <c r="J181" s="139" t="s">
        <v>688</v>
      </c>
      <c r="K181" s="280">
        <v>46231</v>
      </c>
      <c r="L181" s="287">
        <f t="shared" si="10"/>
        <v>5272</v>
      </c>
      <c r="M181" s="287">
        <f t="shared" si="11"/>
        <v>1500</v>
      </c>
      <c r="N181" s="295" t="str">
        <f t="shared" si="12"/>
        <v/>
      </c>
      <c r="O181" s="287">
        <f t="shared" si="13"/>
        <v>3772</v>
      </c>
      <c r="P181" t="str">
        <f t="shared" si="14"/>
        <v>تامين صحى</v>
      </c>
    </row>
    <row r="182" spans="1:16" ht="15.5" x14ac:dyDescent="0.35">
      <c r="A182" s="147">
        <v>181</v>
      </c>
      <c r="B182" s="148" t="s">
        <v>1683</v>
      </c>
      <c r="C182" s="148" t="s">
        <v>1761</v>
      </c>
      <c r="D182" s="149" t="s">
        <v>1758</v>
      </c>
      <c r="E182" s="148" t="s">
        <v>1730</v>
      </c>
      <c r="F182" s="150" t="s">
        <v>1275</v>
      </c>
      <c r="G182" s="147" t="s">
        <v>1684</v>
      </c>
      <c r="H182" s="147">
        <v>27708142400744</v>
      </c>
      <c r="I182" s="150">
        <v>48</v>
      </c>
      <c r="J182" s="150" t="s">
        <v>688</v>
      </c>
      <c r="K182" s="279">
        <v>46231</v>
      </c>
      <c r="L182" s="287">
        <f t="shared" si="10"/>
        <v>6513</v>
      </c>
      <c r="M182" s="287">
        <f t="shared" si="11"/>
        <v>2500</v>
      </c>
      <c r="N182" s="295" t="str">
        <f t="shared" si="12"/>
        <v/>
      </c>
      <c r="O182" s="287">
        <f t="shared" si="13"/>
        <v>4013</v>
      </c>
      <c r="P182" t="str">
        <f t="shared" si="14"/>
        <v>تامين صحى</v>
      </c>
    </row>
    <row r="183" spans="1:16" ht="15.5" x14ac:dyDescent="0.35">
      <c r="A183" s="137">
        <v>182</v>
      </c>
      <c r="B183" s="133" t="s">
        <v>1685</v>
      </c>
      <c r="C183" s="133" t="s">
        <v>1761</v>
      </c>
      <c r="D183" s="134" t="s">
        <v>1758</v>
      </c>
      <c r="E183" s="133" t="s">
        <v>1730</v>
      </c>
      <c r="F183" s="139" t="s">
        <v>1275</v>
      </c>
      <c r="G183" s="137" t="s">
        <v>1686</v>
      </c>
      <c r="H183" s="137">
        <v>28405132400038</v>
      </c>
      <c r="I183" s="139">
        <v>42</v>
      </c>
      <c r="J183" s="139" t="s">
        <v>688</v>
      </c>
      <c r="K183" s="280">
        <v>46231</v>
      </c>
      <c r="L183" s="287">
        <f t="shared" si="10"/>
        <v>6513</v>
      </c>
      <c r="M183" s="287">
        <f t="shared" si="11"/>
        <v>2500</v>
      </c>
      <c r="N183" s="295" t="str">
        <f t="shared" si="12"/>
        <v/>
      </c>
      <c r="O183" s="287">
        <f t="shared" si="13"/>
        <v>4013</v>
      </c>
      <c r="P183" t="str">
        <f t="shared" si="14"/>
        <v>تامين صحى</v>
      </c>
    </row>
    <row r="184" spans="1:16" ht="15.5" x14ac:dyDescent="0.35">
      <c r="A184" s="147">
        <v>183</v>
      </c>
      <c r="B184" s="148" t="s">
        <v>1687</v>
      </c>
      <c r="C184" s="148" t="s">
        <v>1761</v>
      </c>
      <c r="D184" s="149" t="s">
        <v>1758</v>
      </c>
      <c r="E184" s="148" t="s">
        <v>1730</v>
      </c>
      <c r="F184" s="150" t="s">
        <v>1275</v>
      </c>
      <c r="G184" s="147" t="s">
        <v>1688</v>
      </c>
      <c r="H184" s="147">
        <v>27105092401098</v>
      </c>
      <c r="I184" s="150">
        <v>55</v>
      </c>
      <c r="J184" s="150" t="s">
        <v>688</v>
      </c>
      <c r="K184" s="279">
        <v>46231</v>
      </c>
      <c r="L184" s="287">
        <f t="shared" si="10"/>
        <v>6513</v>
      </c>
      <c r="M184" s="287">
        <f t="shared" si="11"/>
        <v>2500</v>
      </c>
      <c r="N184" s="295" t="str">
        <f t="shared" si="12"/>
        <v/>
      </c>
      <c r="O184" s="287">
        <f t="shared" si="13"/>
        <v>4013</v>
      </c>
      <c r="P184" t="str">
        <f t="shared" si="14"/>
        <v>تامين صحى</v>
      </c>
    </row>
    <row r="185" spans="1:16" ht="15.5" x14ac:dyDescent="0.35">
      <c r="A185" s="137">
        <v>184</v>
      </c>
      <c r="B185" s="133" t="s">
        <v>1689</v>
      </c>
      <c r="C185" s="133" t="s">
        <v>1766</v>
      </c>
      <c r="D185" s="134" t="s">
        <v>1757</v>
      </c>
      <c r="E185" s="133" t="s">
        <v>1730</v>
      </c>
      <c r="F185" s="139" t="s">
        <v>1275</v>
      </c>
      <c r="G185" s="137" t="s">
        <v>1690</v>
      </c>
      <c r="H185" s="137">
        <v>26812022401192</v>
      </c>
      <c r="I185" s="139">
        <v>57</v>
      </c>
      <c r="J185" s="139" t="s">
        <v>688</v>
      </c>
      <c r="K185" s="280">
        <v>46231</v>
      </c>
      <c r="L185" s="287">
        <f t="shared" si="10"/>
        <v>18100</v>
      </c>
      <c r="M185" s="287">
        <f t="shared" si="11"/>
        <v>8000</v>
      </c>
      <c r="N185" s="295" t="str">
        <f t="shared" si="12"/>
        <v/>
      </c>
      <c r="O185" s="287">
        <f t="shared" si="13"/>
        <v>10100</v>
      </c>
      <c r="P185" t="str">
        <f t="shared" si="14"/>
        <v>تامين صحى</v>
      </c>
    </row>
    <row r="186" spans="1:16" ht="15.5" x14ac:dyDescent="0.35">
      <c r="A186" s="147">
        <v>185</v>
      </c>
      <c r="B186" s="148" t="s">
        <v>1691</v>
      </c>
      <c r="C186" s="148" t="s">
        <v>1761</v>
      </c>
      <c r="D186" s="149" t="s">
        <v>1758</v>
      </c>
      <c r="E186" s="148" t="s">
        <v>1298</v>
      </c>
      <c r="F186" s="150" t="s">
        <v>1288</v>
      </c>
      <c r="G186" s="147" t="s">
        <v>1692</v>
      </c>
      <c r="H186" s="147">
        <v>24706292200464</v>
      </c>
      <c r="I186" s="150">
        <v>75</v>
      </c>
      <c r="J186" s="150"/>
      <c r="K186" s="279">
        <v>46232</v>
      </c>
      <c r="L186" s="287">
        <f t="shared" si="10"/>
        <v>7500</v>
      </c>
      <c r="M186" s="287">
        <f t="shared" si="11"/>
        <v>3000</v>
      </c>
      <c r="N186" s="295">
        <f t="shared" si="12"/>
        <v>4500</v>
      </c>
      <c r="O186" s="287" t="str">
        <f t="shared" si="13"/>
        <v/>
      </c>
      <c r="P186" t="str">
        <f t="shared" si="14"/>
        <v>برايفيت</v>
      </c>
    </row>
    <row r="187" spans="1:16" ht="15.5" x14ac:dyDescent="0.35">
      <c r="A187" s="137">
        <v>186</v>
      </c>
      <c r="B187" s="133" t="s">
        <v>1693</v>
      </c>
      <c r="C187" s="133" t="s">
        <v>1761</v>
      </c>
      <c r="D187" s="134" t="s">
        <v>1758</v>
      </c>
      <c r="E187" s="133" t="s">
        <v>1298</v>
      </c>
      <c r="F187" s="139" t="s">
        <v>212</v>
      </c>
      <c r="G187" s="137" t="s">
        <v>1694</v>
      </c>
      <c r="H187" s="137">
        <v>25402052401645</v>
      </c>
      <c r="I187" s="139">
        <v>72</v>
      </c>
      <c r="J187" s="139" t="s">
        <v>688</v>
      </c>
      <c r="K187" s="280">
        <v>46232</v>
      </c>
      <c r="L187" s="287">
        <f t="shared" si="10"/>
        <v>6513</v>
      </c>
      <c r="M187" s="287">
        <f t="shared" si="11"/>
        <v>2500</v>
      </c>
      <c r="N187" s="295" t="str">
        <f t="shared" si="12"/>
        <v/>
      </c>
      <c r="O187" s="287">
        <f t="shared" si="13"/>
        <v>4013</v>
      </c>
      <c r="P187" t="str">
        <f t="shared" si="14"/>
        <v>تامين صحى</v>
      </c>
    </row>
    <row r="188" spans="1:16" ht="15.5" x14ac:dyDescent="0.35">
      <c r="A188" s="147">
        <v>187</v>
      </c>
      <c r="B188" s="148" t="s">
        <v>1695</v>
      </c>
      <c r="C188" s="148" t="s">
        <v>1761</v>
      </c>
      <c r="D188" s="149" t="s">
        <v>1758</v>
      </c>
      <c r="E188" s="148" t="s">
        <v>689</v>
      </c>
      <c r="F188" s="150" t="s">
        <v>212</v>
      </c>
      <c r="G188" s="147" t="s">
        <v>1696</v>
      </c>
      <c r="H188" s="147">
        <v>26305232400688</v>
      </c>
      <c r="I188" s="150">
        <v>63</v>
      </c>
      <c r="J188" s="150" t="s">
        <v>688</v>
      </c>
      <c r="K188" s="279">
        <v>46232</v>
      </c>
      <c r="L188" s="287">
        <f t="shared" si="10"/>
        <v>6513</v>
      </c>
      <c r="M188" s="287">
        <f t="shared" si="11"/>
        <v>2500</v>
      </c>
      <c r="N188" s="295" t="str">
        <f t="shared" si="12"/>
        <v/>
      </c>
      <c r="O188" s="287">
        <f t="shared" si="13"/>
        <v>4013</v>
      </c>
      <c r="P188" t="str">
        <f t="shared" si="14"/>
        <v>تامين صحى</v>
      </c>
    </row>
    <row r="189" spans="1:16" ht="15.5" x14ac:dyDescent="0.35">
      <c r="A189" s="137">
        <v>188</v>
      </c>
      <c r="B189" s="133" t="s">
        <v>1697</v>
      </c>
      <c r="C189" s="133" t="s">
        <v>1761</v>
      </c>
      <c r="D189" s="134" t="s">
        <v>1757</v>
      </c>
      <c r="E189" s="133" t="s">
        <v>689</v>
      </c>
      <c r="F189" s="139" t="s">
        <v>459</v>
      </c>
      <c r="G189" s="137" t="s">
        <v>1698</v>
      </c>
      <c r="H189" s="137">
        <v>25908212401192</v>
      </c>
      <c r="I189" s="139">
        <v>66</v>
      </c>
      <c r="J189" s="139" t="s">
        <v>688</v>
      </c>
      <c r="K189" s="280">
        <v>46232</v>
      </c>
      <c r="L189" s="287">
        <f t="shared" si="10"/>
        <v>6513</v>
      </c>
      <c r="M189" s="287">
        <f t="shared" si="11"/>
        <v>2500</v>
      </c>
      <c r="N189" s="295" t="str">
        <f t="shared" si="12"/>
        <v/>
      </c>
      <c r="O189" s="287">
        <f t="shared" si="13"/>
        <v>4013</v>
      </c>
      <c r="P189" t="str">
        <f t="shared" si="14"/>
        <v>تامين صحى</v>
      </c>
    </row>
    <row r="190" spans="1:16" ht="15.5" x14ac:dyDescent="0.35">
      <c r="A190" s="147">
        <v>189</v>
      </c>
      <c r="B190" s="148" t="s">
        <v>1699</v>
      </c>
      <c r="C190" s="148" t="s">
        <v>1761</v>
      </c>
      <c r="D190" s="149" t="s">
        <v>1757</v>
      </c>
      <c r="E190" s="148" t="s">
        <v>689</v>
      </c>
      <c r="F190" s="150" t="s">
        <v>1271</v>
      </c>
      <c r="G190" s="147" t="s">
        <v>1700</v>
      </c>
      <c r="H190" s="147">
        <v>25511052401401</v>
      </c>
      <c r="I190" s="150">
        <v>70</v>
      </c>
      <c r="J190" s="150" t="s">
        <v>688</v>
      </c>
      <c r="K190" s="279">
        <v>46232</v>
      </c>
      <c r="L190" s="287">
        <f t="shared" si="10"/>
        <v>6513</v>
      </c>
      <c r="M190" s="287">
        <f t="shared" si="11"/>
        <v>2500</v>
      </c>
      <c r="N190" s="295" t="str">
        <f t="shared" si="12"/>
        <v/>
      </c>
      <c r="O190" s="287">
        <f t="shared" si="13"/>
        <v>4013</v>
      </c>
      <c r="P190" t="str">
        <f t="shared" si="14"/>
        <v>تامين صحى</v>
      </c>
    </row>
    <row r="191" spans="1:16" ht="15.5" x14ac:dyDescent="0.35">
      <c r="A191" s="137">
        <v>190</v>
      </c>
      <c r="B191" s="133"/>
      <c r="C191" s="133"/>
      <c r="D191" s="134" t="s">
        <v>1760</v>
      </c>
      <c r="E191" s="133"/>
      <c r="F191" s="139"/>
      <c r="G191" s="137"/>
      <c r="H191" s="137"/>
      <c r="I191" s="139"/>
      <c r="J191" s="139"/>
      <c r="K191" s="280"/>
      <c r="L191" s="287" t="str">
        <f t="shared" si="10"/>
        <v/>
      </c>
      <c r="M191" s="287" t="str">
        <f t="shared" si="11"/>
        <v/>
      </c>
      <c r="N191" s="295" t="str">
        <f t="shared" si="12"/>
        <v/>
      </c>
      <c r="O191" s="287" t="str">
        <f t="shared" si="13"/>
        <v/>
      </c>
      <c r="P191" t="str">
        <f t="shared" si="14"/>
        <v>برايفيت</v>
      </c>
    </row>
    <row r="192" spans="1:16" ht="15.5" x14ac:dyDescent="0.35">
      <c r="A192" s="147">
        <v>191</v>
      </c>
      <c r="B192" s="148"/>
      <c r="C192" s="148"/>
      <c r="D192" s="149" t="s">
        <v>1760</v>
      </c>
      <c r="E192" s="148"/>
      <c r="F192" s="150"/>
      <c r="G192" s="147"/>
      <c r="H192" s="147"/>
      <c r="I192" s="150"/>
      <c r="J192" s="150"/>
      <c r="K192" s="279"/>
      <c r="L192" s="287" t="str">
        <f t="shared" si="10"/>
        <v/>
      </c>
      <c r="M192" s="287" t="str">
        <f t="shared" si="11"/>
        <v/>
      </c>
      <c r="N192" s="295" t="str">
        <f t="shared" si="12"/>
        <v/>
      </c>
      <c r="O192" s="287" t="str">
        <f t="shared" si="13"/>
        <v/>
      </c>
      <c r="P192" t="str">
        <f t="shared" si="14"/>
        <v>برايفيت</v>
      </c>
    </row>
    <row r="193" spans="1:16" ht="15.5" x14ac:dyDescent="0.35">
      <c r="A193" s="137">
        <v>192</v>
      </c>
      <c r="B193" s="133"/>
      <c r="C193" s="133"/>
      <c r="D193" s="134" t="s">
        <v>1760</v>
      </c>
      <c r="E193" s="133"/>
      <c r="F193" s="139"/>
      <c r="G193" s="137"/>
      <c r="H193" s="137"/>
      <c r="I193" s="139"/>
      <c r="J193" s="139"/>
      <c r="K193" s="280"/>
      <c r="L193" s="287" t="str">
        <f t="shared" si="10"/>
        <v/>
      </c>
      <c r="M193" s="287" t="str">
        <f t="shared" si="11"/>
        <v/>
      </c>
      <c r="N193" s="295" t="str">
        <f t="shared" si="12"/>
        <v/>
      </c>
      <c r="O193" s="287" t="str">
        <f t="shared" si="13"/>
        <v/>
      </c>
      <c r="P193" t="str">
        <f t="shared" si="14"/>
        <v>برايفيت</v>
      </c>
    </row>
    <row r="194" spans="1:16" ht="15.5" x14ac:dyDescent="0.35">
      <c r="A194" s="147">
        <v>193</v>
      </c>
      <c r="B194" s="148"/>
      <c r="C194" s="148"/>
      <c r="D194" s="149" t="s">
        <v>1760</v>
      </c>
      <c r="E194" s="148"/>
      <c r="F194" s="150"/>
      <c r="G194" s="147"/>
      <c r="H194" s="147"/>
      <c r="I194" s="150"/>
      <c r="J194" s="150"/>
      <c r="K194" s="279"/>
      <c r="L194" s="287" t="str">
        <f t="shared" si="10"/>
        <v/>
      </c>
      <c r="M194" s="287" t="str">
        <f t="shared" si="11"/>
        <v/>
      </c>
      <c r="N194" s="295" t="str">
        <f t="shared" si="12"/>
        <v/>
      </c>
      <c r="O194" s="287" t="str">
        <f t="shared" si="13"/>
        <v/>
      </c>
      <c r="P194" t="str">
        <f t="shared" si="14"/>
        <v>برايفيت</v>
      </c>
    </row>
    <row r="195" spans="1:16" ht="15.5" x14ac:dyDescent="0.35">
      <c r="A195" s="137">
        <v>194</v>
      </c>
      <c r="B195" s="133"/>
      <c r="C195" s="133"/>
      <c r="D195" s="134" t="s">
        <v>1760</v>
      </c>
      <c r="E195" s="133"/>
      <c r="F195" s="139"/>
      <c r="G195" s="137"/>
      <c r="H195" s="137"/>
      <c r="I195" s="139"/>
      <c r="J195" s="139"/>
      <c r="K195" s="280"/>
      <c r="L195" s="287" t="str">
        <f t="shared" ref="L195:L258" si="15">IF(COUNTIFS($Q$2:$Q$30,TRIM($C195),$R$2:$R$30,$P195)=0,"",SUMIFS($S$2:$S$30,$Q$2:$Q$30,TRIM($C195),$R$2:$R$30,$P195))</f>
        <v/>
      </c>
      <c r="M195" s="287" t="str">
        <f t="shared" ref="M195:M258" si="16">IF($L195="","",SUMIFS($T$2:$T$30,$Q$2:$Q$30,TRIM($C195),$R$2:$R$30,$P195))</f>
        <v/>
      </c>
      <c r="N195" s="295" t="str">
        <f t="shared" ref="N195:N258" si="17">IF($L195="","",IF($P195="برايفيت",$L195-$M195,""))</f>
        <v/>
      </c>
      <c r="O195" s="287" t="str">
        <f t="shared" ref="O195:O258" si="18">IF($L195="","",IF($P195="برايفيت","",$L195-$M195))</f>
        <v/>
      </c>
      <c r="P195" t="str">
        <f t="shared" ref="P195:P258" si="19">IF(TRIM($J195)="","برايفيت",TRIM($J195))</f>
        <v>برايفيت</v>
      </c>
    </row>
    <row r="196" spans="1:16" ht="15.5" x14ac:dyDescent="0.35">
      <c r="A196" s="147">
        <v>195</v>
      </c>
      <c r="B196" s="148"/>
      <c r="C196" s="148"/>
      <c r="D196" s="149" t="s">
        <v>1760</v>
      </c>
      <c r="E196" s="148"/>
      <c r="F196" s="150"/>
      <c r="G196" s="147"/>
      <c r="H196" s="147"/>
      <c r="I196" s="150"/>
      <c r="J196" s="150"/>
      <c r="K196" s="279"/>
      <c r="L196" s="287" t="str">
        <f t="shared" si="15"/>
        <v/>
      </c>
      <c r="M196" s="287" t="str">
        <f t="shared" si="16"/>
        <v/>
      </c>
      <c r="N196" s="295" t="str">
        <f t="shared" si="17"/>
        <v/>
      </c>
      <c r="O196" s="287" t="str">
        <f t="shared" si="18"/>
        <v/>
      </c>
      <c r="P196" t="str">
        <f t="shared" si="19"/>
        <v>برايفيت</v>
      </c>
    </row>
    <row r="197" spans="1:16" ht="15.5" x14ac:dyDescent="0.35">
      <c r="A197" s="137">
        <v>196</v>
      </c>
      <c r="B197" s="133"/>
      <c r="C197" s="133"/>
      <c r="D197" s="134" t="s">
        <v>1760</v>
      </c>
      <c r="E197" s="133"/>
      <c r="F197" s="139"/>
      <c r="G197" s="137"/>
      <c r="H197" s="137"/>
      <c r="I197" s="139"/>
      <c r="J197" s="139"/>
      <c r="K197" s="280"/>
      <c r="L197" s="287" t="str">
        <f t="shared" si="15"/>
        <v/>
      </c>
      <c r="M197" s="287" t="str">
        <f t="shared" si="16"/>
        <v/>
      </c>
      <c r="N197" s="295" t="str">
        <f t="shared" si="17"/>
        <v/>
      </c>
      <c r="O197" s="287" t="str">
        <f t="shared" si="18"/>
        <v/>
      </c>
      <c r="P197" t="str">
        <f t="shared" si="19"/>
        <v>برايفيت</v>
      </c>
    </row>
    <row r="198" spans="1:16" ht="15.5" x14ac:dyDescent="0.35">
      <c r="A198" s="147">
        <v>197</v>
      </c>
      <c r="B198" s="148"/>
      <c r="C198" s="148"/>
      <c r="D198" s="149" t="s">
        <v>1760</v>
      </c>
      <c r="E198" s="148"/>
      <c r="F198" s="150"/>
      <c r="G198" s="147"/>
      <c r="H198" s="147"/>
      <c r="I198" s="150"/>
      <c r="J198" s="150"/>
      <c r="K198" s="279"/>
      <c r="L198" s="287" t="str">
        <f t="shared" si="15"/>
        <v/>
      </c>
      <c r="M198" s="287" t="str">
        <f t="shared" si="16"/>
        <v/>
      </c>
      <c r="N198" s="295" t="str">
        <f t="shared" si="17"/>
        <v/>
      </c>
      <c r="O198" s="287" t="str">
        <f t="shared" si="18"/>
        <v/>
      </c>
      <c r="P198" t="str">
        <f t="shared" si="19"/>
        <v>برايفيت</v>
      </c>
    </row>
    <row r="199" spans="1:16" ht="15.5" x14ac:dyDescent="0.35">
      <c r="A199" s="137">
        <v>198</v>
      </c>
      <c r="B199" s="133"/>
      <c r="C199" s="133"/>
      <c r="D199" s="134" t="s">
        <v>1760</v>
      </c>
      <c r="E199" s="133"/>
      <c r="F199" s="139"/>
      <c r="G199" s="137"/>
      <c r="H199" s="137"/>
      <c r="I199" s="139"/>
      <c r="J199" s="139"/>
      <c r="K199" s="281"/>
      <c r="L199" s="287" t="str">
        <f t="shared" si="15"/>
        <v/>
      </c>
      <c r="M199" s="287" t="str">
        <f t="shared" si="16"/>
        <v/>
      </c>
      <c r="N199" s="295" t="str">
        <f t="shared" si="17"/>
        <v/>
      </c>
      <c r="O199" s="287" t="str">
        <f t="shared" si="18"/>
        <v/>
      </c>
      <c r="P199" t="str">
        <f t="shared" si="19"/>
        <v>برايفيت</v>
      </c>
    </row>
    <row r="200" spans="1:16" ht="15.5" x14ac:dyDescent="0.35">
      <c r="A200" s="147">
        <v>199</v>
      </c>
      <c r="B200" s="148"/>
      <c r="C200" s="148"/>
      <c r="D200" s="149" t="s">
        <v>1760</v>
      </c>
      <c r="E200" s="148"/>
      <c r="F200" s="150"/>
      <c r="G200" s="147"/>
      <c r="H200" s="147"/>
      <c r="I200" s="150"/>
      <c r="J200" s="150"/>
      <c r="K200" s="282"/>
      <c r="L200" s="287" t="str">
        <f t="shared" si="15"/>
        <v/>
      </c>
      <c r="M200" s="287" t="str">
        <f t="shared" si="16"/>
        <v/>
      </c>
      <c r="N200" s="295" t="str">
        <f t="shared" si="17"/>
        <v/>
      </c>
      <c r="O200" s="287" t="str">
        <f t="shared" si="18"/>
        <v/>
      </c>
      <c r="P200" t="str">
        <f t="shared" si="19"/>
        <v>برايفيت</v>
      </c>
    </row>
    <row r="201" spans="1:16" ht="15.5" x14ac:dyDescent="0.35">
      <c r="A201" s="137">
        <v>200</v>
      </c>
      <c r="B201" s="133"/>
      <c r="C201" s="133"/>
      <c r="D201" s="134" t="s">
        <v>1760</v>
      </c>
      <c r="E201" s="133"/>
      <c r="F201" s="139"/>
      <c r="G201" s="137"/>
      <c r="H201" s="137"/>
      <c r="I201" s="139"/>
      <c r="J201" s="139"/>
      <c r="K201" s="281"/>
      <c r="L201" s="287" t="str">
        <f t="shared" si="15"/>
        <v/>
      </c>
      <c r="M201" s="287" t="str">
        <f t="shared" si="16"/>
        <v/>
      </c>
      <c r="N201" s="295" t="str">
        <f t="shared" si="17"/>
        <v/>
      </c>
      <c r="O201" s="287" t="str">
        <f t="shared" si="18"/>
        <v/>
      </c>
      <c r="P201" t="str">
        <f t="shared" si="19"/>
        <v>برايفيت</v>
      </c>
    </row>
    <row r="202" spans="1:16" ht="15.5" x14ac:dyDescent="0.35">
      <c r="A202" s="147">
        <v>201</v>
      </c>
      <c r="B202" s="148"/>
      <c r="C202" s="148"/>
      <c r="D202" s="149" t="s">
        <v>1760</v>
      </c>
      <c r="E202" s="148"/>
      <c r="F202" s="150"/>
      <c r="G202" s="147"/>
      <c r="H202" s="147"/>
      <c r="I202" s="150"/>
      <c r="J202" s="150"/>
      <c r="K202" s="282"/>
      <c r="L202" s="287" t="str">
        <f t="shared" si="15"/>
        <v/>
      </c>
      <c r="M202" s="287" t="str">
        <f t="shared" si="16"/>
        <v/>
      </c>
      <c r="N202" s="295" t="str">
        <f t="shared" si="17"/>
        <v/>
      </c>
      <c r="O202" s="287" t="str">
        <f t="shared" si="18"/>
        <v/>
      </c>
      <c r="P202" t="str">
        <f t="shared" si="19"/>
        <v>برايفيت</v>
      </c>
    </row>
    <row r="203" spans="1:16" ht="15.5" x14ac:dyDescent="0.35">
      <c r="A203" s="137">
        <v>202</v>
      </c>
      <c r="B203" s="133"/>
      <c r="C203" s="133"/>
      <c r="D203" s="134" t="s">
        <v>1760</v>
      </c>
      <c r="E203" s="133"/>
      <c r="F203" s="139"/>
      <c r="G203" s="137"/>
      <c r="H203" s="137"/>
      <c r="I203" s="139"/>
      <c r="J203" s="139"/>
      <c r="K203" s="281"/>
      <c r="L203" s="287" t="str">
        <f t="shared" si="15"/>
        <v/>
      </c>
      <c r="M203" s="287" t="str">
        <f t="shared" si="16"/>
        <v/>
      </c>
      <c r="N203" s="295" t="str">
        <f t="shared" si="17"/>
        <v/>
      </c>
      <c r="O203" s="287" t="str">
        <f t="shared" si="18"/>
        <v/>
      </c>
      <c r="P203" t="str">
        <f t="shared" si="19"/>
        <v>برايفيت</v>
      </c>
    </row>
    <row r="204" spans="1:16" ht="15.5" x14ac:dyDescent="0.35">
      <c r="A204" s="147">
        <v>203</v>
      </c>
      <c r="B204" s="148"/>
      <c r="C204" s="148"/>
      <c r="D204" s="149" t="s">
        <v>1760</v>
      </c>
      <c r="E204" s="148"/>
      <c r="F204" s="150"/>
      <c r="G204" s="147"/>
      <c r="H204" s="147"/>
      <c r="I204" s="150"/>
      <c r="J204" s="150"/>
      <c r="K204" s="282"/>
      <c r="L204" s="287" t="str">
        <f t="shared" si="15"/>
        <v/>
      </c>
      <c r="M204" s="287" t="str">
        <f t="shared" si="16"/>
        <v/>
      </c>
      <c r="N204" s="295" t="str">
        <f t="shared" si="17"/>
        <v/>
      </c>
      <c r="O204" s="287" t="str">
        <f t="shared" si="18"/>
        <v/>
      </c>
      <c r="P204" t="str">
        <f t="shared" si="19"/>
        <v>برايفيت</v>
      </c>
    </row>
    <row r="205" spans="1:16" ht="15.5" x14ac:dyDescent="0.35">
      <c r="A205" s="137">
        <v>204</v>
      </c>
      <c r="B205" s="133"/>
      <c r="C205" s="133"/>
      <c r="D205" s="134" t="s">
        <v>1760</v>
      </c>
      <c r="E205" s="133"/>
      <c r="F205" s="139"/>
      <c r="G205" s="137"/>
      <c r="H205" s="137"/>
      <c r="I205" s="139"/>
      <c r="J205" s="139"/>
      <c r="K205" s="281"/>
      <c r="L205" s="287" t="str">
        <f t="shared" si="15"/>
        <v/>
      </c>
      <c r="M205" s="287" t="str">
        <f t="shared" si="16"/>
        <v/>
      </c>
      <c r="N205" s="295" t="str">
        <f t="shared" si="17"/>
        <v/>
      </c>
      <c r="O205" s="287" t="str">
        <f t="shared" si="18"/>
        <v/>
      </c>
      <c r="P205" t="str">
        <f t="shared" si="19"/>
        <v>برايفيت</v>
      </c>
    </row>
    <row r="206" spans="1:16" ht="15.5" x14ac:dyDescent="0.35">
      <c r="A206" s="147">
        <v>205</v>
      </c>
      <c r="B206" s="148"/>
      <c r="C206" s="148"/>
      <c r="D206" s="149" t="s">
        <v>1760</v>
      </c>
      <c r="E206" s="148"/>
      <c r="F206" s="150"/>
      <c r="G206" s="147"/>
      <c r="H206" s="147"/>
      <c r="I206" s="150"/>
      <c r="J206" s="150"/>
      <c r="K206" s="282"/>
      <c r="L206" s="287" t="str">
        <f t="shared" si="15"/>
        <v/>
      </c>
      <c r="M206" s="287" t="str">
        <f t="shared" si="16"/>
        <v/>
      </c>
      <c r="N206" s="295" t="str">
        <f t="shared" si="17"/>
        <v/>
      </c>
      <c r="O206" s="287" t="str">
        <f t="shared" si="18"/>
        <v/>
      </c>
      <c r="P206" t="str">
        <f t="shared" si="19"/>
        <v>برايفيت</v>
      </c>
    </row>
    <row r="207" spans="1:16" ht="15.5" x14ac:dyDescent="0.35">
      <c r="A207" s="137">
        <v>206</v>
      </c>
      <c r="B207" s="133"/>
      <c r="C207" s="133"/>
      <c r="D207" s="134" t="s">
        <v>1760</v>
      </c>
      <c r="E207" s="133"/>
      <c r="F207" s="139"/>
      <c r="G207" s="137"/>
      <c r="H207" s="137"/>
      <c r="I207" s="139"/>
      <c r="J207" s="139"/>
      <c r="K207" s="281"/>
      <c r="L207" s="287" t="str">
        <f t="shared" si="15"/>
        <v/>
      </c>
      <c r="M207" s="287" t="str">
        <f t="shared" si="16"/>
        <v/>
      </c>
      <c r="N207" s="295" t="str">
        <f t="shared" si="17"/>
        <v/>
      </c>
      <c r="O207" s="287" t="str">
        <f t="shared" si="18"/>
        <v/>
      </c>
      <c r="P207" t="str">
        <f t="shared" si="19"/>
        <v>برايفيت</v>
      </c>
    </row>
    <row r="208" spans="1:16" ht="15.5" x14ac:dyDescent="0.35">
      <c r="A208" s="147">
        <v>207</v>
      </c>
      <c r="B208" s="148"/>
      <c r="C208" s="148"/>
      <c r="D208" s="149" t="s">
        <v>1760</v>
      </c>
      <c r="E208" s="148"/>
      <c r="F208" s="150"/>
      <c r="G208" s="147"/>
      <c r="H208" s="147"/>
      <c r="I208" s="150"/>
      <c r="J208" s="150"/>
      <c r="K208" s="282"/>
      <c r="L208" s="287" t="str">
        <f t="shared" si="15"/>
        <v/>
      </c>
      <c r="M208" s="287" t="str">
        <f t="shared" si="16"/>
        <v/>
      </c>
      <c r="N208" s="295" t="str">
        <f t="shared" si="17"/>
        <v/>
      </c>
      <c r="O208" s="287" t="str">
        <f t="shared" si="18"/>
        <v/>
      </c>
      <c r="P208" t="str">
        <f t="shared" si="19"/>
        <v>برايفيت</v>
      </c>
    </row>
    <row r="209" spans="1:16" ht="15.5" x14ac:dyDescent="0.35">
      <c r="A209" s="137">
        <v>208</v>
      </c>
      <c r="B209" s="133"/>
      <c r="C209" s="133"/>
      <c r="D209" s="134" t="s">
        <v>1760</v>
      </c>
      <c r="E209" s="133"/>
      <c r="F209" s="139"/>
      <c r="G209" s="137"/>
      <c r="H209" s="137"/>
      <c r="I209" s="139"/>
      <c r="J209" s="139"/>
      <c r="K209" s="281"/>
      <c r="L209" s="287" t="str">
        <f t="shared" si="15"/>
        <v/>
      </c>
      <c r="M209" s="287" t="str">
        <f t="shared" si="16"/>
        <v/>
      </c>
      <c r="N209" s="295" t="str">
        <f t="shared" si="17"/>
        <v/>
      </c>
      <c r="O209" s="287" t="str">
        <f t="shared" si="18"/>
        <v/>
      </c>
      <c r="P209" t="str">
        <f t="shared" si="19"/>
        <v>برايفيت</v>
      </c>
    </row>
    <row r="210" spans="1:16" ht="15.5" x14ac:dyDescent="0.35">
      <c r="A210" s="147">
        <v>209</v>
      </c>
      <c r="B210" s="148"/>
      <c r="C210" s="148"/>
      <c r="D210" s="149" t="s">
        <v>1760</v>
      </c>
      <c r="E210" s="148"/>
      <c r="F210" s="150"/>
      <c r="G210" s="147"/>
      <c r="H210" s="147"/>
      <c r="I210" s="150"/>
      <c r="J210" s="150"/>
      <c r="K210" s="282"/>
      <c r="L210" s="287" t="str">
        <f t="shared" si="15"/>
        <v/>
      </c>
      <c r="M210" s="287" t="str">
        <f t="shared" si="16"/>
        <v/>
      </c>
      <c r="N210" s="295" t="str">
        <f t="shared" si="17"/>
        <v/>
      </c>
      <c r="O210" s="287" t="str">
        <f t="shared" si="18"/>
        <v/>
      </c>
      <c r="P210" t="str">
        <f t="shared" si="19"/>
        <v>برايفيت</v>
      </c>
    </row>
    <row r="211" spans="1:16" ht="15.5" x14ac:dyDescent="0.35">
      <c r="A211" s="137">
        <v>210</v>
      </c>
      <c r="B211" s="133"/>
      <c r="C211" s="133"/>
      <c r="D211" s="134" t="s">
        <v>1760</v>
      </c>
      <c r="E211" s="133"/>
      <c r="F211" s="139"/>
      <c r="G211" s="137"/>
      <c r="H211" s="137"/>
      <c r="I211" s="139"/>
      <c r="J211" s="139"/>
      <c r="K211" s="281"/>
      <c r="L211" s="287" t="str">
        <f t="shared" si="15"/>
        <v/>
      </c>
      <c r="M211" s="287" t="str">
        <f t="shared" si="16"/>
        <v/>
      </c>
      <c r="N211" s="295" t="str">
        <f t="shared" si="17"/>
        <v/>
      </c>
      <c r="O211" s="287" t="str">
        <f t="shared" si="18"/>
        <v/>
      </c>
      <c r="P211" t="str">
        <f t="shared" si="19"/>
        <v>برايفيت</v>
      </c>
    </row>
    <row r="212" spans="1:16" ht="15.5" x14ac:dyDescent="0.35">
      <c r="A212" s="147">
        <v>211</v>
      </c>
      <c r="B212" s="148"/>
      <c r="C212" s="148"/>
      <c r="D212" s="149" t="s">
        <v>1760</v>
      </c>
      <c r="E212" s="148"/>
      <c r="F212" s="150"/>
      <c r="G212" s="147"/>
      <c r="H212" s="147"/>
      <c r="I212" s="150"/>
      <c r="J212" s="150"/>
      <c r="K212" s="282"/>
      <c r="L212" s="287" t="str">
        <f t="shared" si="15"/>
        <v/>
      </c>
      <c r="M212" s="287" t="str">
        <f t="shared" si="16"/>
        <v/>
      </c>
      <c r="N212" s="295" t="str">
        <f t="shared" si="17"/>
        <v/>
      </c>
      <c r="O212" s="287" t="str">
        <f t="shared" si="18"/>
        <v/>
      </c>
      <c r="P212" t="str">
        <f t="shared" si="19"/>
        <v>برايفيت</v>
      </c>
    </row>
    <row r="213" spans="1:16" ht="15.5" x14ac:dyDescent="0.35">
      <c r="A213" s="137">
        <v>212</v>
      </c>
      <c r="B213" s="133"/>
      <c r="C213" s="133"/>
      <c r="D213" s="134" t="s">
        <v>1760</v>
      </c>
      <c r="E213" s="133"/>
      <c r="F213" s="139"/>
      <c r="G213" s="137"/>
      <c r="H213" s="137"/>
      <c r="I213" s="139"/>
      <c r="J213" s="139"/>
      <c r="K213" s="281"/>
      <c r="L213" s="287" t="str">
        <f t="shared" si="15"/>
        <v/>
      </c>
      <c r="M213" s="287" t="str">
        <f t="shared" si="16"/>
        <v/>
      </c>
      <c r="N213" s="295" t="str">
        <f t="shared" si="17"/>
        <v/>
      </c>
      <c r="O213" s="287" t="str">
        <f t="shared" si="18"/>
        <v/>
      </c>
      <c r="P213" t="str">
        <f t="shared" si="19"/>
        <v>برايفيت</v>
      </c>
    </row>
    <row r="214" spans="1:16" ht="15.5" x14ac:dyDescent="0.35">
      <c r="A214" s="147">
        <v>213</v>
      </c>
      <c r="B214" s="148"/>
      <c r="C214" s="148"/>
      <c r="D214" s="149" t="s">
        <v>1760</v>
      </c>
      <c r="E214" s="148"/>
      <c r="F214" s="150"/>
      <c r="G214" s="147"/>
      <c r="H214" s="147"/>
      <c r="I214" s="150"/>
      <c r="J214" s="150"/>
      <c r="K214" s="282"/>
      <c r="L214" s="287" t="str">
        <f t="shared" si="15"/>
        <v/>
      </c>
      <c r="M214" s="287" t="str">
        <f t="shared" si="16"/>
        <v/>
      </c>
      <c r="N214" s="295" t="str">
        <f t="shared" si="17"/>
        <v/>
      </c>
      <c r="O214" s="287" t="str">
        <f t="shared" si="18"/>
        <v/>
      </c>
      <c r="P214" t="str">
        <f t="shared" si="19"/>
        <v>برايفيت</v>
      </c>
    </row>
    <row r="215" spans="1:16" ht="15.5" x14ac:dyDescent="0.35">
      <c r="A215" s="137">
        <v>214</v>
      </c>
      <c r="B215" s="133"/>
      <c r="C215" s="133"/>
      <c r="D215" s="134" t="s">
        <v>1760</v>
      </c>
      <c r="E215" s="133"/>
      <c r="F215" s="139"/>
      <c r="G215" s="137"/>
      <c r="H215" s="137"/>
      <c r="I215" s="139"/>
      <c r="J215" s="139"/>
      <c r="K215" s="281"/>
      <c r="L215" s="287" t="str">
        <f t="shared" si="15"/>
        <v/>
      </c>
      <c r="M215" s="287" t="str">
        <f t="shared" si="16"/>
        <v/>
      </c>
      <c r="N215" s="295" t="str">
        <f t="shared" si="17"/>
        <v/>
      </c>
      <c r="O215" s="287" t="str">
        <f t="shared" si="18"/>
        <v/>
      </c>
      <c r="P215" t="str">
        <f t="shared" si="19"/>
        <v>برايفيت</v>
      </c>
    </row>
    <row r="216" spans="1:16" ht="15.5" x14ac:dyDescent="0.35">
      <c r="A216" s="147">
        <v>215</v>
      </c>
      <c r="B216" s="148"/>
      <c r="C216" s="148"/>
      <c r="D216" s="149" t="s">
        <v>1760</v>
      </c>
      <c r="E216" s="148"/>
      <c r="F216" s="150"/>
      <c r="G216" s="147"/>
      <c r="H216" s="147"/>
      <c r="I216" s="150"/>
      <c r="J216" s="150"/>
      <c r="K216" s="282"/>
      <c r="L216" s="287" t="str">
        <f t="shared" si="15"/>
        <v/>
      </c>
      <c r="M216" s="287" t="str">
        <f t="shared" si="16"/>
        <v/>
      </c>
      <c r="N216" s="295" t="str">
        <f t="shared" si="17"/>
        <v/>
      </c>
      <c r="O216" s="287" t="str">
        <f t="shared" si="18"/>
        <v/>
      </c>
      <c r="P216" t="str">
        <f t="shared" si="19"/>
        <v>برايفيت</v>
      </c>
    </row>
    <row r="217" spans="1:16" ht="15.5" x14ac:dyDescent="0.35">
      <c r="A217" s="137">
        <v>216</v>
      </c>
      <c r="B217" s="133"/>
      <c r="C217" s="133"/>
      <c r="D217" s="134" t="s">
        <v>1760</v>
      </c>
      <c r="E217" s="133"/>
      <c r="F217" s="139"/>
      <c r="G217" s="137"/>
      <c r="H217" s="137"/>
      <c r="I217" s="139"/>
      <c r="J217" s="139"/>
      <c r="K217" s="281"/>
      <c r="L217" s="287" t="str">
        <f t="shared" si="15"/>
        <v/>
      </c>
      <c r="M217" s="287" t="str">
        <f t="shared" si="16"/>
        <v/>
      </c>
      <c r="N217" s="295" t="str">
        <f t="shared" si="17"/>
        <v/>
      </c>
      <c r="O217" s="287" t="str">
        <f t="shared" si="18"/>
        <v/>
      </c>
      <c r="P217" t="str">
        <f t="shared" si="19"/>
        <v>برايفيت</v>
      </c>
    </row>
    <row r="218" spans="1:16" ht="15.5" x14ac:dyDescent="0.35">
      <c r="A218" s="147">
        <v>217</v>
      </c>
      <c r="B218" s="148"/>
      <c r="C218" s="148"/>
      <c r="D218" s="149" t="s">
        <v>1760</v>
      </c>
      <c r="E218" s="148"/>
      <c r="F218" s="150"/>
      <c r="G218" s="147"/>
      <c r="H218" s="147"/>
      <c r="I218" s="150"/>
      <c r="J218" s="150"/>
      <c r="K218" s="282"/>
      <c r="L218" s="287" t="str">
        <f t="shared" si="15"/>
        <v/>
      </c>
      <c r="M218" s="287" t="str">
        <f t="shared" si="16"/>
        <v/>
      </c>
      <c r="N218" s="295" t="str">
        <f t="shared" si="17"/>
        <v/>
      </c>
      <c r="O218" s="287" t="str">
        <f t="shared" si="18"/>
        <v/>
      </c>
      <c r="P218" t="str">
        <f t="shared" si="19"/>
        <v>برايفيت</v>
      </c>
    </row>
    <row r="219" spans="1:16" ht="15.5" x14ac:dyDescent="0.35">
      <c r="A219" s="137">
        <v>218</v>
      </c>
      <c r="B219" s="133"/>
      <c r="C219" s="133"/>
      <c r="D219" s="134" t="s">
        <v>1760</v>
      </c>
      <c r="E219" s="133"/>
      <c r="F219" s="139"/>
      <c r="G219" s="137"/>
      <c r="H219" s="137"/>
      <c r="I219" s="139"/>
      <c r="J219" s="139"/>
      <c r="K219" s="281"/>
      <c r="L219" s="287" t="str">
        <f t="shared" si="15"/>
        <v/>
      </c>
      <c r="M219" s="287" t="str">
        <f t="shared" si="16"/>
        <v/>
      </c>
      <c r="N219" s="295" t="str">
        <f t="shared" si="17"/>
        <v/>
      </c>
      <c r="O219" s="287" t="str">
        <f t="shared" si="18"/>
        <v/>
      </c>
      <c r="P219" t="str">
        <f t="shared" si="19"/>
        <v>برايفيت</v>
      </c>
    </row>
    <row r="220" spans="1:16" ht="15.5" x14ac:dyDescent="0.35">
      <c r="A220" s="147">
        <v>219</v>
      </c>
      <c r="B220" s="148"/>
      <c r="C220" s="148"/>
      <c r="D220" s="149" t="s">
        <v>1760</v>
      </c>
      <c r="E220" s="148"/>
      <c r="F220" s="150"/>
      <c r="G220" s="147"/>
      <c r="H220" s="147"/>
      <c r="I220" s="150"/>
      <c r="J220" s="150"/>
      <c r="K220" s="282"/>
      <c r="L220" s="287" t="str">
        <f t="shared" si="15"/>
        <v/>
      </c>
      <c r="M220" s="287" t="str">
        <f t="shared" si="16"/>
        <v/>
      </c>
      <c r="N220" s="295" t="str">
        <f t="shared" si="17"/>
        <v/>
      </c>
      <c r="O220" s="287" t="str">
        <f t="shared" si="18"/>
        <v/>
      </c>
      <c r="P220" t="str">
        <f t="shared" si="19"/>
        <v>برايفيت</v>
      </c>
    </row>
    <row r="221" spans="1:16" ht="15.5" x14ac:dyDescent="0.35">
      <c r="A221" s="137">
        <v>220</v>
      </c>
      <c r="B221" s="133"/>
      <c r="C221" s="133"/>
      <c r="D221" s="134" t="s">
        <v>1760</v>
      </c>
      <c r="E221" s="133"/>
      <c r="F221" s="139"/>
      <c r="G221" s="137"/>
      <c r="H221" s="137"/>
      <c r="I221" s="139"/>
      <c r="J221" s="139"/>
      <c r="K221" s="281"/>
      <c r="L221" s="287" t="str">
        <f t="shared" si="15"/>
        <v/>
      </c>
      <c r="M221" s="287" t="str">
        <f t="shared" si="16"/>
        <v/>
      </c>
      <c r="N221" s="295" t="str">
        <f t="shared" si="17"/>
        <v/>
      </c>
      <c r="O221" s="287" t="str">
        <f t="shared" si="18"/>
        <v/>
      </c>
      <c r="P221" t="str">
        <f t="shared" si="19"/>
        <v>برايفيت</v>
      </c>
    </row>
    <row r="222" spans="1:16" ht="15.5" x14ac:dyDescent="0.35">
      <c r="A222" s="147">
        <v>221</v>
      </c>
      <c r="B222" s="148"/>
      <c r="C222" s="148"/>
      <c r="D222" s="149" t="s">
        <v>1760</v>
      </c>
      <c r="E222" s="148"/>
      <c r="F222" s="150"/>
      <c r="G222" s="147"/>
      <c r="H222" s="147"/>
      <c r="I222" s="150"/>
      <c r="J222" s="150"/>
      <c r="K222" s="282"/>
      <c r="L222" s="287" t="str">
        <f t="shared" si="15"/>
        <v/>
      </c>
      <c r="M222" s="287" t="str">
        <f t="shared" si="16"/>
        <v/>
      </c>
      <c r="N222" s="295" t="str">
        <f t="shared" si="17"/>
        <v/>
      </c>
      <c r="O222" s="287" t="str">
        <f t="shared" si="18"/>
        <v/>
      </c>
      <c r="P222" t="str">
        <f t="shared" si="19"/>
        <v>برايفيت</v>
      </c>
    </row>
    <row r="223" spans="1:16" ht="15.5" x14ac:dyDescent="0.35">
      <c r="A223" s="137">
        <v>222</v>
      </c>
      <c r="B223" s="133"/>
      <c r="C223" s="133"/>
      <c r="D223" s="134" t="s">
        <v>1760</v>
      </c>
      <c r="E223" s="133"/>
      <c r="F223" s="139"/>
      <c r="G223" s="137"/>
      <c r="H223" s="137"/>
      <c r="I223" s="139"/>
      <c r="J223" s="139"/>
      <c r="K223" s="281"/>
      <c r="L223" s="287" t="str">
        <f t="shared" si="15"/>
        <v/>
      </c>
      <c r="M223" s="287" t="str">
        <f t="shared" si="16"/>
        <v/>
      </c>
      <c r="N223" s="295" t="str">
        <f t="shared" si="17"/>
        <v/>
      </c>
      <c r="O223" s="287" t="str">
        <f t="shared" si="18"/>
        <v/>
      </c>
      <c r="P223" t="str">
        <f t="shared" si="19"/>
        <v>برايفيت</v>
      </c>
    </row>
    <row r="224" spans="1:16" ht="15.5" x14ac:dyDescent="0.35">
      <c r="A224" s="147">
        <v>223</v>
      </c>
      <c r="B224" s="148"/>
      <c r="C224" s="148"/>
      <c r="D224" s="149" t="s">
        <v>1760</v>
      </c>
      <c r="E224" s="148"/>
      <c r="F224" s="150"/>
      <c r="G224" s="147"/>
      <c r="H224" s="147"/>
      <c r="I224" s="150"/>
      <c r="J224" s="150"/>
      <c r="K224" s="282"/>
      <c r="L224" s="287" t="str">
        <f t="shared" si="15"/>
        <v/>
      </c>
      <c r="M224" s="287" t="str">
        <f t="shared" si="16"/>
        <v/>
      </c>
      <c r="N224" s="295" t="str">
        <f t="shared" si="17"/>
        <v/>
      </c>
      <c r="O224" s="287" t="str">
        <f t="shared" si="18"/>
        <v/>
      </c>
      <c r="P224" t="str">
        <f t="shared" si="19"/>
        <v>برايفيت</v>
      </c>
    </row>
    <row r="225" spans="1:16" ht="15.5" x14ac:dyDescent="0.35">
      <c r="A225" s="137">
        <v>224</v>
      </c>
      <c r="B225" s="133"/>
      <c r="C225" s="133"/>
      <c r="D225" s="134" t="s">
        <v>1760</v>
      </c>
      <c r="E225" s="133"/>
      <c r="F225" s="139"/>
      <c r="G225" s="137"/>
      <c r="H225" s="137"/>
      <c r="I225" s="139"/>
      <c r="J225" s="139"/>
      <c r="K225" s="281"/>
      <c r="L225" s="287" t="str">
        <f t="shared" si="15"/>
        <v/>
      </c>
      <c r="M225" s="287" t="str">
        <f t="shared" si="16"/>
        <v/>
      </c>
      <c r="N225" s="295" t="str">
        <f t="shared" si="17"/>
        <v/>
      </c>
      <c r="O225" s="287" t="str">
        <f t="shared" si="18"/>
        <v/>
      </c>
      <c r="P225" t="str">
        <f t="shared" si="19"/>
        <v>برايفيت</v>
      </c>
    </row>
    <row r="226" spans="1:16" ht="15.5" x14ac:dyDescent="0.35">
      <c r="A226" s="147">
        <v>225</v>
      </c>
      <c r="B226" s="148"/>
      <c r="C226" s="148"/>
      <c r="D226" s="149" t="s">
        <v>1760</v>
      </c>
      <c r="E226" s="148"/>
      <c r="F226" s="150"/>
      <c r="G226" s="147"/>
      <c r="H226" s="147"/>
      <c r="I226" s="150"/>
      <c r="J226" s="150"/>
      <c r="K226" s="282"/>
      <c r="L226" s="287" t="str">
        <f t="shared" si="15"/>
        <v/>
      </c>
      <c r="M226" s="287" t="str">
        <f t="shared" si="16"/>
        <v/>
      </c>
      <c r="N226" s="295" t="str">
        <f t="shared" si="17"/>
        <v/>
      </c>
      <c r="O226" s="287" t="str">
        <f t="shared" si="18"/>
        <v/>
      </c>
      <c r="P226" t="str">
        <f t="shared" si="19"/>
        <v>برايفيت</v>
      </c>
    </row>
    <row r="227" spans="1:16" ht="15.5" x14ac:dyDescent="0.35">
      <c r="A227" s="138"/>
      <c r="B227" s="133"/>
      <c r="C227" s="133"/>
      <c r="D227" s="134" t="s">
        <v>1760</v>
      </c>
      <c r="E227" s="133"/>
      <c r="F227" s="139"/>
      <c r="G227" s="137"/>
      <c r="H227" s="137"/>
      <c r="I227" s="139"/>
      <c r="J227" s="139"/>
      <c r="K227" s="281"/>
      <c r="L227" s="287" t="str">
        <f t="shared" si="15"/>
        <v/>
      </c>
      <c r="M227" s="287" t="str">
        <f t="shared" si="16"/>
        <v/>
      </c>
      <c r="N227" s="295" t="str">
        <f t="shared" si="17"/>
        <v/>
      </c>
      <c r="O227" s="287" t="str">
        <f t="shared" si="18"/>
        <v/>
      </c>
      <c r="P227" t="str">
        <f t="shared" si="19"/>
        <v>برايفيت</v>
      </c>
    </row>
    <row r="228" spans="1:16" ht="15.5" x14ac:dyDescent="0.35">
      <c r="A228" s="151"/>
      <c r="B228" s="148"/>
      <c r="C228" s="152"/>
      <c r="D228" s="153" t="s">
        <v>1760</v>
      </c>
      <c r="E228" s="148"/>
      <c r="F228" s="150"/>
      <c r="G228" s="147"/>
      <c r="H228" s="147"/>
      <c r="I228" s="150"/>
      <c r="J228" s="150"/>
      <c r="K228" s="282"/>
      <c r="L228" s="287" t="str">
        <f t="shared" si="15"/>
        <v/>
      </c>
      <c r="M228" s="287" t="str">
        <f t="shared" si="16"/>
        <v/>
      </c>
      <c r="N228" s="295" t="str">
        <f t="shared" si="17"/>
        <v/>
      </c>
      <c r="O228" s="287" t="str">
        <f t="shared" si="18"/>
        <v/>
      </c>
      <c r="P228" t="str">
        <f t="shared" si="19"/>
        <v>برايفيت</v>
      </c>
    </row>
    <row r="229" spans="1:16" ht="15.5" x14ac:dyDescent="0.35">
      <c r="A229" s="138"/>
      <c r="B229" s="133"/>
      <c r="C229" s="135"/>
      <c r="D229" s="136" t="s">
        <v>1760</v>
      </c>
      <c r="E229" s="135"/>
      <c r="F229" s="140"/>
      <c r="G229" s="138"/>
      <c r="H229" s="137"/>
      <c r="I229" s="140"/>
      <c r="J229" s="140"/>
      <c r="K229" s="283"/>
      <c r="L229" s="287" t="str">
        <f t="shared" si="15"/>
        <v/>
      </c>
      <c r="M229" s="287" t="str">
        <f t="shared" si="16"/>
        <v/>
      </c>
      <c r="N229" s="295" t="str">
        <f t="shared" si="17"/>
        <v/>
      </c>
      <c r="O229" s="287" t="str">
        <f t="shared" si="18"/>
        <v/>
      </c>
      <c r="P229" t="str">
        <f t="shared" si="19"/>
        <v>برايفيت</v>
      </c>
    </row>
    <row r="230" spans="1:16" ht="15.5" x14ac:dyDescent="0.35">
      <c r="A230" s="151"/>
      <c r="B230" s="148"/>
      <c r="C230" s="152"/>
      <c r="D230" s="153" t="s">
        <v>1760</v>
      </c>
      <c r="E230" s="152"/>
      <c r="F230" s="154"/>
      <c r="G230" s="151"/>
      <c r="H230" s="147"/>
      <c r="I230" s="154"/>
      <c r="J230" s="154"/>
      <c r="K230" s="284"/>
      <c r="L230" s="287" t="str">
        <f t="shared" si="15"/>
        <v/>
      </c>
      <c r="M230" s="287" t="str">
        <f t="shared" si="16"/>
        <v/>
      </c>
      <c r="N230" s="295" t="str">
        <f t="shared" si="17"/>
        <v/>
      </c>
      <c r="O230" s="287" t="str">
        <f t="shared" si="18"/>
        <v/>
      </c>
      <c r="P230" t="str">
        <f t="shared" si="19"/>
        <v>برايفيت</v>
      </c>
    </row>
    <row r="231" spans="1:16" ht="15.5" x14ac:dyDescent="0.35">
      <c r="A231" s="138"/>
      <c r="B231" s="133"/>
      <c r="C231" s="135"/>
      <c r="D231" s="136" t="s">
        <v>1760</v>
      </c>
      <c r="E231" s="135"/>
      <c r="F231" s="140"/>
      <c r="G231" s="138"/>
      <c r="H231" s="137"/>
      <c r="I231" s="140"/>
      <c r="J231" s="140"/>
      <c r="K231" s="283"/>
      <c r="L231" s="287" t="str">
        <f t="shared" si="15"/>
        <v/>
      </c>
      <c r="M231" s="287" t="str">
        <f t="shared" si="16"/>
        <v/>
      </c>
      <c r="N231" s="295" t="str">
        <f t="shared" si="17"/>
        <v/>
      </c>
      <c r="O231" s="287" t="str">
        <f t="shared" si="18"/>
        <v/>
      </c>
      <c r="P231" t="str">
        <f t="shared" si="19"/>
        <v>برايفيت</v>
      </c>
    </row>
    <row r="232" spans="1:16" ht="15.5" x14ac:dyDescent="0.35">
      <c r="A232" s="151"/>
      <c r="B232" s="148"/>
      <c r="C232" s="152"/>
      <c r="D232" s="153" t="s">
        <v>1760</v>
      </c>
      <c r="E232" s="152"/>
      <c r="F232" s="154"/>
      <c r="G232" s="151"/>
      <c r="H232" s="151"/>
      <c r="I232" s="154"/>
      <c r="J232" s="154"/>
      <c r="K232" s="284"/>
      <c r="L232" s="287" t="str">
        <f t="shared" si="15"/>
        <v/>
      </c>
      <c r="M232" s="287" t="str">
        <f t="shared" si="16"/>
        <v/>
      </c>
      <c r="N232" s="295" t="str">
        <f t="shared" si="17"/>
        <v/>
      </c>
      <c r="O232" s="287" t="str">
        <f t="shared" si="18"/>
        <v/>
      </c>
      <c r="P232" t="str">
        <f t="shared" si="19"/>
        <v>برايفيت</v>
      </c>
    </row>
    <row r="233" spans="1:16" ht="15.5" x14ac:dyDescent="0.35">
      <c r="A233" s="138"/>
      <c r="B233" s="133"/>
      <c r="C233" s="135"/>
      <c r="D233" s="136" t="s">
        <v>1760</v>
      </c>
      <c r="E233" s="135"/>
      <c r="F233" s="140"/>
      <c r="G233" s="138"/>
      <c r="H233" s="138"/>
      <c r="I233" s="140"/>
      <c r="J233" s="140"/>
      <c r="K233" s="283"/>
      <c r="L233" s="287" t="str">
        <f t="shared" si="15"/>
        <v/>
      </c>
      <c r="M233" s="287" t="str">
        <f t="shared" si="16"/>
        <v/>
      </c>
      <c r="N233" s="295" t="str">
        <f t="shared" si="17"/>
        <v/>
      </c>
      <c r="O233" s="287" t="str">
        <f t="shared" si="18"/>
        <v/>
      </c>
      <c r="P233" t="str">
        <f t="shared" si="19"/>
        <v>برايفيت</v>
      </c>
    </row>
    <row r="234" spans="1:16" ht="15.5" x14ac:dyDescent="0.35">
      <c r="A234" s="151"/>
      <c r="B234" s="148"/>
      <c r="C234" s="152"/>
      <c r="D234" s="153" t="s">
        <v>1760</v>
      </c>
      <c r="E234" s="152"/>
      <c r="F234" s="154"/>
      <c r="G234" s="151"/>
      <c r="H234" s="151"/>
      <c r="I234" s="154"/>
      <c r="J234" s="154"/>
      <c r="K234" s="284"/>
      <c r="L234" s="287" t="str">
        <f t="shared" si="15"/>
        <v/>
      </c>
      <c r="M234" s="287" t="str">
        <f t="shared" si="16"/>
        <v/>
      </c>
      <c r="N234" s="295" t="str">
        <f t="shared" si="17"/>
        <v/>
      </c>
      <c r="O234" s="287" t="str">
        <f t="shared" si="18"/>
        <v/>
      </c>
      <c r="P234" t="str">
        <f t="shared" si="19"/>
        <v>برايفيت</v>
      </c>
    </row>
    <row r="235" spans="1:16" ht="15.5" x14ac:dyDescent="0.35">
      <c r="A235" s="138"/>
      <c r="B235" s="133"/>
      <c r="C235" s="135"/>
      <c r="D235" s="136" t="s">
        <v>1760</v>
      </c>
      <c r="E235" s="135"/>
      <c r="F235" s="140"/>
      <c r="G235" s="138"/>
      <c r="H235" s="138"/>
      <c r="I235" s="140"/>
      <c r="J235" s="140"/>
      <c r="K235" s="283"/>
      <c r="L235" s="287" t="str">
        <f t="shared" si="15"/>
        <v/>
      </c>
      <c r="M235" s="287" t="str">
        <f t="shared" si="16"/>
        <v/>
      </c>
      <c r="N235" s="295" t="str">
        <f t="shared" si="17"/>
        <v/>
      </c>
      <c r="O235" s="287" t="str">
        <f t="shared" si="18"/>
        <v/>
      </c>
      <c r="P235" t="str">
        <f t="shared" si="19"/>
        <v>برايفيت</v>
      </c>
    </row>
    <row r="236" spans="1:16" ht="15.5" x14ac:dyDescent="0.35">
      <c r="A236" s="151"/>
      <c r="B236" s="148"/>
      <c r="C236" s="152"/>
      <c r="D236" s="153" t="s">
        <v>1760</v>
      </c>
      <c r="E236" s="152"/>
      <c r="F236" s="154"/>
      <c r="G236" s="151"/>
      <c r="H236" s="151"/>
      <c r="I236" s="154"/>
      <c r="J236" s="154"/>
      <c r="K236" s="284"/>
      <c r="L236" s="287" t="str">
        <f t="shared" si="15"/>
        <v/>
      </c>
      <c r="M236" s="287" t="str">
        <f t="shared" si="16"/>
        <v/>
      </c>
      <c r="N236" s="295" t="str">
        <f t="shared" si="17"/>
        <v/>
      </c>
      <c r="O236" s="287" t="str">
        <f t="shared" si="18"/>
        <v/>
      </c>
      <c r="P236" t="str">
        <f t="shared" si="19"/>
        <v>برايفيت</v>
      </c>
    </row>
    <row r="237" spans="1:16" ht="15.5" x14ac:dyDescent="0.35">
      <c r="A237" s="138"/>
      <c r="B237" s="133"/>
      <c r="C237" s="135"/>
      <c r="D237" s="136" t="s">
        <v>1760</v>
      </c>
      <c r="E237" s="135"/>
      <c r="F237" s="140"/>
      <c r="G237" s="138"/>
      <c r="H237" s="138"/>
      <c r="I237" s="140"/>
      <c r="J237" s="140"/>
      <c r="K237" s="283"/>
      <c r="L237" s="287" t="str">
        <f t="shared" si="15"/>
        <v/>
      </c>
      <c r="M237" s="287" t="str">
        <f t="shared" si="16"/>
        <v/>
      </c>
      <c r="N237" s="295" t="str">
        <f t="shared" si="17"/>
        <v/>
      </c>
      <c r="O237" s="287" t="str">
        <f t="shared" si="18"/>
        <v/>
      </c>
      <c r="P237" t="str">
        <f t="shared" si="19"/>
        <v>برايفيت</v>
      </c>
    </row>
    <row r="238" spans="1:16" ht="15.5" x14ac:dyDescent="0.35">
      <c r="A238" s="151"/>
      <c r="B238" s="148"/>
      <c r="C238" s="152"/>
      <c r="D238" s="153" t="s">
        <v>1760</v>
      </c>
      <c r="E238" s="152"/>
      <c r="F238" s="154"/>
      <c r="G238" s="151"/>
      <c r="H238" s="151"/>
      <c r="I238" s="154"/>
      <c r="J238" s="154"/>
      <c r="K238" s="284"/>
      <c r="L238" s="287" t="str">
        <f t="shared" si="15"/>
        <v/>
      </c>
      <c r="M238" s="287" t="str">
        <f t="shared" si="16"/>
        <v/>
      </c>
      <c r="N238" s="295" t="str">
        <f t="shared" si="17"/>
        <v/>
      </c>
      <c r="O238" s="287" t="str">
        <f t="shared" si="18"/>
        <v/>
      </c>
      <c r="P238" t="str">
        <f t="shared" si="19"/>
        <v>برايفيت</v>
      </c>
    </row>
    <row r="239" spans="1:16" ht="15.5" x14ac:dyDescent="0.35">
      <c r="A239" s="138"/>
      <c r="B239" s="133"/>
      <c r="C239" s="135"/>
      <c r="D239" s="136" t="s">
        <v>1760</v>
      </c>
      <c r="E239" s="135"/>
      <c r="F239" s="140"/>
      <c r="G239" s="138"/>
      <c r="H239" s="138"/>
      <c r="I239" s="140"/>
      <c r="J239" s="140"/>
      <c r="K239" s="283"/>
      <c r="L239" s="287" t="str">
        <f t="shared" si="15"/>
        <v/>
      </c>
      <c r="M239" s="287" t="str">
        <f t="shared" si="16"/>
        <v/>
      </c>
      <c r="N239" s="295" t="str">
        <f t="shared" si="17"/>
        <v/>
      </c>
      <c r="O239" s="287" t="str">
        <f t="shared" si="18"/>
        <v/>
      </c>
      <c r="P239" t="str">
        <f t="shared" si="19"/>
        <v>برايفيت</v>
      </c>
    </row>
    <row r="240" spans="1:16" ht="15.5" x14ac:dyDescent="0.35">
      <c r="A240" s="151"/>
      <c r="B240" s="148"/>
      <c r="C240" s="152"/>
      <c r="D240" s="153" t="s">
        <v>1760</v>
      </c>
      <c r="E240" s="152"/>
      <c r="F240" s="154"/>
      <c r="G240" s="151"/>
      <c r="H240" s="151"/>
      <c r="I240" s="154"/>
      <c r="J240" s="154"/>
      <c r="K240" s="284"/>
      <c r="L240" s="287" t="str">
        <f t="shared" si="15"/>
        <v/>
      </c>
      <c r="M240" s="287" t="str">
        <f t="shared" si="16"/>
        <v/>
      </c>
      <c r="N240" s="295" t="str">
        <f t="shared" si="17"/>
        <v/>
      </c>
      <c r="O240" s="287" t="str">
        <f t="shared" si="18"/>
        <v/>
      </c>
      <c r="P240" t="str">
        <f t="shared" si="19"/>
        <v>برايفيت</v>
      </c>
    </row>
    <row r="241" spans="1:16" ht="15.5" x14ac:dyDescent="0.35">
      <c r="A241" s="138"/>
      <c r="B241" s="133"/>
      <c r="C241" s="135"/>
      <c r="D241" s="136" t="s">
        <v>1760</v>
      </c>
      <c r="E241" s="135"/>
      <c r="F241" s="140"/>
      <c r="G241" s="138"/>
      <c r="H241" s="138"/>
      <c r="I241" s="140"/>
      <c r="J241" s="140"/>
      <c r="K241" s="283"/>
      <c r="L241" s="287" t="str">
        <f t="shared" si="15"/>
        <v/>
      </c>
      <c r="M241" s="287" t="str">
        <f t="shared" si="16"/>
        <v/>
      </c>
      <c r="N241" s="295" t="str">
        <f t="shared" si="17"/>
        <v/>
      </c>
      <c r="O241" s="287" t="str">
        <f t="shared" si="18"/>
        <v/>
      </c>
      <c r="P241" t="str">
        <f t="shared" si="19"/>
        <v>برايفيت</v>
      </c>
    </row>
    <row r="242" spans="1:16" ht="15.5" x14ac:dyDescent="0.35">
      <c r="A242" s="151"/>
      <c r="B242" s="148"/>
      <c r="C242" s="152"/>
      <c r="D242" s="153" t="s">
        <v>1760</v>
      </c>
      <c r="E242" s="152"/>
      <c r="F242" s="154"/>
      <c r="G242" s="151"/>
      <c r="H242" s="151"/>
      <c r="I242" s="154"/>
      <c r="J242" s="154"/>
      <c r="K242" s="284"/>
      <c r="L242" s="287" t="str">
        <f t="shared" si="15"/>
        <v/>
      </c>
      <c r="M242" s="287" t="str">
        <f t="shared" si="16"/>
        <v/>
      </c>
      <c r="N242" s="295" t="str">
        <f t="shared" si="17"/>
        <v/>
      </c>
      <c r="O242" s="287" t="str">
        <f t="shared" si="18"/>
        <v/>
      </c>
      <c r="P242" t="str">
        <f t="shared" si="19"/>
        <v>برايفيت</v>
      </c>
    </row>
    <row r="243" spans="1:16" ht="15.5" x14ac:dyDescent="0.35">
      <c r="A243" s="138"/>
      <c r="B243" s="133"/>
      <c r="C243" s="135"/>
      <c r="D243" s="136" t="s">
        <v>1760</v>
      </c>
      <c r="E243" s="135"/>
      <c r="F243" s="140"/>
      <c r="G243" s="138"/>
      <c r="H243" s="138"/>
      <c r="I243" s="140"/>
      <c r="J243" s="140"/>
      <c r="K243" s="283"/>
      <c r="L243" s="287" t="str">
        <f t="shared" si="15"/>
        <v/>
      </c>
      <c r="M243" s="287" t="str">
        <f t="shared" si="16"/>
        <v/>
      </c>
      <c r="N243" s="295" t="str">
        <f t="shared" si="17"/>
        <v/>
      </c>
      <c r="O243" s="287" t="str">
        <f t="shared" si="18"/>
        <v/>
      </c>
      <c r="P243" t="str">
        <f t="shared" si="19"/>
        <v>برايفيت</v>
      </c>
    </row>
    <row r="244" spans="1:16" ht="15.5" x14ac:dyDescent="0.35">
      <c r="A244" s="151"/>
      <c r="B244" s="148"/>
      <c r="C244" s="152"/>
      <c r="D244" s="153" t="s">
        <v>1760</v>
      </c>
      <c r="E244" s="152"/>
      <c r="F244" s="154"/>
      <c r="G244" s="151"/>
      <c r="H244" s="151"/>
      <c r="I244" s="154"/>
      <c r="J244" s="154"/>
      <c r="K244" s="284"/>
      <c r="L244" s="287" t="str">
        <f t="shared" si="15"/>
        <v/>
      </c>
      <c r="M244" s="287" t="str">
        <f t="shared" si="16"/>
        <v/>
      </c>
      <c r="N244" s="295" t="str">
        <f t="shared" si="17"/>
        <v/>
      </c>
      <c r="O244" s="287" t="str">
        <f t="shared" si="18"/>
        <v/>
      </c>
      <c r="P244" t="str">
        <f t="shared" si="19"/>
        <v>برايفيت</v>
      </c>
    </row>
    <row r="245" spans="1:16" ht="15.5" x14ac:dyDescent="0.35">
      <c r="A245" s="138"/>
      <c r="B245" s="133"/>
      <c r="C245" s="135"/>
      <c r="D245" s="136" t="s">
        <v>1760</v>
      </c>
      <c r="E245" s="135"/>
      <c r="F245" s="140"/>
      <c r="G245" s="138"/>
      <c r="H245" s="138"/>
      <c r="I245" s="140"/>
      <c r="J245" s="140"/>
      <c r="K245" s="283"/>
      <c r="L245" s="287" t="str">
        <f t="shared" si="15"/>
        <v/>
      </c>
      <c r="M245" s="287" t="str">
        <f t="shared" si="16"/>
        <v/>
      </c>
      <c r="N245" s="295" t="str">
        <f t="shared" si="17"/>
        <v/>
      </c>
      <c r="O245" s="287" t="str">
        <f t="shared" si="18"/>
        <v/>
      </c>
      <c r="P245" t="str">
        <f t="shared" si="19"/>
        <v>برايفيت</v>
      </c>
    </row>
    <row r="246" spans="1:16" ht="15.5" x14ac:dyDescent="0.35">
      <c r="A246" s="151"/>
      <c r="B246" s="148"/>
      <c r="C246" s="152"/>
      <c r="D246" s="153" t="s">
        <v>1760</v>
      </c>
      <c r="E246" s="152"/>
      <c r="F246" s="154"/>
      <c r="G246" s="151"/>
      <c r="H246" s="151"/>
      <c r="I246" s="154"/>
      <c r="J246" s="154"/>
      <c r="K246" s="284"/>
      <c r="L246" s="287" t="str">
        <f t="shared" si="15"/>
        <v/>
      </c>
      <c r="M246" s="287" t="str">
        <f t="shared" si="16"/>
        <v/>
      </c>
      <c r="N246" s="295" t="str">
        <f t="shared" si="17"/>
        <v/>
      </c>
      <c r="O246" s="287" t="str">
        <f t="shared" si="18"/>
        <v/>
      </c>
      <c r="P246" t="str">
        <f t="shared" si="19"/>
        <v>برايفيت</v>
      </c>
    </row>
    <row r="247" spans="1:16" ht="15.5" x14ac:dyDescent="0.35">
      <c r="A247" s="138"/>
      <c r="B247" s="133"/>
      <c r="C247" s="135"/>
      <c r="D247" s="136" t="s">
        <v>1760</v>
      </c>
      <c r="E247" s="135"/>
      <c r="F247" s="140"/>
      <c r="G247" s="138"/>
      <c r="H247" s="138"/>
      <c r="I247" s="140"/>
      <c r="J247" s="140"/>
      <c r="K247" s="283"/>
      <c r="L247" s="287" t="str">
        <f t="shared" si="15"/>
        <v/>
      </c>
      <c r="M247" s="287" t="str">
        <f t="shared" si="16"/>
        <v/>
      </c>
      <c r="N247" s="295" t="str">
        <f t="shared" si="17"/>
        <v/>
      </c>
      <c r="O247" s="287" t="str">
        <f t="shared" si="18"/>
        <v/>
      </c>
      <c r="P247" t="str">
        <f t="shared" si="19"/>
        <v>برايفيت</v>
      </c>
    </row>
    <row r="248" spans="1:16" ht="15.5" x14ac:dyDescent="0.35">
      <c r="A248" s="151"/>
      <c r="B248" s="148"/>
      <c r="C248" s="152"/>
      <c r="D248" s="153" t="s">
        <v>1760</v>
      </c>
      <c r="E248" s="152"/>
      <c r="F248" s="154"/>
      <c r="G248" s="151"/>
      <c r="H248" s="151"/>
      <c r="I248" s="154"/>
      <c r="J248" s="154"/>
      <c r="K248" s="284"/>
      <c r="L248" s="287" t="str">
        <f t="shared" si="15"/>
        <v/>
      </c>
      <c r="M248" s="287" t="str">
        <f t="shared" si="16"/>
        <v/>
      </c>
      <c r="N248" s="295" t="str">
        <f t="shared" si="17"/>
        <v/>
      </c>
      <c r="O248" s="287" t="str">
        <f t="shared" si="18"/>
        <v/>
      </c>
      <c r="P248" t="str">
        <f t="shared" si="19"/>
        <v>برايفيت</v>
      </c>
    </row>
    <row r="249" spans="1:16" ht="15.5" x14ac:dyDescent="0.35">
      <c r="A249" s="138"/>
      <c r="B249" s="133"/>
      <c r="C249" s="135"/>
      <c r="D249" s="136" t="s">
        <v>1760</v>
      </c>
      <c r="E249" s="135"/>
      <c r="F249" s="140"/>
      <c r="G249" s="138"/>
      <c r="H249" s="138"/>
      <c r="I249" s="140"/>
      <c r="J249" s="140"/>
      <c r="K249" s="283"/>
      <c r="L249" s="287" t="str">
        <f t="shared" si="15"/>
        <v/>
      </c>
      <c r="M249" s="287" t="str">
        <f t="shared" si="16"/>
        <v/>
      </c>
      <c r="N249" s="295" t="str">
        <f t="shared" si="17"/>
        <v/>
      </c>
      <c r="O249" s="287" t="str">
        <f t="shared" si="18"/>
        <v/>
      </c>
      <c r="P249" t="str">
        <f t="shared" si="19"/>
        <v>برايفيت</v>
      </c>
    </row>
    <row r="250" spans="1:16" ht="15.5" x14ac:dyDescent="0.35">
      <c r="A250" s="151"/>
      <c r="B250" s="148"/>
      <c r="C250" s="152"/>
      <c r="D250" s="153" t="s">
        <v>1760</v>
      </c>
      <c r="E250" s="152"/>
      <c r="F250" s="154"/>
      <c r="G250" s="151"/>
      <c r="H250" s="151"/>
      <c r="I250" s="154"/>
      <c r="J250" s="154"/>
      <c r="K250" s="284"/>
      <c r="L250" s="287" t="str">
        <f t="shared" si="15"/>
        <v/>
      </c>
      <c r="M250" s="287" t="str">
        <f t="shared" si="16"/>
        <v/>
      </c>
      <c r="N250" s="295" t="str">
        <f t="shared" si="17"/>
        <v/>
      </c>
      <c r="O250" s="287" t="str">
        <f t="shared" si="18"/>
        <v/>
      </c>
      <c r="P250" t="str">
        <f t="shared" si="19"/>
        <v>برايفيت</v>
      </c>
    </row>
    <row r="251" spans="1:16" ht="15.5" x14ac:dyDescent="0.35">
      <c r="A251" s="138"/>
      <c r="B251" s="133"/>
      <c r="C251" s="135"/>
      <c r="D251" s="136" t="s">
        <v>1760</v>
      </c>
      <c r="E251" s="135"/>
      <c r="F251" s="140"/>
      <c r="G251" s="138"/>
      <c r="H251" s="138"/>
      <c r="I251" s="140"/>
      <c r="J251" s="140"/>
      <c r="K251" s="283"/>
      <c r="L251" s="287" t="str">
        <f t="shared" si="15"/>
        <v/>
      </c>
      <c r="M251" s="287" t="str">
        <f t="shared" si="16"/>
        <v/>
      </c>
      <c r="N251" s="295" t="str">
        <f t="shared" si="17"/>
        <v/>
      </c>
      <c r="O251" s="287" t="str">
        <f t="shared" si="18"/>
        <v/>
      </c>
      <c r="P251" t="str">
        <f t="shared" si="19"/>
        <v>برايفيت</v>
      </c>
    </row>
    <row r="252" spans="1:16" ht="15.5" x14ac:dyDescent="0.35">
      <c r="A252" s="151"/>
      <c r="B252" s="148"/>
      <c r="C252" s="152"/>
      <c r="D252" s="153" t="s">
        <v>1760</v>
      </c>
      <c r="E252" s="152"/>
      <c r="F252" s="154"/>
      <c r="G252" s="151"/>
      <c r="H252" s="151"/>
      <c r="I252" s="154"/>
      <c r="J252" s="154"/>
      <c r="K252" s="284"/>
      <c r="L252" s="287" t="str">
        <f t="shared" si="15"/>
        <v/>
      </c>
      <c r="M252" s="287" t="str">
        <f t="shared" si="16"/>
        <v/>
      </c>
      <c r="N252" s="295" t="str">
        <f t="shared" si="17"/>
        <v/>
      </c>
      <c r="O252" s="287" t="str">
        <f t="shared" si="18"/>
        <v/>
      </c>
      <c r="P252" t="str">
        <f t="shared" si="19"/>
        <v>برايفيت</v>
      </c>
    </row>
    <row r="253" spans="1:16" ht="15.5" x14ac:dyDescent="0.35">
      <c r="A253" s="138"/>
      <c r="B253" s="133"/>
      <c r="C253" s="135"/>
      <c r="D253" s="136" t="s">
        <v>1760</v>
      </c>
      <c r="E253" s="135"/>
      <c r="F253" s="140"/>
      <c r="G253" s="138"/>
      <c r="H253" s="138"/>
      <c r="I253" s="140"/>
      <c r="J253" s="140"/>
      <c r="K253" s="283"/>
      <c r="L253" s="287" t="str">
        <f t="shared" si="15"/>
        <v/>
      </c>
      <c r="M253" s="287" t="str">
        <f t="shared" si="16"/>
        <v/>
      </c>
      <c r="N253" s="295" t="str">
        <f t="shared" si="17"/>
        <v/>
      </c>
      <c r="O253" s="287" t="str">
        <f t="shared" si="18"/>
        <v/>
      </c>
      <c r="P253" t="str">
        <f t="shared" si="19"/>
        <v>برايفيت</v>
      </c>
    </row>
    <row r="254" spans="1:16" ht="15.5" x14ac:dyDescent="0.35">
      <c r="A254" s="151"/>
      <c r="B254" s="148"/>
      <c r="C254" s="152"/>
      <c r="D254" s="153" t="s">
        <v>1760</v>
      </c>
      <c r="E254" s="152"/>
      <c r="F254" s="154"/>
      <c r="G254" s="151"/>
      <c r="H254" s="151"/>
      <c r="I254" s="154"/>
      <c r="J254" s="154"/>
      <c r="K254" s="284"/>
      <c r="L254" s="287" t="str">
        <f t="shared" si="15"/>
        <v/>
      </c>
      <c r="M254" s="287" t="str">
        <f t="shared" si="16"/>
        <v/>
      </c>
      <c r="N254" s="295" t="str">
        <f t="shared" si="17"/>
        <v/>
      </c>
      <c r="O254" s="287" t="str">
        <f t="shared" si="18"/>
        <v/>
      </c>
      <c r="P254" t="str">
        <f t="shared" si="19"/>
        <v>برايفيت</v>
      </c>
    </row>
    <row r="255" spans="1:16" ht="15.5" x14ac:dyDescent="0.35">
      <c r="A255" s="138"/>
      <c r="B255" s="133"/>
      <c r="C255" s="135"/>
      <c r="D255" s="136" t="s">
        <v>1760</v>
      </c>
      <c r="E255" s="135"/>
      <c r="F255" s="140"/>
      <c r="G255" s="138"/>
      <c r="H255" s="138"/>
      <c r="I255" s="140"/>
      <c r="J255" s="140"/>
      <c r="K255" s="283"/>
      <c r="L255" s="287" t="str">
        <f t="shared" si="15"/>
        <v/>
      </c>
      <c r="M255" s="287" t="str">
        <f t="shared" si="16"/>
        <v/>
      </c>
      <c r="N255" s="295" t="str">
        <f t="shared" si="17"/>
        <v/>
      </c>
      <c r="O255" s="287" t="str">
        <f t="shared" si="18"/>
        <v/>
      </c>
      <c r="P255" t="str">
        <f t="shared" si="19"/>
        <v>برايفيت</v>
      </c>
    </row>
    <row r="256" spans="1:16" ht="15.5" x14ac:dyDescent="0.35">
      <c r="A256" s="151"/>
      <c r="B256" s="148"/>
      <c r="C256" s="152"/>
      <c r="D256" s="153" t="s">
        <v>1760</v>
      </c>
      <c r="E256" s="152"/>
      <c r="F256" s="154"/>
      <c r="G256" s="151"/>
      <c r="H256" s="151"/>
      <c r="I256" s="154"/>
      <c r="J256" s="154"/>
      <c r="K256" s="284"/>
      <c r="L256" s="287" t="str">
        <f t="shared" si="15"/>
        <v/>
      </c>
      <c r="M256" s="287" t="str">
        <f t="shared" si="16"/>
        <v/>
      </c>
      <c r="N256" s="295" t="str">
        <f t="shared" si="17"/>
        <v/>
      </c>
      <c r="O256" s="287" t="str">
        <f t="shared" si="18"/>
        <v/>
      </c>
      <c r="P256" t="str">
        <f t="shared" si="19"/>
        <v>برايفيت</v>
      </c>
    </row>
    <row r="257" spans="1:16" ht="15.5" x14ac:dyDescent="0.35">
      <c r="A257" s="138"/>
      <c r="B257" s="133"/>
      <c r="C257" s="135"/>
      <c r="D257" s="136" t="s">
        <v>1760</v>
      </c>
      <c r="E257" s="135"/>
      <c r="F257" s="140"/>
      <c r="G257" s="138"/>
      <c r="H257" s="138"/>
      <c r="I257" s="140"/>
      <c r="J257" s="140"/>
      <c r="K257" s="283"/>
      <c r="L257" s="287" t="str">
        <f t="shared" si="15"/>
        <v/>
      </c>
      <c r="M257" s="287" t="str">
        <f t="shared" si="16"/>
        <v/>
      </c>
      <c r="N257" s="295" t="str">
        <f t="shared" si="17"/>
        <v/>
      </c>
      <c r="O257" s="287" t="str">
        <f t="shared" si="18"/>
        <v/>
      </c>
      <c r="P257" t="str">
        <f t="shared" si="19"/>
        <v>برايفيت</v>
      </c>
    </row>
    <row r="258" spans="1:16" ht="15.5" x14ac:dyDescent="0.35">
      <c r="A258" s="151"/>
      <c r="B258" s="148"/>
      <c r="C258" s="152"/>
      <c r="D258" s="153" t="s">
        <v>1760</v>
      </c>
      <c r="E258" s="152"/>
      <c r="F258" s="154"/>
      <c r="G258" s="151"/>
      <c r="H258" s="151"/>
      <c r="I258" s="154"/>
      <c r="J258" s="154"/>
      <c r="K258" s="284"/>
      <c r="L258" s="287" t="str">
        <f t="shared" si="15"/>
        <v/>
      </c>
      <c r="M258" s="287" t="str">
        <f t="shared" si="16"/>
        <v/>
      </c>
      <c r="N258" s="295" t="str">
        <f t="shared" si="17"/>
        <v/>
      </c>
      <c r="O258" s="287" t="str">
        <f t="shared" si="18"/>
        <v/>
      </c>
      <c r="P258" t="str">
        <f t="shared" si="19"/>
        <v>برايفيت</v>
      </c>
    </row>
    <row r="259" spans="1:16" ht="15.5" x14ac:dyDescent="0.35">
      <c r="A259" s="138"/>
      <c r="B259" s="133"/>
      <c r="C259" s="135"/>
      <c r="D259" s="136" t="s">
        <v>1760</v>
      </c>
      <c r="E259" s="135"/>
      <c r="F259" s="140"/>
      <c r="G259" s="138"/>
      <c r="H259" s="138"/>
      <c r="I259" s="140"/>
      <c r="J259" s="140"/>
      <c r="K259" s="283"/>
      <c r="L259" s="287" t="str">
        <f t="shared" ref="L259:L322" si="20">IF(COUNTIFS($Q$2:$Q$30,TRIM($C259),$R$2:$R$30,$P259)=0,"",SUMIFS($S$2:$S$30,$Q$2:$Q$30,TRIM($C259),$R$2:$R$30,$P259))</f>
        <v/>
      </c>
      <c r="M259" s="287" t="str">
        <f t="shared" ref="M259:M322" si="21">IF($L259="","",SUMIFS($T$2:$T$30,$Q$2:$Q$30,TRIM($C259),$R$2:$R$30,$P259))</f>
        <v/>
      </c>
      <c r="N259" s="295" t="str">
        <f t="shared" ref="N259:N322" si="22">IF($L259="","",IF($P259="برايفيت",$L259-$M259,""))</f>
        <v/>
      </c>
      <c r="O259" s="287" t="str">
        <f t="shared" ref="O259:O322" si="23">IF($L259="","",IF($P259="برايفيت","",$L259-$M259))</f>
        <v/>
      </c>
      <c r="P259" t="str">
        <f t="shared" ref="P259:P322" si="24">IF(TRIM($J259)="","برايفيت",TRIM($J259))</f>
        <v>برايفيت</v>
      </c>
    </row>
    <row r="260" spans="1:16" ht="15.5" x14ac:dyDescent="0.35">
      <c r="A260" s="151"/>
      <c r="B260" s="148"/>
      <c r="C260" s="152"/>
      <c r="D260" s="153" t="s">
        <v>1760</v>
      </c>
      <c r="E260" s="152"/>
      <c r="F260" s="154"/>
      <c r="G260" s="151"/>
      <c r="H260" s="151"/>
      <c r="I260" s="154"/>
      <c r="J260" s="154"/>
      <c r="K260" s="284"/>
      <c r="L260" s="287" t="str">
        <f t="shared" si="20"/>
        <v/>
      </c>
      <c r="M260" s="287" t="str">
        <f t="shared" si="21"/>
        <v/>
      </c>
      <c r="N260" s="295" t="str">
        <f t="shared" si="22"/>
        <v/>
      </c>
      <c r="O260" s="287" t="str">
        <f t="shared" si="23"/>
        <v/>
      </c>
      <c r="P260" t="str">
        <f t="shared" si="24"/>
        <v>برايفيت</v>
      </c>
    </row>
    <row r="261" spans="1:16" ht="15.5" x14ac:dyDescent="0.35">
      <c r="A261" s="138"/>
      <c r="B261" s="133"/>
      <c r="C261" s="135"/>
      <c r="D261" s="136" t="s">
        <v>1760</v>
      </c>
      <c r="E261" s="135"/>
      <c r="F261" s="140"/>
      <c r="G261" s="138"/>
      <c r="H261" s="138"/>
      <c r="I261" s="140"/>
      <c r="J261" s="140"/>
      <c r="K261" s="283"/>
      <c r="L261" s="287" t="str">
        <f t="shared" si="20"/>
        <v/>
      </c>
      <c r="M261" s="287" t="str">
        <f t="shared" si="21"/>
        <v/>
      </c>
      <c r="N261" s="295" t="str">
        <f t="shared" si="22"/>
        <v/>
      </c>
      <c r="O261" s="287" t="str">
        <f t="shared" si="23"/>
        <v/>
      </c>
      <c r="P261" t="str">
        <f t="shared" si="24"/>
        <v>برايفيت</v>
      </c>
    </row>
    <row r="262" spans="1:16" ht="15.5" x14ac:dyDescent="0.35">
      <c r="A262" s="151"/>
      <c r="B262" s="148"/>
      <c r="C262" s="152"/>
      <c r="D262" s="153" t="s">
        <v>1760</v>
      </c>
      <c r="E262" s="152"/>
      <c r="F262" s="154"/>
      <c r="G262" s="151"/>
      <c r="H262" s="151"/>
      <c r="I262" s="154"/>
      <c r="J262" s="154"/>
      <c r="K262" s="284"/>
      <c r="L262" s="287" t="str">
        <f t="shared" si="20"/>
        <v/>
      </c>
      <c r="M262" s="287" t="str">
        <f t="shared" si="21"/>
        <v/>
      </c>
      <c r="N262" s="295" t="str">
        <f t="shared" si="22"/>
        <v/>
      </c>
      <c r="O262" s="287" t="str">
        <f t="shared" si="23"/>
        <v/>
      </c>
      <c r="P262" t="str">
        <f t="shared" si="24"/>
        <v>برايفيت</v>
      </c>
    </row>
    <row r="263" spans="1:16" ht="15.5" x14ac:dyDescent="0.35">
      <c r="A263" s="138"/>
      <c r="B263" s="133"/>
      <c r="C263" s="135"/>
      <c r="D263" s="136" t="s">
        <v>1760</v>
      </c>
      <c r="E263" s="135"/>
      <c r="F263" s="140"/>
      <c r="G263" s="138"/>
      <c r="H263" s="138"/>
      <c r="I263" s="140"/>
      <c r="J263" s="140"/>
      <c r="K263" s="283"/>
      <c r="L263" s="287" t="str">
        <f t="shared" si="20"/>
        <v/>
      </c>
      <c r="M263" s="287" t="str">
        <f t="shared" si="21"/>
        <v/>
      </c>
      <c r="N263" s="295" t="str">
        <f t="shared" si="22"/>
        <v/>
      </c>
      <c r="O263" s="287" t="str">
        <f t="shared" si="23"/>
        <v/>
      </c>
      <c r="P263" t="str">
        <f t="shared" si="24"/>
        <v>برايفيت</v>
      </c>
    </row>
    <row r="264" spans="1:16" ht="15.5" x14ac:dyDescent="0.35">
      <c r="A264" s="151"/>
      <c r="B264" s="148"/>
      <c r="C264" s="152"/>
      <c r="D264" s="153" t="s">
        <v>1760</v>
      </c>
      <c r="E264" s="152"/>
      <c r="F264" s="154"/>
      <c r="G264" s="151"/>
      <c r="H264" s="151"/>
      <c r="I264" s="154"/>
      <c r="J264" s="154"/>
      <c r="K264" s="284"/>
      <c r="L264" s="287" t="str">
        <f t="shared" si="20"/>
        <v/>
      </c>
      <c r="M264" s="287" t="str">
        <f t="shared" si="21"/>
        <v/>
      </c>
      <c r="N264" s="295" t="str">
        <f t="shared" si="22"/>
        <v/>
      </c>
      <c r="O264" s="287" t="str">
        <f t="shared" si="23"/>
        <v/>
      </c>
      <c r="P264" t="str">
        <f t="shared" si="24"/>
        <v>برايفيت</v>
      </c>
    </row>
    <row r="265" spans="1:16" ht="15.5" x14ac:dyDescent="0.35">
      <c r="A265" s="138"/>
      <c r="B265" s="133"/>
      <c r="C265" s="135"/>
      <c r="D265" s="136" t="s">
        <v>1760</v>
      </c>
      <c r="E265" s="135"/>
      <c r="F265" s="140"/>
      <c r="G265" s="138"/>
      <c r="H265" s="138"/>
      <c r="I265" s="140"/>
      <c r="J265" s="140"/>
      <c r="K265" s="283"/>
      <c r="L265" s="287" t="str">
        <f t="shared" si="20"/>
        <v/>
      </c>
      <c r="M265" s="287" t="str">
        <f t="shared" si="21"/>
        <v/>
      </c>
      <c r="N265" s="295" t="str">
        <f t="shared" si="22"/>
        <v/>
      </c>
      <c r="O265" s="287" t="str">
        <f t="shared" si="23"/>
        <v/>
      </c>
      <c r="P265" t="str">
        <f t="shared" si="24"/>
        <v>برايفيت</v>
      </c>
    </row>
    <row r="266" spans="1:16" ht="15.5" x14ac:dyDescent="0.35">
      <c r="A266" s="151"/>
      <c r="B266" s="148"/>
      <c r="C266" s="152"/>
      <c r="D266" s="153" t="s">
        <v>1760</v>
      </c>
      <c r="E266" s="152"/>
      <c r="F266" s="154"/>
      <c r="G266" s="151"/>
      <c r="H266" s="151"/>
      <c r="I266" s="154"/>
      <c r="J266" s="154"/>
      <c r="K266" s="284"/>
      <c r="L266" s="287" t="str">
        <f t="shared" si="20"/>
        <v/>
      </c>
      <c r="M266" s="287" t="str">
        <f t="shared" si="21"/>
        <v/>
      </c>
      <c r="N266" s="295" t="str">
        <f t="shared" si="22"/>
        <v/>
      </c>
      <c r="O266" s="287" t="str">
        <f t="shared" si="23"/>
        <v/>
      </c>
      <c r="P266" t="str">
        <f t="shared" si="24"/>
        <v>برايفيت</v>
      </c>
    </row>
    <row r="267" spans="1:16" ht="15.5" x14ac:dyDescent="0.35">
      <c r="A267" s="138"/>
      <c r="B267" s="133"/>
      <c r="C267" s="135"/>
      <c r="D267" s="136" t="s">
        <v>1760</v>
      </c>
      <c r="E267" s="135"/>
      <c r="F267" s="140"/>
      <c r="G267" s="138"/>
      <c r="H267" s="138"/>
      <c r="I267" s="140"/>
      <c r="J267" s="140"/>
      <c r="K267" s="283"/>
      <c r="L267" s="287" t="str">
        <f t="shared" si="20"/>
        <v/>
      </c>
      <c r="M267" s="287" t="str">
        <f t="shared" si="21"/>
        <v/>
      </c>
      <c r="N267" s="295" t="str">
        <f t="shared" si="22"/>
        <v/>
      </c>
      <c r="O267" s="287" t="str">
        <f t="shared" si="23"/>
        <v/>
      </c>
      <c r="P267" t="str">
        <f t="shared" si="24"/>
        <v>برايفيت</v>
      </c>
    </row>
    <row r="268" spans="1:16" ht="15.5" x14ac:dyDescent="0.35">
      <c r="A268" s="151"/>
      <c r="B268" s="148"/>
      <c r="C268" s="152"/>
      <c r="D268" s="153" t="s">
        <v>1760</v>
      </c>
      <c r="E268" s="152"/>
      <c r="F268" s="154"/>
      <c r="G268" s="151"/>
      <c r="H268" s="151"/>
      <c r="I268" s="154"/>
      <c r="J268" s="154"/>
      <c r="K268" s="284"/>
      <c r="L268" s="287" t="str">
        <f t="shared" si="20"/>
        <v/>
      </c>
      <c r="M268" s="287" t="str">
        <f t="shared" si="21"/>
        <v/>
      </c>
      <c r="N268" s="295" t="str">
        <f t="shared" si="22"/>
        <v/>
      </c>
      <c r="O268" s="287" t="str">
        <f t="shared" si="23"/>
        <v/>
      </c>
      <c r="P268" t="str">
        <f t="shared" si="24"/>
        <v>برايفيت</v>
      </c>
    </row>
    <row r="269" spans="1:16" ht="15.5" x14ac:dyDescent="0.35">
      <c r="A269" s="138"/>
      <c r="B269" s="133"/>
      <c r="C269" s="135"/>
      <c r="D269" s="136" t="s">
        <v>1760</v>
      </c>
      <c r="E269" s="135"/>
      <c r="F269" s="140"/>
      <c r="G269" s="138"/>
      <c r="H269" s="138"/>
      <c r="I269" s="140"/>
      <c r="J269" s="140"/>
      <c r="K269" s="283"/>
      <c r="L269" s="287" t="str">
        <f t="shared" si="20"/>
        <v/>
      </c>
      <c r="M269" s="287" t="str">
        <f t="shared" si="21"/>
        <v/>
      </c>
      <c r="N269" s="295" t="str">
        <f t="shared" si="22"/>
        <v/>
      </c>
      <c r="O269" s="287" t="str">
        <f t="shared" si="23"/>
        <v/>
      </c>
      <c r="P269" t="str">
        <f t="shared" si="24"/>
        <v>برايفيت</v>
      </c>
    </row>
    <row r="270" spans="1:16" ht="15.5" x14ac:dyDescent="0.35">
      <c r="A270" s="151"/>
      <c r="B270" s="148"/>
      <c r="C270" s="152"/>
      <c r="D270" s="153" t="s">
        <v>1760</v>
      </c>
      <c r="E270" s="152"/>
      <c r="F270" s="154"/>
      <c r="G270" s="151"/>
      <c r="H270" s="151"/>
      <c r="I270" s="154"/>
      <c r="J270" s="154"/>
      <c r="K270" s="284"/>
      <c r="L270" s="287" t="str">
        <f t="shared" si="20"/>
        <v/>
      </c>
      <c r="M270" s="287" t="str">
        <f t="shared" si="21"/>
        <v/>
      </c>
      <c r="N270" s="295" t="str">
        <f t="shared" si="22"/>
        <v/>
      </c>
      <c r="O270" s="287" t="str">
        <f t="shared" si="23"/>
        <v/>
      </c>
      <c r="P270" t="str">
        <f t="shared" si="24"/>
        <v>برايفيت</v>
      </c>
    </row>
    <row r="271" spans="1:16" ht="15.5" x14ac:dyDescent="0.35">
      <c r="A271" s="138"/>
      <c r="B271" s="133"/>
      <c r="C271" s="135"/>
      <c r="D271" s="136" t="s">
        <v>1760</v>
      </c>
      <c r="E271" s="135"/>
      <c r="F271" s="140"/>
      <c r="G271" s="138"/>
      <c r="H271" s="138"/>
      <c r="I271" s="140"/>
      <c r="J271" s="140"/>
      <c r="K271" s="283"/>
      <c r="L271" s="287" t="str">
        <f t="shared" si="20"/>
        <v/>
      </c>
      <c r="M271" s="287" t="str">
        <f t="shared" si="21"/>
        <v/>
      </c>
      <c r="N271" s="295" t="str">
        <f t="shared" si="22"/>
        <v/>
      </c>
      <c r="O271" s="287" t="str">
        <f t="shared" si="23"/>
        <v/>
      </c>
      <c r="P271" t="str">
        <f t="shared" si="24"/>
        <v>برايفيت</v>
      </c>
    </row>
    <row r="272" spans="1:16" ht="15.5" x14ac:dyDescent="0.35">
      <c r="A272" s="151"/>
      <c r="B272" s="148"/>
      <c r="C272" s="152"/>
      <c r="D272" s="153" t="s">
        <v>1760</v>
      </c>
      <c r="E272" s="152"/>
      <c r="F272" s="154"/>
      <c r="G272" s="151"/>
      <c r="H272" s="151"/>
      <c r="I272" s="154"/>
      <c r="J272" s="154"/>
      <c r="K272" s="284"/>
      <c r="L272" s="287" t="str">
        <f t="shared" si="20"/>
        <v/>
      </c>
      <c r="M272" s="287" t="str">
        <f t="shared" si="21"/>
        <v/>
      </c>
      <c r="N272" s="295" t="str">
        <f t="shared" si="22"/>
        <v/>
      </c>
      <c r="O272" s="287" t="str">
        <f t="shared" si="23"/>
        <v/>
      </c>
      <c r="P272" t="str">
        <f t="shared" si="24"/>
        <v>برايفيت</v>
      </c>
    </row>
    <row r="273" spans="1:16" ht="15.5" x14ac:dyDescent="0.35">
      <c r="A273" s="138"/>
      <c r="B273" s="133"/>
      <c r="C273" s="135"/>
      <c r="D273" s="136" t="s">
        <v>1760</v>
      </c>
      <c r="E273" s="135"/>
      <c r="F273" s="140"/>
      <c r="G273" s="138"/>
      <c r="H273" s="138"/>
      <c r="I273" s="140"/>
      <c r="J273" s="140"/>
      <c r="K273" s="283"/>
      <c r="L273" s="287" t="str">
        <f t="shared" si="20"/>
        <v/>
      </c>
      <c r="M273" s="287" t="str">
        <f t="shared" si="21"/>
        <v/>
      </c>
      <c r="N273" s="295" t="str">
        <f t="shared" si="22"/>
        <v/>
      </c>
      <c r="O273" s="287" t="str">
        <f t="shared" si="23"/>
        <v/>
      </c>
      <c r="P273" t="str">
        <f t="shared" si="24"/>
        <v>برايفيت</v>
      </c>
    </row>
    <row r="274" spans="1:16" ht="15.5" x14ac:dyDescent="0.35">
      <c r="A274" s="151"/>
      <c r="B274" s="148"/>
      <c r="C274" s="152"/>
      <c r="D274" s="153" t="s">
        <v>1760</v>
      </c>
      <c r="E274" s="152"/>
      <c r="F274" s="154"/>
      <c r="G274" s="151"/>
      <c r="H274" s="151"/>
      <c r="I274" s="154"/>
      <c r="J274" s="154"/>
      <c r="K274" s="284"/>
      <c r="L274" s="287" t="str">
        <f t="shared" si="20"/>
        <v/>
      </c>
      <c r="M274" s="287" t="str">
        <f t="shared" si="21"/>
        <v/>
      </c>
      <c r="N274" s="295" t="str">
        <f t="shared" si="22"/>
        <v/>
      </c>
      <c r="O274" s="287" t="str">
        <f t="shared" si="23"/>
        <v/>
      </c>
      <c r="P274" t="str">
        <f t="shared" si="24"/>
        <v>برايفيت</v>
      </c>
    </row>
    <row r="275" spans="1:16" ht="15.5" x14ac:dyDescent="0.35">
      <c r="A275" s="138"/>
      <c r="B275" s="133"/>
      <c r="C275" s="135"/>
      <c r="D275" s="136" t="s">
        <v>1760</v>
      </c>
      <c r="E275" s="135"/>
      <c r="F275" s="140"/>
      <c r="G275" s="138"/>
      <c r="H275" s="138"/>
      <c r="I275" s="140"/>
      <c r="J275" s="140"/>
      <c r="K275" s="283"/>
      <c r="L275" s="287" t="str">
        <f t="shared" si="20"/>
        <v/>
      </c>
      <c r="M275" s="287" t="str">
        <f t="shared" si="21"/>
        <v/>
      </c>
      <c r="N275" s="295" t="str">
        <f t="shared" si="22"/>
        <v/>
      </c>
      <c r="O275" s="287" t="str">
        <f t="shared" si="23"/>
        <v/>
      </c>
      <c r="P275" t="str">
        <f t="shared" si="24"/>
        <v>برايفيت</v>
      </c>
    </row>
    <row r="276" spans="1:16" ht="15.5" x14ac:dyDescent="0.35">
      <c r="A276" s="151"/>
      <c r="B276" s="148"/>
      <c r="C276" s="152"/>
      <c r="D276" s="153" t="s">
        <v>1760</v>
      </c>
      <c r="E276" s="152"/>
      <c r="F276" s="154"/>
      <c r="G276" s="151"/>
      <c r="H276" s="151"/>
      <c r="I276" s="154"/>
      <c r="J276" s="154"/>
      <c r="K276" s="284"/>
      <c r="L276" s="287" t="str">
        <f t="shared" si="20"/>
        <v/>
      </c>
      <c r="M276" s="287" t="str">
        <f t="shared" si="21"/>
        <v/>
      </c>
      <c r="N276" s="295" t="str">
        <f t="shared" si="22"/>
        <v/>
      </c>
      <c r="O276" s="287" t="str">
        <f t="shared" si="23"/>
        <v/>
      </c>
      <c r="P276" t="str">
        <f t="shared" si="24"/>
        <v>برايفيت</v>
      </c>
    </row>
    <row r="277" spans="1:16" ht="15.5" x14ac:dyDescent="0.35">
      <c r="A277" s="138"/>
      <c r="B277" s="133"/>
      <c r="C277" s="135"/>
      <c r="D277" s="136" t="s">
        <v>1760</v>
      </c>
      <c r="E277" s="135"/>
      <c r="F277" s="140"/>
      <c r="G277" s="138"/>
      <c r="H277" s="138"/>
      <c r="I277" s="140"/>
      <c r="J277" s="140"/>
      <c r="K277" s="283"/>
      <c r="L277" s="287" t="str">
        <f t="shared" si="20"/>
        <v/>
      </c>
      <c r="M277" s="287" t="str">
        <f t="shared" si="21"/>
        <v/>
      </c>
      <c r="N277" s="295" t="str">
        <f t="shared" si="22"/>
        <v/>
      </c>
      <c r="O277" s="287" t="str">
        <f t="shared" si="23"/>
        <v/>
      </c>
      <c r="P277" t="str">
        <f t="shared" si="24"/>
        <v>برايفيت</v>
      </c>
    </row>
    <row r="278" spans="1:16" ht="15.5" x14ac:dyDescent="0.35">
      <c r="A278" s="151"/>
      <c r="B278" s="148"/>
      <c r="C278" s="152"/>
      <c r="D278" s="153" t="s">
        <v>1760</v>
      </c>
      <c r="E278" s="152"/>
      <c r="F278" s="154"/>
      <c r="G278" s="151"/>
      <c r="H278" s="151"/>
      <c r="I278" s="154"/>
      <c r="J278" s="154"/>
      <c r="K278" s="284"/>
      <c r="L278" s="287" t="str">
        <f t="shared" si="20"/>
        <v/>
      </c>
      <c r="M278" s="287" t="str">
        <f t="shared" si="21"/>
        <v/>
      </c>
      <c r="N278" s="295" t="str">
        <f t="shared" si="22"/>
        <v/>
      </c>
      <c r="O278" s="287" t="str">
        <f t="shared" si="23"/>
        <v/>
      </c>
      <c r="P278" t="str">
        <f t="shared" si="24"/>
        <v>برايفيت</v>
      </c>
    </row>
    <row r="279" spans="1:16" ht="15.5" x14ac:dyDescent="0.35">
      <c r="A279" s="138"/>
      <c r="B279" s="133"/>
      <c r="C279" s="135"/>
      <c r="D279" s="136" t="s">
        <v>1760</v>
      </c>
      <c r="E279" s="135"/>
      <c r="F279" s="140"/>
      <c r="G279" s="138"/>
      <c r="H279" s="138"/>
      <c r="I279" s="140"/>
      <c r="J279" s="140"/>
      <c r="K279" s="283"/>
      <c r="L279" s="287" t="str">
        <f t="shared" si="20"/>
        <v/>
      </c>
      <c r="M279" s="287" t="str">
        <f t="shared" si="21"/>
        <v/>
      </c>
      <c r="N279" s="295" t="str">
        <f t="shared" si="22"/>
        <v/>
      </c>
      <c r="O279" s="287" t="str">
        <f t="shared" si="23"/>
        <v/>
      </c>
      <c r="P279" t="str">
        <f t="shared" si="24"/>
        <v>برايفيت</v>
      </c>
    </row>
    <row r="280" spans="1:16" ht="15.5" x14ac:dyDescent="0.35">
      <c r="A280" s="151"/>
      <c r="B280" s="148"/>
      <c r="C280" s="152"/>
      <c r="D280" s="153" t="s">
        <v>1760</v>
      </c>
      <c r="E280" s="152"/>
      <c r="F280" s="154"/>
      <c r="G280" s="151"/>
      <c r="H280" s="151"/>
      <c r="I280" s="154"/>
      <c r="J280" s="154"/>
      <c r="K280" s="284"/>
      <c r="L280" s="287" t="str">
        <f t="shared" si="20"/>
        <v/>
      </c>
      <c r="M280" s="287" t="str">
        <f t="shared" si="21"/>
        <v/>
      </c>
      <c r="N280" s="295" t="str">
        <f t="shared" si="22"/>
        <v/>
      </c>
      <c r="O280" s="287" t="str">
        <f t="shared" si="23"/>
        <v/>
      </c>
      <c r="P280" t="str">
        <f t="shared" si="24"/>
        <v>برايفيت</v>
      </c>
    </row>
    <row r="281" spans="1:16" ht="15.5" x14ac:dyDescent="0.35">
      <c r="A281" s="138"/>
      <c r="B281" s="133"/>
      <c r="C281" s="135"/>
      <c r="D281" s="136" t="s">
        <v>1760</v>
      </c>
      <c r="E281" s="135"/>
      <c r="F281" s="140"/>
      <c r="G281" s="138"/>
      <c r="H281" s="138"/>
      <c r="I281" s="140"/>
      <c r="J281" s="140"/>
      <c r="K281" s="283"/>
      <c r="L281" s="287" t="str">
        <f t="shared" si="20"/>
        <v/>
      </c>
      <c r="M281" s="287" t="str">
        <f t="shared" si="21"/>
        <v/>
      </c>
      <c r="N281" s="295" t="str">
        <f t="shared" si="22"/>
        <v/>
      </c>
      <c r="O281" s="287" t="str">
        <f t="shared" si="23"/>
        <v/>
      </c>
      <c r="P281" t="str">
        <f t="shared" si="24"/>
        <v>برايفيت</v>
      </c>
    </row>
    <row r="282" spans="1:16" ht="15.5" x14ac:dyDescent="0.35">
      <c r="A282" s="151"/>
      <c r="B282" s="148"/>
      <c r="C282" s="152"/>
      <c r="D282" s="153" t="s">
        <v>1760</v>
      </c>
      <c r="E282" s="152"/>
      <c r="F282" s="154"/>
      <c r="G282" s="151"/>
      <c r="H282" s="151"/>
      <c r="I282" s="154"/>
      <c r="J282" s="154"/>
      <c r="K282" s="284"/>
      <c r="L282" s="287" t="str">
        <f t="shared" si="20"/>
        <v/>
      </c>
      <c r="M282" s="287" t="str">
        <f t="shared" si="21"/>
        <v/>
      </c>
      <c r="N282" s="295" t="str">
        <f t="shared" si="22"/>
        <v/>
      </c>
      <c r="O282" s="287" t="str">
        <f t="shared" si="23"/>
        <v/>
      </c>
      <c r="P282" t="str">
        <f t="shared" si="24"/>
        <v>برايفيت</v>
      </c>
    </row>
    <row r="283" spans="1:16" ht="15.5" x14ac:dyDescent="0.35">
      <c r="A283" s="138"/>
      <c r="B283" s="133"/>
      <c r="C283" s="135"/>
      <c r="D283" s="136" t="s">
        <v>1760</v>
      </c>
      <c r="E283" s="135"/>
      <c r="F283" s="140"/>
      <c r="G283" s="138"/>
      <c r="H283" s="138"/>
      <c r="I283" s="140"/>
      <c r="J283" s="140"/>
      <c r="K283" s="283"/>
      <c r="L283" s="287" t="str">
        <f t="shared" si="20"/>
        <v/>
      </c>
      <c r="M283" s="287" t="str">
        <f t="shared" si="21"/>
        <v/>
      </c>
      <c r="N283" s="295" t="str">
        <f t="shared" si="22"/>
        <v/>
      </c>
      <c r="O283" s="287" t="str">
        <f t="shared" si="23"/>
        <v/>
      </c>
      <c r="P283" t="str">
        <f t="shared" si="24"/>
        <v>برايفيت</v>
      </c>
    </row>
    <row r="284" spans="1:16" ht="15.5" x14ac:dyDescent="0.35">
      <c r="A284" s="151"/>
      <c r="B284" s="148"/>
      <c r="C284" s="152"/>
      <c r="D284" s="153" t="s">
        <v>1760</v>
      </c>
      <c r="E284" s="152"/>
      <c r="F284" s="154"/>
      <c r="G284" s="151"/>
      <c r="H284" s="151"/>
      <c r="I284" s="154"/>
      <c r="J284" s="154"/>
      <c r="K284" s="284"/>
      <c r="L284" s="287" t="str">
        <f t="shared" si="20"/>
        <v/>
      </c>
      <c r="M284" s="287" t="str">
        <f t="shared" si="21"/>
        <v/>
      </c>
      <c r="N284" s="295" t="str">
        <f t="shared" si="22"/>
        <v/>
      </c>
      <c r="O284" s="287" t="str">
        <f t="shared" si="23"/>
        <v/>
      </c>
      <c r="P284" t="str">
        <f t="shared" si="24"/>
        <v>برايفيت</v>
      </c>
    </row>
    <row r="285" spans="1:16" ht="15.5" x14ac:dyDescent="0.35">
      <c r="A285" s="138"/>
      <c r="B285" s="133"/>
      <c r="C285" s="135"/>
      <c r="D285" s="136" t="s">
        <v>1760</v>
      </c>
      <c r="E285" s="135"/>
      <c r="F285" s="140"/>
      <c r="G285" s="138"/>
      <c r="H285" s="138"/>
      <c r="I285" s="140"/>
      <c r="J285" s="140"/>
      <c r="K285" s="283"/>
      <c r="L285" s="287" t="str">
        <f t="shared" si="20"/>
        <v/>
      </c>
      <c r="M285" s="287" t="str">
        <f t="shared" si="21"/>
        <v/>
      </c>
      <c r="N285" s="295" t="str">
        <f t="shared" si="22"/>
        <v/>
      </c>
      <c r="O285" s="287" t="str">
        <f t="shared" si="23"/>
        <v/>
      </c>
      <c r="P285" t="str">
        <f t="shared" si="24"/>
        <v>برايفيت</v>
      </c>
    </row>
    <row r="286" spans="1:16" ht="15.5" x14ac:dyDescent="0.35">
      <c r="A286" s="151"/>
      <c r="B286" s="148"/>
      <c r="C286" s="152"/>
      <c r="D286" s="153" t="s">
        <v>1760</v>
      </c>
      <c r="E286" s="152"/>
      <c r="F286" s="154"/>
      <c r="G286" s="151"/>
      <c r="H286" s="151"/>
      <c r="I286" s="154"/>
      <c r="J286" s="154"/>
      <c r="K286" s="284"/>
      <c r="L286" s="287" t="str">
        <f t="shared" si="20"/>
        <v/>
      </c>
      <c r="M286" s="287" t="str">
        <f t="shared" si="21"/>
        <v/>
      </c>
      <c r="N286" s="295" t="str">
        <f t="shared" si="22"/>
        <v/>
      </c>
      <c r="O286" s="287" t="str">
        <f t="shared" si="23"/>
        <v/>
      </c>
      <c r="P286" t="str">
        <f t="shared" si="24"/>
        <v>برايفيت</v>
      </c>
    </row>
    <row r="287" spans="1:16" ht="15.5" x14ac:dyDescent="0.35">
      <c r="A287" s="138"/>
      <c r="B287" s="133"/>
      <c r="C287" s="135"/>
      <c r="D287" s="136" t="s">
        <v>1760</v>
      </c>
      <c r="E287" s="135"/>
      <c r="F287" s="140"/>
      <c r="G287" s="138"/>
      <c r="H287" s="138"/>
      <c r="I287" s="140"/>
      <c r="J287" s="140"/>
      <c r="K287" s="283"/>
      <c r="L287" s="287" t="str">
        <f t="shared" si="20"/>
        <v/>
      </c>
      <c r="M287" s="287" t="str">
        <f t="shared" si="21"/>
        <v/>
      </c>
      <c r="N287" s="295" t="str">
        <f t="shared" si="22"/>
        <v/>
      </c>
      <c r="O287" s="287" t="str">
        <f t="shared" si="23"/>
        <v/>
      </c>
      <c r="P287" t="str">
        <f t="shared" si="24"/>
        <v>برايفيت</v>
      </c>
    </row>
    <row r="288" spans="1:16" ht="15.5" x14ac:dyDescent="0.35">
      <c r="A288" s="151"/>
      <c r="B288" s="148"/>
      <c r="C288" s="152"/>
      <c r="D288" s="153" t="s">
        <v>1760</v>
      </c>
      <c r="E288" s="152"/>
      <c r="F288" s="154"/>
      <c r="G288" s="151"/>
      <c r="H288" s="151"/>
      <c r="I288" s="154"/>
      <c r="J288" s="154"/>
      <c r="K288" s="284"/>
      <c r="L288" s="287" t="str">
        <f t="shared" si="20"/>
        <v/>
      </c>
      <c r="M288" s="287" t="str">
        <f t="shared" si="21"/>
        <v/>
      </c>
      <c r="N288" s="295" t="str">
        <f t="shared" si="22"/>
        <v/>
      </c>
      <c r="O288" s="287" t="str">
        <f t="shared" si="23"/>
        <v/>
      </c>
      <c r="P288" t="str">
        <f t="shared" si="24"/>
        <v>برايفيت</v>
      </c>
    </row>
    <row r="289" spans="1:16" ht="15.5" x14ac:dyDescent="0.35">
      <c r="A289" s="138"/>
      <c r="B289" s="133"/>
      <c r="C289" s="135"/>
      <c r="D289" s="136" t="s">
        <v>1760</v>
      </c>
      <c r="E289" s="135"/>
      <c r="F289" s="140"/>
      <c r="G289" s="138"/>
      <c r="H289" s="138"/>
      <c r="I289" s="140"/>
      <c r="J289" s="140"/>
      <c r="K289" s="283"/>
      <c r="L289" s="287" t="str">
        <f t="shared" si="20"/>
        <v/>
      </c>
      <c r="M289" s="287" t="str">
        <f t="shared" si="21"/>
        <v/>
      </c>
      <c r="N289" s="295" t="str">
        <f t="shared" si="22"/>
        <v/>
      </c>
      <c r="O289" s="287" t="str">
        <f t="shared" si="23"/>
        <v/>
      </c>
      <c r="P289" t="str">
        <f t="shared" si="24"/>
        <v>برايفيت</v>
      </c>
    </row>
    <row r="290" spans="1:16" ht="15.5" x14ac:dyDescent="0.35">
      <c r="A290" s="151"/>
      <c r="B290" s="148"/>
      <c r="C290" s="152"/>
      <c r="D290" s="153" t="s">
        <v>1760</v>
      </c>
      <c r="E290" s="152"/>
      <c r="F290" s="154"/>
      <c r="G290" s="151"/>
      <c r="H290" s="151"/>
      <c r="I290" s="154"/>
      <c r="J290" s="154"/>
      <c r="K290" s="284"/>
      <c r="L290" s="287" t="str">
        <f t="shared" si="20"/>
        <v/>
      </c>
      <c r="M290" s="287" t="str">
        <f t="shared" si="21"/>
        <v/>
      </c>
      <c r="N290" s="295" t="str">
        <f t="shared" si="22"/>
        <v/>
      </c>
      <c r="O290" s="287" t="str">
        <f t="shared" si="23"/>
        <v/>
      </c>
      <c r="P290" t="str">
        <f t="shared" si="24"/>
        <v>برايفيت</v>
      </c>
    </row>
    <row r="291" spans="1:16" ht="15.5" x14ac:dyDescent="0.35">
      <c r="A291" s="138"/>
      <c r="B291" s="133"/>
      <c r="C291" s="135"/>
      <c r="D291" s="136" t="s">
        <v>1760</v>
      </c>
      <c r="E291" s="135"/>
      <c r="F291" s="140"/>
      <c r="G291" s="138"/>
      <c r="H291" s="138"/>
      <c r="I291" s="140"/>
      <c r="J291" s="140"/>
      <c r="K291" s="283"/>
      <c r="L291" s="287" t="str">
        <f t="shared" si="20"/>
        <v/>
      </c>
      <c r="M291" s="287" t="str">
        <f t="shared" si="21"/>
        <v/>
      </c>
      <c r="N291" s="295" t="str">
        <f t="shared" si="22"/>
        <v/>
      </c>
      <c r="O291" s="287" t="str">
        <f t="shared" si="23"/>
        <v/>
      </c>
      <c r="P291" t="str">
        <f t="shared" si="24"/>
        <v>برايفيت</v>
      </c>
    </row>
    <row r="292" spans="1:16" ht="15.5" x14ac:dyDescent="0.35">
      <c r="A292" s="151"/>
      <c r="B292" s="148"/>
      <c r="C292" s="152"/>
      <c r="D292" s="153" t="s">
        <v>1760</v>
      </c>
      <c r="E292" s="152"/>
      <c r="F292" s="154"/>
      <c r="G292" s="151"/>
      <c r="H292" s="151"/>
      <c r="I292" s="154"/>
      <c r="J292" s="154"/>
      <c r="K292" s="284"/>
      <c r="L292" s="287" t="str">
        <f t="shared" si="20"/>
        <v/>
      </c>
      <c r="M292" s="287" t="str">
        <f t="shared" si="21"/>
        <v/>
      </c>
      <c r="N292" s="295" t="str">
        <f t="shared" si="22"/>
        <v/>
      </c>
      <c r="O292" s="287" t="str">
        <f t="shared" si="23"/>
        <v/>
      </c>
      <c r="P292" t="str">
        <f t="shared" si="24"/>
        <v>برايفيت</v>
      </c>
    </row>
    <row r="293" spans="1:16" ht="15.5" x14ac:dyDescent="0.35">
      <c r="A293" s="138"/>
      <c r="B293" s="133"/>
      <c r="C293" s="135"/>
      <c r="D293" s="136" t="s">
        <v>1760</v>
      </c>
      <c r="E293" s="135"/>
      <c r="F293" s="140"/>
      <c r="G293" s="138"/>
      <c r="H293" s="138"/>
      <c r="I293" s="140"/>
      <c r="J293" s="140"/>
      <c r="K293" s="283"/>
      <c r="L293" s="287" t="str">
        <f t="shared" si="20"/>
        <v/>
      </c>
      <c r="M293" s="287" t="str">
        <f t="shared" si="21"/>
        <v/>
      </c>
      <c r="N293" s="295" t="str">
        <f t="shared" si="22"/>
        <v/>
      </c>
      <c r="O293" s="287" t="str">
        <f t="shared" si="23"/>
        <v/>
      </c>
      <c r="P293" t="str">
        <f t="shared" si="24"/>
        <v>برايفيت</v>
      </c>
    </row>
    <row r="294" spans="1:16" ht="15.5" x14ac:dyDescent="0.35">
      <c r="A294" s="151"/>
      <c r="B294" s="148"/>
      <c r="C294" s="152"/>
      <c r="D294" s="153" t="s">
        <v>1760</v>
      </c>
      <c r="E294" s="152"/>
      <c r="F294" s="154"/>
      <c r="G294" s="151"/>
      <c r="H294" s="151"/>
      <c r="I294" s="154"/>
      <c r="J294" s="154"/>
      <c r="K294" s="284"/>
      <c r="L294" s="287" t="str">
        <f t="shared" si="20"/>
        <v/>
      </c>
      <c r="M294" s="287" t="str">
        <f t="shared" si="21"/>
        <v/>
      </c>
      <c r="N294" s="295" t="str">
        <f t="shared" si="22"/>
        <v/>
      </c>
      <c r="O294" s="287" t="str">
        <f t="shared" si="23"/>
        <v/>
      </c>
      <c r="P294" t="str">
        <f t="shared" si="24"/>
        <v>برايفيت</v>
      </c>
    </row>
    <row r="295" spans="1:16" ht="15.5" x14ac:dyDescent="0.35">
      <c r="A295" s="138"/>
      <c r="B295" s="133"/>
      <c r="C295" s="135"/>
      <c r="D295" s="136" t="s">
        <v>1760</v>
      </c>
      <c r="E295" s="135"/>
      <c r="F295" s="140"/>
      <c r="G295" s="138"/>
      <c r="H295" s="138"/>
      <c r="I295" s="140"/>
      <c r="J295" s="140"/>
      <c r="K295" s="283"/>
      <c r="L295" s="287" t="str">
        <f t="shared" si="20"/>
        <v/>
      </c>
      <c r="M295" s="287" t="str">
        <f t="shared" si="21"/>
        <v/>
      </c>
      <c r="N295" s="295" t="str">
        <f t="shared" si="22"/>
        <v/>
      </c>
      <c r="O295" s="287" t="str">
        <f t="shared" si="23"/>
        <v/>
      </c>
      <c r="P295" t="str">
        <f t="shared" si="24"/>
        <v>برايفيت</v>
      </c>
    </row>
    <row r="296" spans="1:16" ht="15.5" x14ac:dyDescent="0.35">
      <c r="A296" s="151"/>
      <c r="B296" s="148"/>
      <c r="C296" s="152"/>
      <c r="D296" s="153" t="s">
        <v>1760</v>
      </c>
      <c r="E296" s="152"/>
      <c r="F296" s="154"/>
      <c r="G296" s="151"/>
      <c r="H296" s="151"/>
      <c r="I296" s="154"/>
      <c r="J296" s="154"/>
      <c r="K296" s="284"/>
      <c r="L296" s="287" t="str">
        <f t="shared" si="20"/>
        <v/>
      </c>
      <c r="M296" s="287" t="str">
        <f t="shared" si="21"/>
        <v/>
      </c>
      <c r="N296" s="295" t="str">
        <f t="shared" si="22"/>
        <v/>
      </c>
      <c r="O296" s="287" t="str">
        <f t="shared" si="23"/>
        <v/>
      </c>
      <c r="P296" t="str">
        <f t="shared" si="24"/>
        <v>برايفيت</v>
      </c>
    </row>
    <row r="297" spans="1:16" ht="15.5" x14ac:dyDescent="0.35">
      <c r="A297" s="138"/>
      <c r="B297" s="133"/>
      <c r="C297" s="135"/>
      <c r="D297" s="136" t="s">
        <v>1760</v>
      </c>
      <c r="E297" s="135"/>
      <c r="F297" s="140"/>
      <c r="G297" s="138"/>
      <c r="H297" s="138"/>
      <c r="I297" s="140"/>
      <c r="J297" s="140"/>
      <c r="K297" s="283"/>
      <c r="L297" s="287" t="str">
        <f t="shared" si="20"/>
        <v/>
      </c>
      <c r="M297" s="287" t="str">
        <f t="shared" si="21"/>
        <v/>
      </c>
      <c r="N297" s="295" t="str">
        <f t="shared" si="22"/>
        <v/>
      </c>
      <c r="O297" s="287" t="str">
        <f t="shared" si="23"/>
        <v/>
      </c>
      <c r="P297" t="str">
        <f t="shared" si="24"/>
        <v>برايفيت</v>
      </c>
    </row>
    <row r="298" spans="1:16" ht="15.5" x14ac:dyDescent="0.35">
      <c r="A298" s="151"/>
      <c r="B298" s="148"/>
      <c r="C298" s="152"/>
      <c r="D298" s="153" t="s">
        <v>1760</v>
      </c>
      <c r="E298" s="152"/>
      <c r="F298" s="154"/>
      <c r="G298" s="151"/>
      <c r="H298" s="151"/>
      <c r="I298" s="154"/>
      <c r="J298" s="154"/>
      <c r="K298" s="284"/>
      <c r="L298" s="287" t="str">
        <f t="shared" si="20"/>
        <v/>
      </c>
      <c r="M298" s="287" t="str">
        <f t="shared" si="21"/>
        <v/>
      </c>
      <c r="N298" s="295" t="str">
        <f t="shared" si="22"/>
        <v/>
      </c>
      <c r="O298" s="287" t="str">
        <f t="shared" si="23"/>
        <v/>
      </c>
      <c r="P298" t="str">
        <f t="shared" si="24"/>
        <v>برايفيت</v>
      </c>
    </row>
    <row r="299" spans="1:16" ht="15.5" x14ac:dyDescent="0.35">
      <c r="A299" s="138"/>
      <c r="B299" s="133"/>
      <c r="C299" s="135"/>
      <c r="D299" s="136" t="s">
        <v>1760</v>
      </c>
      <c r="E299" s="135"/>
      <c r="F299" s="140"/>
      <c r="G299" s="138"/>
      <c r="H299" s="138"/>
      <c r="I299" s="140"/>
      <c r="J299" s="140"/>
      <c r="K299" s="283"/>
      <c r="L299" s="287" t="str">
        <f t="shared" si="20"/>
        <v/>
      </c>
      <c r="M299" s="287" t="str">
        <f t="shared" si="21"/>
        <v/>
      </c>
      <c r="N299" s="295" t="str">
        <f t="shared" si="22"/>
        <v/>
      </c>
      <c r="O299" s="287" t="str">
        <f t="shared" si="23"/>
        <v/>
      </c>
      <c r="P299" t="str">
        <f t="shared" si="24"/>
        <v>برايفيت</v>
      </c>
    </row>
    <row r="300" spans="1:16" ht="15.5" x14ac:dyDescent="0.35">
      <c r="A300" s="151"/>
      <c r="B300" s="148"/>
      <c r="C300" s="152"/>
      <c r="D300" s="153" t="s">
        <v>1760</v>
      </c>
      <c r="E300" s="152"/>
      <c r="F300" s="154"/>
      <c r="G300" s="151"/>
      <c r="H300" s="151"/>
      <c r="I300" s="154"/>
      <c r="J300" s="154"/>
      <c r="K300" s="284"/>
      <c r="L300" s="287" t="str">
        <f t="shared" si="20"/>
        <v/>
      </c>
      <c r="M300" s="287" t="str">
        <f t="shared" si="21"/>
        <v/>
      </c>
      <c r="N300" s="295" t="str">
        <f t="shared" si="22"/>
        <v/>
      </c>
      <c r="O300" s="287" t="str">
        <f t="shared" si="23"/>
        <v/>
      </c>
      <c r="P300" t="str">
        <f t="shared" si="24"/>
        <v>برايفيت</v>
      </c>
    </row>
    <row r="301" spans="1:16" ht="15.5" x14ac:dyDescent="0.35">
      <c r="A301" s="138"/>
      <c r="B301" s="133"/>
      <c r="C301" s="135"/>
      <c r="D301" s="136" t="s">
        <v>1760</v>
      </c>
      <c r="E301" s="135"/>
      <c r="F301" s="140"/>
      <c r="G301" s="138"/>
      <c r="H301" s="138"/>
      <c r="I301" s="140"/>
      <c r="J301" s="140"/>
      <c r="K301" s="283"/>
      <c r="L301" s="287" t="str">
        <f t="shared" si="20"/>
        <v/>
      </c>
      <c r="M301" s="287" t="str">
        <f t="shared" si="21"/>
        <v/>
      </c>
      <c r="N301" s="295" t="str">
        <f t="shared" si="22"/>
        <v/>
      </c>
      <c r="O301" s="287" t="str">
        <f t="shared" si="23"/>
        <v/>
      </c>
      <c r="P301" t="str">
        <f t="shared" si="24"/>
        <v>برايفيت</v>
      </c>
    </row>
    <row r="302" spans="1:16" ht="15.5" x14ac:dyDescent="0.35">
      <c r="A302" s="151"/>
      <c r="B302" s="148"/>
      <c r="C302" s="152"/>
      <c r="D302" s="153" t="s">
        <v>1760</v>
      </c>
      <c r="E302" s="152"/>
      <c r="F302" s="154"/>
      <c r="G302" s="151"/>
      <c r="H302" s="151"/>
      <c r="I302" s="154"/>
      <c r="J302" s="154"/>
      <c r="K302" s="284"/>
      <c r="L302" s="287" t="str">
        <f t="shared" si="20"/>
        <v/>
      </c>
      <c r="M302" s="287" t="str">
        <f t="shared" si="21"/>
        <v/>
      </c>
      <c r="N302" s="295" t="str">
        <f t="shared" si="22"/>
        <v/>
      </c>
      <c r="O302" s="287" t="str">
        <f t="shared" si="23"/>
        <v/>
      </c>
      <c r="P302" t="str">
        <f t="shared" si="24"/>
        <v>برايفيت</v>
      </c>
    </row>
    <row r="303" spans="1:16" ht="15.5" x14ac:dyDescent="0.35">
      <c r="A303" s="138"/>
      <c r="B303" s="133"/>
      <c r="C303" s="135"/>
      <c r="D303" s="136" t="s">
        <v>1760</v>
      </c>
      <c r="E303" s="135"/>
      <c r="F303" s="140"/>
      <c r="G303" s="138"/>
      <c r="H303" s="138"/>
      <c r="I303" s="140"/>
      <c r="J303" s="140"/>
      <c r="K303" s="283"/>
      <c r="L303" s="287" t="str">
        <f t="shared" si="20"/>
        <v/>
      </c>
      <c r="M303" s="287" t="str">
        <f t="shared" si="21"/>
        <v/>
      </c>
      <c r="N303" s="295" t="str">
        <f t="shared" si="22"/>
        <v/>
      </c>
      <c r="O303" s="287" t="str">
        <f t="shared" si="23"/>
        <v/>
      </c>
      <c r="P303" t="str">
        <f t="shared" si="24"/>
        <v>برايفيت</v>
      </c>
    </row>
    <row r="304" spans="1:16" ht="15.5" x14ac:dyDescent="0.35">
      <c r="A304" s="151"/>
      <c r="B304" s="148"/>
      <c r="C304" s="152"/>
      <c r="D304" s="153" t="s">
        <v>1760</v>
      </c>
      <c r="E304" s="152"/>
      <c r="F304" s="154"/>
      <c r="G304" s="151"/>
      <c r="H304" s="151"/>
      <c r="I304" s="154"/>
      <c r="J304" s="154"/>
      <c r="K304" s="284"/>
      <c r="L304" s="287" t="str">
        <f t="shared" si="20"/>
        <v/>
      </c>
      <c r="M304" s="287" t="str">
        <f t="shared" si="21"/>
        <v/>
      </c>
      <c r="N304" s="295" t="str">
        <f t="shared" si="22"/>
        <v/>
      </c>
      <c r="O304" s="287" t="str">
        <f t="shared" si="23"/>
        <v/>
      </c>
      <c r="P304" t="str">
        <f t="shared" si="24"/>
        <v>برايفيت</v>
      </c>
    </row>
    <row r="305" spans="1:16" ht="15.5" x14ac:dyDescent="0.35">
      <c r="A305" s="138"/>
      <c r="B305" s="133"/>
      <c r="C305" s="135"/>
      <c r="D305" s="136" t="s">
        <v>1760</v>
      </c>
      <c r="E305" s="135"/>
      <c r="F305" s="140"/>
      <c r="G305" s="138"/>
      <c r="H305" s="138"/>
      <c r="I305" s="140"/>
      <c r="J305" s="140"/>
      <c r="K305" s="283"/>
      <c r="L305" s="287" t="str">
        <f t="shared" si="20"/>
        <v/>
      </c>
      <c r="M305" s="287" t="str">
        <f t="shared" si="21"/>
        <v/>
      </c>
      <c r="N305" s="295" t="str">
        <f t="shared" si="22"/>
        <v/>
      </c>
      <c r="O305" s="287" t="str">
        <f t="shared" si="23"/>
        <v/>
      </c>
      <c r="P305" t="str">
        <f t="shared" si="24"/>
        <v>برايفيت</v>
      </c>
    </row>
    <row r="306" spans="1:16" ht="15.5" x14ac:dyDescent="0.35">
      <c r="A306" s="151"/>
      <c r="B306" s="148"/>
      <c r="C306" s="152"/>
      <c r="D306" s="153" t="s">
        <v>1760</v>
      </c>
      <c r="E306" s="152"/>
      <c r="F306" s="154"/>
      <c r="G306" s="151"/>
      <c r="H306" s="151"/>
      <c r="I306" s="154"/>
      <c r="J306" s="154"/>
      <c r="K306" s="284"/>
      <c r="L306" s="287" t="str">
        <f t="shared" si="20"/>
        <v/>
      </c>
      <c r="M306" s="287" t="str">
        <f t="shared" si="21"/>
        <v/>
      </c>
      <c r="N306" s="295" t="str">
        <f t="shared" si="22"/>
        <v/>
      </c>
      <c r="O306" s="287" t="str">
        <f t="shared" si="23"/>
        <v/>
      </c>
      <c r="P306" t="str">
        <f t="shared" si="24"/>
        <v>برايفيت</v>
      </c>
    </row>
    <row r="307" spans="1:16" ht="15.5" x14ac:dyDescent="0.35">
      <c r="A307" s="138"/>
      <c r="B307" s="133"/>
      <c r="C307" s="135"/>
      <c r="D307" s="136" t="s">
        <v>1760</v>
      </c>
      <c r="E307" s="135"/>
      <c r="F307" s="140"/>
      <c r="G307" s="138"/>
      <c r="H307" s="138"/>
      <c r="I307" s="140"/>
      <c r="J307" s="140"/>
      <c r="K307" s="283"/>
      <c r="L307" s="287" t="str">
        <f t="shared" si="20"/>
        <v/>
      </c>
      <c r="M307" s="287" t="str">
        <f t="shared" si="21"/>
        <v/>
      </c>
      <c r="N307" s="295" t="str">
        <f t="shared" si="22"/>
        <v/>
      </c>
      <c r="O307" s="287" t="str">
        <f t="shared" si="23"/>
        <v/>
      </c>
      <c r="P307" t="str">
        <f t="shared" si="24"/>
        <v>برايفيت</v>
      </c>
    </row>
    <row r="308" spans="1:16" ht="15.5" x14ac:dyDescent="0.35">
      <c r="A308" s="151"/>
      <c r="B308" s="148"/>
      <c r="C308" s="152"/>
      <c r="D308" s="153" t="s">
        <v>1760</v>
      </c>
      <c r="E308" s="152"/>
      <c r="F308" s="154"/>
      <c r="G308" s="151"/>
      <c r="H308" s="151"/>
      <c r="I308" s="154"/>
      <c r="J308" s="154"/>
      <c r="K308" s="284"/>
      <c r="L308" s="287" t="str">
        <f t="shared" si="20"/>
        <v/>
      </c>
      <c r="M308" s="287" t="str">
        <f t="shared" si="21"/>
        <v/>
      </c>
      <c r="N308" s="295" t="str">
        <f t="shared" si="22"/>
        <v/>
      </c>
      <c r="O308" s="287" t="str">
        <f t="shared" si="23"/>
        <v/>
      </c>
      <c r="P308" t="str">
        <f t="shared" si="24"/>
        <v>برايفيت</v>
      </c>
    </row>
    <row r="309" spans="1:16" ht="15.5" x14ac:dyDescent="0.35">
      <c r="A309" s="138"/>
      <c r="B309" s="133"/>
      <c r="C309" s="135"/>
      <c r="D309" s="136" t="s">
        <v>1760</v>
      </c>
      <c r="E309" s="135"/>
      <c r="F309" s="140"/>
      <c r="G309" s="138"/>
      <c r="H309" s="138"/>
      <c r="I309" s="140"/>
      <c r="J309" s="140"/>
      <c r="K309" s="283"/>
      <c r="L309" s="287" t="str">
        <f t="shared" si="20"/>
        <v/>
      </c>
      <c r="M309" s="287" t="str">
        <f t="shared" si="21"/>
        <v/>
      </c>
      <c r="N309" s="295" t="str">
        <f t="shared" si="22"/>
        <v/>
      </c>
      <c r="O309" s="287" t="str">
        <f t="shared" si="23"/>
        <v/>
      </c>
      <c r="P309" t="str">
        <f t="shared" si="24"/>
        <v>برايفيت</v>
      </c>
    </row>
    <row r="310" spans="1:16" ht="15.5" x14ac:dyDescent="0.35">
      <c r="A310" s="151"/>
      <c r="B310" s="148"/>
      <c r="C310" s="152"/>
      <c r="D310" s="153" t="s">
        <v>1760</v>
      </c>
      <c r="E310" s="152"/>
      <c r="F310" s="154"/>
      <c r="G310" s="151"/>
      <c r="H310" s="151"/>
      <c r="I310" s="154"/>
      <c r="J310" s="154"/>
      <c r="K310" s="284"/>
      <c r="L310" s="287" t="str">
        <f t="shared" si="20"/>
        <v/>
      </c>
      <c r="M310" s="287" t="str">
        <f t="shared" si="21"/>
        <v/>
      </c>
      <c r="N310" s="295" t="str">
        <f t="shared" si="22"/>
        <v/>
      </c>
      <c r="O310" s="287" t="str">
        <f t="shared" si="23"/>
        <v/>
      </c>
      <c r="P310" t="str">
        <f t="shared" si="24"/>
        <v>برايفيت</v>
      </c>
    </row>
    <row r="311" spans="1:16" ht="15.5" x14ac:dyDescent="0.35">
      <c r="A311" s="138"/>
      <c r="B311" s="133"/>
      <c r="C311" s="135"/>
      <c r="D311" s="136" t="s">
        <v>1760</v>
      </c>
      <c r="E311" s="135"/>
      <c r="F311" s="140"/>
      <c r="G311" s="138"/>
      <c r="H311" s="138"/>
      <c r="I311" s="140"/>
      <c r="J311" s="140"/>
      <c r="K311" s="283"/>
      <c r="L311" s="287" t="str">
        <f t="shared" si="20"/>
        <v/>
      </c>
      <c r="M311" s="287" t="str">
        <f t="shared" si="21"/>
        <v/>
      </c>
      <c r="N311" s="295" t="str">
        <f t="shared" si="22"/>
        <v/>
      </c>
      <c r="O311" s="287" t="str">
        <f t="shared" si="23"/>
        <v/>
      </c>
      <c r="P311" t="str">
        <f t="shared" si="24"/>
        <v>برايفيت</v>
      </c>
    </row>
    <row r="312" spans="1:16" ht="15.5" x14ac:dyDescent="0.35">
      <c r="A312" s="151"/>
      <c r="B312" s="148"/>
      <c r="C312" s="152"/>
      <c r="D312" s="153" t="s">
        <v>1760</v>
      </c>
      <c r="E312" s="152"/>
      <c r="F312" s="154"/>
      <c r="G312" s="151"/>
      <c r="H312" s="151"/>
      <c r="I312" s="154"/>
      <c r="J312" s="154"/>
      <c r="K312" s="284"/>
      <c r="L312" s="287" t="str">
        <f t="shared" si="20"/>
        <v/>
      </c>
      <c r="M312" s="287" t="str">
        <f t="shared" si="21"/>
        <v/>
      </c>
      <c r="N312" s="295" t="str">
        <f t="shared" si="22"/>
        <v/>
      </c>
      <c r="O312" s="287" t="str">
        <f t="shared" si="23"/>
        <v/>
      </c>
      <c r="P312" t="str">
        <f t="shared" si="24"/>
        <v>برايفيت</v>
      </c>
    </row>
    <row r="313" spans="1:16" ht="15.5" x14ac:dyDescent="0.35">
      <c r="A313" s="138"/>
      <c r="B313" s="133"/>
      <c r="C313" s="135"/>
      <c r="D313" s="136" t="s">
        <v>1760</v>
      </c>
      <c r="E313" s="135"/>
      <c r="F313" s="140"/>
      <c r="G313" s="138"/>
      <c r="H313" s="138"/>
      <c r="I313" s="140"/>
      <c r="J313" s="140"/>
      <c r="K313" s="283"/>
      <c r="L313" s="287" t="str">
        <f t="shared" si="20"/>
        <v/>
      </c>
      <c r="M313" s="287" t="str">
        <f t="shared" si="21"/>
        <v/>
      </c>
      <c r="N313" s="295" t="str">
        <f t="shared" si="22"/>
        <v/>
      </c>
      <c r="O313" s="287" t="str">
        <f t="shared" si="23"/>
        <v/>
      </c>
      <c r="P313" t="str">
        <f t="shared" si="24"/>
        <v>برايفيت</v>
      </c>
    </row>
    <row r="314" spans="1:16" ht="15.5" x14ac:dyDescent="0.35">
      <c r="A314" s="151"/>
      <c r="B314" s="148"/>
      <c r="C314" s="152"/>
      <c r="D314" s="153" t="s">
        <v>1760</v>
      </c>
      <c r="E314" s="152"/>
      <c r="F314" s="154"/>
      <c r="G314" s="151"/>
      <c r="H314" s="151"/>
      <c r="I314" s="154"/>
      <c r="J314" s="154"/>
      <c r="K314" s="284"/>
      <c r="L314" s="287" t="str">
        <f t="shared" si="20"/>
        <v/>
      </c>
      <c r="M314" s="287" t="str">
        <f t="shared" si="21"/>
        <v/>
      </c>
      <c r="N314" s="295" t="str">
        <f t="shared" si="22"/>
        <v/>
      </c>
      <c r="O314" s="287" t="str">
        <f t="shared" si="23"/>
        <v/>
      </c>
      <c r="P314" t="str">
        <f t="shared" si="24"/>
        <v>برايفيت</v>
      </c>
    </row>
    <row r="315" spans="1:16" ht="15.5" x14ac:dyDescent="0.35">
      <c r="A315" s="138"/>
      <c r="B315" s="133"/>
      <c r="C315" s="135"/>
      <c r="D315" s="136" t="s">
        <v>1760</v>
      </c>
      <c r="E315" s="135"/>
      <c r="F315" s="140"/>
      <c r="G315" s="138"/>
      <c r="H315" s="138"/>
      <c r="I315" s="140"/>
      <c r="J315" s="140"/>
      <c r="K315" s="283"/>
      <c r="L315" s="287" t="str">
        <f t="shared" si="20"/>
        <v/>
      </c>
      <c r="M315" s="287" t="str">
        <f t="shared" si="21"/>
        <v/>
      </c>
      <c r="N315" s="295" t="str">
        <f t="shared" si="22"/>
        <v/>
      </c>
      <c r="O315" s="287" t="str">
        <f t="shared" si="23"/>
        <v/>
      </c>
      <c r="P315" t="str">
        <f t="shared" si="24"/>
        <v>برايفيت</v>
      </c>
    </row>
    <row r="316" spans="1:16" ht="15.5" x14ac:dyDescent="0.35">
      <c r="A316" s="151"/>
      <c r="B316" s="148"/>
      <c r="C316" s="152"/>
      <c r="D316" s="153" t="s">
        <v>1760</v>
      </c>
      <c r="E316" s="152"/>
      <c r="F316" s="154"/>
      <c r="G316" s="151"/>
      <c r="H316" s="151"/>
      <c r="I316" s="154"/>
      <c r="J316" s="154"/>
      <c r="K316" s="284"/>
      <c r="L316" s="287" t="str">
        <f t="shared" si="20"/>
        <v/>
      </c>
      <c r="M316" s="287" t="str">
        <f t="shared" si="21"/>
        <v/>
      </c>
      <c r="N316" s="295" t="str">
        <f t="shared" si="22"/>
        <v/>
      </c>
      <c r="O316" s="287" t="str">
        <f t="shared" si="23"/>
        <v/>
      </c>
      <c r="P316" t="str">
        <f t="shared" si="24"/>
        <v>برايفيت</v>
      </c>
    </row>
    <row r="317" spans="1:16" ht="15.5" x14ac:dyDescent="0.35">
      <c r="A317" s="138"/>
      <c r="B317" s="133"/>
      <c r="C317" s="135"/>
      <c r="D317" s="136" t="s">
        <v>1760</v>
      </c>
      <c r="E317" s="135"/>
      <c r="F317" s="140"/>
      <c r="G317" s="138"/>
      <c r="H317" s="138"/>
      <c r="I317" s="140"/>
      <c r="J317" s="140"/>
      <c r="K317" s="283"/>
      <c r="L317" s="287" t="str">
        <f t="shared" si="20"/>
        <v/>
      </c>
      <c r="M317" s="287" t="str">
        <f t="shared" si="21"/>
        <v/>
      </c>
      <c r="N317" s="295" t="str">
        <f t="shared" si="22"/>
        <v/>
      </c>
      <c r="O317" s="287" t="str">
        <f t="shared" si="23"/>
        <v/>
      </c>
      <c r="P317" t="str">
        <f t="shared" si="24"/>
        <v>برايفيت</v>
      </c>
    </row>
    <row r="318" spans="1:16" ht="15.5" x14ac:dyDescent="0.35">
      <c r="A318" s="151"/>
      <c r="B318" s="148"/>
      <c r="C318" s="152"/>
      <c r="D318" s="153" t="s">
        <v>1760</v>
      </c>
      <c r="E318" s="152"/>
      <c r="F318" s="154"/>
      <c r="G318" s="151"/>
      <c r="H318" s="151"/>
      <c r="I318" s="154"/>
      <c r="J318" s="154"/>
      <c r="K318" s="284"/>
      <c r="L318" s="287" t="str">
        <f t="shared" si="20"/>
        <v/>
      </c>
      <c r="M318" s="287" t="str">
        <f t="shared" si="21"/>
        <v/>
      </c>
      <c r="N318" s="295" t="str">
        <f t="shared" si="22"/>
        <v/>
      </c>
      <c r="O318" s="287" t="str">
        <f t="shared" si="23"/>
        <v/>
      </c>
      <c r="P318" t="str">
        <f t="shared" si="24"/>
        <v>برايفيت</v>
      </c>
    </row>
    <row r="319" spans="1:16" ht="15.5" x14ac:dyDescent="0.35">
      <c r="A319" s="138"/>
      <c r="B319" s="133"/>
      <c r="C319" s="135"/>
      <c r="D319" s="136" t="s">
        <v>1760</v>
      </c>
      <c r="E319" s="135"/>
      <c r="F319" s="140"/>
      <c r="G319" s="138"/>
      <c r="H319" s="138"/>
      <c r="I319" s="140"/>
      <c r="J319" s="140"/>
      <c r="K319" s="283"/>
      <c r="L319" s="287" t="str">
        <f t="shared" si="20"/>
        <v/>
      </c>
      <c r="M319" s="287" t="str">
        <f t="shared" si="21"/>
        <v/>
      </c>
      <c r="N319" s="295" t="str">
        <f t="shared" si="22"/>
        <v/>
      </c>
      <c r="O319" s="287" t="str">
        <f t="shared" si="23"/>
        <v/>
      </c>
      <c r="P319" t="str">
        <f t="shared" si="24"/>
        <v>برايفيت</v>
      </c>
    </row>
    <row r="320" spans="1:16" ht="15.5" x14ac:dyDescent="0.35">
      <c r="A320" s="151"/>
      <c r="B320" s="148"/>
      <c r="C320" s="152"/>
      <c r="D320" s="153" t="s">
        <v>1760</v>
      </c>
      <c r="E320" s="152"/>
      <c r="F320" s="154"/>
      <c r="G320" s="151"/>
      <c r="H320" s="151"/>
      <c r="I320" s="154"/>
      <c r="J320" s="154"/>
      <c r="K320" s="284"/>
      <c r="L320" s="287" t="str">
        <f t="shared" si="20"/>
        <v/>
      </c>
      <c r="M320" s="287" t="str">
        <f t="shared" si="21"/>
        <v/>
      </c>
      <c r="N320" s="295" t="str">
        <f t="shared" si="22"/>
        <v/>
      </c>
      <c r="O320" s="287" t="str">
        <f t="shared" si="23"/>
        <v/>
      </c>
      <c r="P320" t="str">
        <f t="shared" si="24"/>
        <v>برايفيت</v>
      </c>
    </row>
    <row r="321" spans="1:16" ht="15.5" x14ac:dyDescent="0.35">
      <c r="A321" s="138"/>
      <c r="B321" s="133"/>
      <c r="C321" s="135"/>
      <c r="D321" s="136" t="s">
        <v>1760</v>
      </c>
      <c r="E321" s="135"/>
      <c r="F321" s="140"/>
      <c r="G321" s="138"/>
      <c r="H321" s="138"/>
      <c r="I321" s="140"/>
      <c r="J321" s="140"/>
      <c r="K321" s="283"/>
      <c r="L321" s="287" t="str">
        <f t="shared" si="20"/>
        <v/>
      </c>
      <c r="M321" s="287" t="str">
        <f t="shared" si="21"/>
        <v/>
      </c>
      <c r="N321" s="295" t="str">
        <f t="shared" si="22"/>
        <v/>
      </c>
      <c r="O321" s="287" t="str">
        <f t="shared" si="23"/>
        <v/>
      </c>
      <c r="P321" t="str">
        <f t="shared" si="24"/>
        <v>برايفيت</v>
      </c>
    </row>
    <row r="322" spans="1:16" ht="15.5" x14ac:dyDescent="0.35">
      <c r="A322" s="151"/>
      <c r="B322" s="148"/>
      <c r="C322" s="152"/>
      <c r="D322" s="153" t="s">
        <v>1760</v>
      </c>
      <c r="E322" s="152"/>
      <c r="F322" s="154"/>
      <c r="G322" s="151"/>
      <c r="H322" s="151"/>
      <c r="I322" s="154"/>
      <c r="J322" s="154"/>
      <c r="K322" s="284"/>
      <c r="L322" s="287" t="str">
        <f t="shared" si="20"/>
        <v/>
      </c>
      <c r="M322" s="287" t="str">
        <f t="shared" si="21"/>
        <v/>
      </c>
      <c r="N322" s="295" t="str">
        <f t="shared" si="22"/>
        <v/>
      </c>
      <c r="O322" s="287" t="str">
        <f t="shared" si="23"/>
        <v/>
      </c>
      <c r="P322" t="str">
        <f t="shared" si="24"/>
        <v>برايفيت</v>
      </c>
    </row>
    <row r="323" spans="1:16" ht="15.5" x14ac:dyDescent="0.35">
      <c r="A323" s="138"/>
      <c r="B323" s="133"/>
      <c r="C323" s="135"/>
      <c r="D323" s="136" t="s">
        <v>1760</v>
      </c>
      <c r="E323" s="135"/>
      <c r="F323" s="140"/>
      <c r="G323" s="138"/>
      <c r="H323" s="138"/>
      <c r="I323" s="140"/>
      <c r="J323" s="140"/>
      <c r="K323" s="283"/>
      <c r="L323" s="287" t="str">
        <f t="shared" ref="L323:L341" si="25">IF(COUNTIFS($Q$2:$Q$30,TRIM($C323),$R$2:$R$30,$P323)=0,"",SUMIFS($S$2:$S$30,$Q$2:$Q$30,TRIM($C323),$R$2:$R$30,$P323))</f>
        <v/>
      </c>
      <c r="M323" s="287" t="str">
        <f t="shared" ref="M323:M341" si="26">IF($L323="","",SUMIFS($T$2:$T$30,$Q$2:$Q$30,TRIM($C323),$R$2:$R$30,$P323))</f>
        <v/>
      </c>
      <c r="N323" s="295" t="str">
        <f t="shared" ref="N323:N341" si="27">IF($L323="","",IF($P323="برايفيت",$L323-$M323,""))</f>
        <v/>
      </c>
      <c r="O323" s="287" t="str">
        <f t="shared" ref="O323:O341" si="28">IF($L323="","",IF($P323="برايفيت","",$L323-$M323))</f>
        <v/>
      </c>
      <c r="P323" t="str">
        <f t="shared" ref="P323:P341" si="29">IF(TRIM($J323)="","برايفيت",TRIM($J323))</f>
        <v>برايفيت</v>
      </c>
    </row>
    <row r="324" spans="1:16" ht="15.5" x14ac:dyDescent="0.35">
      <c r="A324" s="151"/>
      <c r="B324" s="148"/>
      <c r="C324" s="152"/>
      <c r="D324" s="153" t="s">
        <v>1760</v>
      </c>
      <c r="E324" s="152"/>
      <c r="F324" s="154"/>
      <c r="G324" s="151"/>
      <c r="H324" s="151"/>
      <c r="I324" s="154"/>
      <c r="J324" s="154"/>
      <c r="K324" s="284"/>
      <c r="L324" s="287" t="str">
        <f t="shared" si="25"/>
        <v/>
      </c>
      <c r="M324" s="287" t="str">
        <f t="shared" si="26"/>
        <v/>
      </c>
      <c r="N324" s="295" t="str">
        <f t="shared" si="27"/>
        <v/>
      </c>
      <c r="O324" s="287" t="str">
        <f t="shared" si="28"/>
        <v/>
      </c>
      <c r="P324" t="str">
        <f t="shared" si="29"/>
        <v>برايفيت</v>
      </c>
    </row>
    <row r="325" spans="1:16" ht="15.5" x14ac:dyDescent="0.35">
      <c r="A325" s="138"/>
      <c r="B325" s="133"/>
      <c r="C325" s="135"/>
      <c r="D325" s="136" t="s">
        <v>1760</v>
      </c>
      <c r="E325" s="135"/>
      <c r="F325" s="140"/>
      <c r="G325" s="138"/>
      <c r="H325" s="138"/>
      <c r="I325" s="140"/>
      <c r="J325" s="140"/>
      <c r="K325" s="283"/>
      <c r="L325" s="287" t="str">
        <f t="shared" si="25"/>
        <v/>
      </c>
      <c r="M325" s="287" t="str">
        <f t="shared" si="26"/>
        <v/>
      </c>
      <c r="N325" s="295" t="str">
        <f t="shared" si="27"/>
        <v/>
      </c>
      <c r="O325" s="287" t="str">
        <f t="shared" si="28"/>
        <v/>
      </c>
      <c r="P325" t="str">
        <f t="shared" si="29"/>
        <v>برايفيت</v>
      </c>
    </row>
    <row r="326" spans="1:16" ht="15.5" x14ac:dyDescent="0.35">
      <c r="A326" s="151"/>
      <c r="B326" s="148"/>
      <c r="C326" s="152"/>
      <c r="D326" s="153" t="s">
        <v>1760</v>
      </c>
      <c r="E326" s="152"/>
      <c r="F326" s="154"/>
      <c r="G326" s="151"/>
      <c r="H326" s="151"/>
      <c r="I326" s="154"/>
      <c r="J326" s="154"/>
      <c r="K326" s="284"/>
      <c r="L326" s="287" t="str">
        <f t="shared" si="25"/>
        <v/>
      </c>
      <c r="M326" s="287" t="str">
        <f t="shared" si="26"/>
        <v/>
      </c>
      <c r="N326" s="295" t="str">
        <f t="shared" si="27"/>
        <v/>
      </c>
      <c r="O326" s="287" t="str">
        <f t="shared" si="28"/>
        <v/>
      </c>
      <c r="P326" t="str">
        <f t="shared" si="29"/>
        <v>برايفيت</v>
      </c>
    </row>
    <row r="327" spans="1:16" ht="15.5" x14ac:dyDescent="0.35">
      <c r="A327" s="138"/>
      <c r="B327" s="133"/>
      <c r="C327" s="135"/>
      <c r="D327" s="136" t="s">
        <v>1760</v>
      </c>
      <c r="E327" s="135"/>
      <c r="F327" s="140"/>
      <c r="G327" s="138"/>
      <c r="H327" s="138"/>
      <c r="I327" s="140"/>
      <c r="J327" s="140"/>
      <c r="K327" s="283"/>
      <c r="L327" s="287" t="str">
        <f t="shared" si="25"/>
        <v/>
      </c>
      <c r="M327" s="287" t="str">
        <f t="shared" si="26"/>
        <v/>
      </c>
      <c r="N327" s="295" t="str">
        <f t="shared" si="27"/>
        <v/>
      </c>
      <c r="O327" s="287" t="str">
        <f t="shared" si="28"/>
        <v/>
      </c>
      <c r="P327" t="str">
        <f t="shared" si="29"/>
        <v>برايفيت</v>
      </c>
    </row>
    <row r="328" spans="1:16" ht="15.5" x14ac:dyDescent="0.35">
      <c r="A328" s="151"/>
      <c r="B328" s="148"/>
      <c r="C328" s="152"/>
      <c r="D328" s="153" t="s">
        <v>1760</v>
      </c>
      <c r="E328" s="152"/>
      <c r="F328" s="154"/>
      <c r="G328" s="151"/>
      <c r="H328" s="151"/>
      <c r="I328" s="154"/>
      <c r="J328" s="154"/>
      <c r="K328" s="284"/>
      <c r="L328" s="287" t="str">
        <f t="shared" si="25"/>
        <v/>
      </c>
      <c r="M328" s="287" t="str">
        <f t="shared" si="26"/>
        <v/>
      </c>
      <c r="N328" s="295" t="str">
        <f t="shared" si="27"/>
        <v/>
      </c>
      <c r="O328" s="287" t="str">
        <f t="shared" si="28"/>
        <v/>
      </c>
      <c r="P328" t="str">
        <f t="shared" si="29"/>
        <v>برايفيت</v>
      </c>
    </row>
    <row r="329" spans="1:16" ht="15.5" x14ac:dyDescent="0.35">
      <c r="A329" s="138"/>
      <c r="B329" s="133"/>
      <c r="C329" s="135"/>
      <c r="D329" s="136" t="s">
        <v>1760</v>
      </c>
      <c r="E329" s="135"/>
      <c r="F329" s="140"/>
      <c r="G329" s="138"/>
      <c r="H329" s="138"/>
      <c r="I329" s="140"/>
      <c r="J329" s="140"/>
      <c r="K329" s="283"/>
      <c r="L329" s="287" t="str">
        <f t="shared" si="25"/>
        <v/>
      </c>
      <c r="M329" s="287" t="str">
        <f t="shared" si="26"/>
        <v/>
      </c>
      <c r="N329" s="295" t="str">
        <f t="shared" si="27"/>
        <v/>
      </c>
      <c r="O329" s="287" t="str">
        <f t="shared" si="28"/>
        <v/>
      </c>
      <c r="P329" t="str">
        <f t="shared" si="29"/>
        <v>برايفيت</v>
      </c>
    </row>
    <row r="330" spans="1:16" ht="15.5" x14ac:dyDescent="0.35">
      <c r="A330" s="151"/>
      <c r="B330" s="148"/>
      <c r="C330" s="152"/>
      <c r="D330" s="153" t="s">
        <v>1760</v>
      </c>
      <c r="E330" s="152"/>
      <c r="F330" s="154"/>
      <c r="G330" s="151"/>
      <c r="H330" s="151"/>
      <c r="I330" s="154"/>
      <c r="J330" s="154"/>
      <c r="K330" s="284"/>
      <c r="L330" s="287" t="str">
        <f t="shared" si="25"/>
        <v/>
      </c>
      <c r="M330" s="287" t="str">
        <f t="shared" si="26"/>
        <v/>
      </c>
      <c r="N330" s="295" t="str">
        <f t="shared" si="27"/>
        <v/>
      </c>
      <c r="O330" s="287" t="str">
        <f t="shared" si="28"/>
        <v/>
      </c>
      <c r="P330" t="str">
        <f t="shared" si="29"/>
        <v>برايفيت</v>
      </c>
    </row>
    <row r="331" spans="1:16" ht="15.5" x14ac:dyDescent="0.35">
      <c r="A331" s="138"/>
      <c r="B331" s="133"/>
      <c r="C331" s="135"/>
      <c r="D331" s="136" t="s">
        <v>1760</v>
      </c>
      <c r="E331" s="135"/>
      <c r="F331" s="140"/>
      <c r="G331" s="138"/>
      <c r="H331" s="138"/>
      <c r="I331" s="140"/>
      <c r="J331" s="140"/>
      <c r="K331" s="283"/>
      <c r="L331" s="287" t="str">
        <f t="shared" si="25"/>
        <v/>
      </c>
      <c r="M331" s="287" t="str">
        <f t="shared" si="26"/>
        <v/>
      </c>
      <c r="N331" s="295" t="str">
        <f t="shared" si="27"/>
        <v/>
      </c>
      <c r="O331" s="287" t="str">
        <f t="shared" si="28"/>
        <v/>
      </c>
      <c r="P331" t="str">
        <f t="shared" si="29"/>
        <v>برايفيت</v>
      </c>
    </row>
    <row r="332" spans="1:16" ht="15.5" x14ac:dyDescent="0.35">
      <c r="A332" s="151"/>
      <c r="B332" s="148"/>
      <c r="C332" s="152"/>
      <c r="D332" s="153" t="s">
        <v>1760</v>
      </c>
      <c r="E332" s="152"/>
      <c r="F332" s="154"/>
      <c r="G332" s="151"/>
      <c r="H332" s="151"/>
      <c r="I332" s="154"/>
      <c r="J332" s="154"/>
      <c r="K332" s="284"/>
      <c r="L332" s="287" t="str">
        <f t="shared" si="25"/>
        <v/>
      </c>
      <c r="M332" s="287" t="str">
        <f t="shared" si="26"/>
        <v/>
      </c>
      <c r="N332" s="295" t="str">
        <f t="shared" si="27"/>
        <v/>
      </c>
      <c r="O332" s="287" t="str">
        <f t="shared" si="28"/>
        <v/>
      </c>
      <c r="P332" t="str">
        <f t="shared" si="29"/>
        <v>برايفيت</v>
      </c>
    </row>
    <row r="333" spans="1:16" ht="15.5" x14ac:dyDescent="0.35">
      <c r="A333" s="138"/>
      <c r="B333" s="133"/>
      <c r="C333" s="135"/>
      <c r="D333" s="136" t="s">
        <v>1760</v>
      </c>
      <c r="E333" s="135"/>
      <c r="F333" s="140"/>
      <c r="G333" s="138"/>
      <c r="H333" s="138"/>
      <c r="I333" s="140"/>
      <c r="J333" s="140"/>
      <c r="K333" s="283"/>
      <c r="L333" s="287" t="str">
        <f t="shared" si="25"/>
        <v/>
      </c>
      <c r="M333" s="287" t="str">
        <f t="shared" si="26"/>
        <v/>
      </c>
      <c r="N333" s="295" t="str">
        <f t="shared" si="27"/>
        <v/>
      </c>
      <c r="O333" s="287" t="str">
        <f t="shared" si="28"/>
        <v/>
      </c>
      <c r="P333" t="str">
        <f t="shared" si="29"/>
        <v>برايفيت</v>
      </c>
    </row>
    <row r="334" spans="1:16" ht="15.5" x14ac:dyDescent="0.35">
      <c r="A334" s="151"/>
      <c r="B334" s="148"/>
      <c r="C334" s="152"/>
      <c r="D334" s="153" t="s">
        <v>1760</v>
      </c>
      <c r="E334" s="152"/>
      <c r="F334" s="154"/>
      <c r="G334" s="151"/>
      <c r="H334" s="151"/>
      <c r="I334" s="154"/>
      <c r="J334" s="154"/>
      <c r="K334" s="284"/>
      <c r="L334" s="287" t="str">
        <f t="shared" si="25"/>
        <v/>
      </c>
      <c r="M334" s="287" t="str">
        <f t="shared" si="26"/>
        <v/>
      </c>
      <c r="N334" s="295" t="str">
        <f t="shared" si="27"/>
        <v/>
      </c>
      <c r="O334" s="287" t="str">
        <f t="shared" si="28"/>
        <v/>
      </c>
      <c r="P334" t="str">
        <f t="shared" si="29"/>
        <v>برايفيت</v>
      </c>
    </row>
    <row r="335" spans="1:16" ht="15.5" x14ac:dyDescent="0.35">
      <c r="A335" s="138"/>
      <c r="B335" s="133"/>
      <c r="C335" s="135"/>
      <c r="D335" s="136" t="s">
        <v>1760</v>
      </c>
      <c r="E335" s="135"/>
      <c r="F335" s="140"/>
      <c r="G335" s="138"/>
      <c r="H335" s="138"/>
      <c r="I335" s="140"/>
      <c r="J335" s="140"/>
      <c r="K335" s="283"/>
      <c r="L335" s="287" t="str">
        <f t="shared" si="25"/>
        <v/>
      </c>
      <c r="M335" s="287" t="str">
        <f t="shared" si="26"/>
        <v/>
      </c>
      <c r="N335" s="295" t="str">
        <f t="shared" si="27"/>
        <v/>
      </c>
      <c r="O335" s="287" t="str">
        <f t="shared" si="28"/>
        <v/>
      </c>
      <c r="P335" t="str">
        <f t="shared" si="29"/>
        <v>برايفيت</v>
      </c>
    </row>
    <row r="336" spans="1:16" ht="15.5" x14ac:dyDescent="0.35">
      <c r="A336" s="151"/>
      <c r="B336" s="148"/>
      <c r="C336" s="152"/>
      <c r="D336" s="153" t="s">
        <v>1760</v>
      </c>
      <c r="E336" s="152"/>
      <c r="F336" s="154"/>
      <c r="G336" s="151"/>
      <c r="H336" s="151"/>
      <c r="I336" s="154"/>
      <c r="J336" s="154"/>
      <c r="K336" s="284"/>
      <c r="L336" s="287" t="str">
        <f t="shared" si="25"/>
        <v/>
      </c>
      <c r="M336" s="287" t="str">
        <f t="shared" si="26"/>
        <v/>
      </c>
      <c r="N336" s="295" t="str">
        <f t="shared" si="27"/>
        <v/>
      </c>
      <c r="O336" s="287" t="str">
        <f t="shared" si="28"/>
        <v/>
      </c>
      <c r="P336" t="str">
        <f t="shared" si="29"/>
        <v>برايفيت</v>
      </c>
    </row>
    <row r="337" spans="1:16" ht="15.5" x14ac:dyDescent="0.35">
      <c r="A337" s="138"/>
      <c r="B337" s="133"/>
      <c r="C337" s="135"/>
      <c r="D337" s="136" t="s">
        <v>1760</v>
      </c>
      <c r="E337" s="135"/>
      <c r="F337" s="140"/>
      <c r="G337" s="138"/>
      <c r="H337" s="138"/>
      <c r="I337" s="140"/>
      <c r="J337" s="140"/>
      <c r="K337" s="283"/>
      <c r="L337" s="287" t="str">
        <f t="shared" si="25"/>
        <v/>
      </c>
      <c r="M337" s="287" t="str">
        <f t="shared" si="26"/>
        <v/>
      </c>
      <c r="N337" s="295" t="str">
        <f t="shared" si="27"/>
        <v/>
      </c>
      <c r="O337" s="287" t="str">
        <f t="shared" si="28"/>
        <v/>
      </c>
      <c r="P337" t="str">
        <f t="shared" si="29"/>
        <v>برايفيت</v>
      </c>
    </row>
    <row r="338" spans="1:16" ht="15.5" x14ac:dyDescent="0.35">
      <c r="A338" s="151"/>
      <c r="B338" s="148"/>
      <c r="C338" s="152"/>
      <c r="D338" s="153" t="s">
        <v>1760</v>
      </c>
      <c r="E338" s="152"/>
      <c r="F338" s="154"/>
      <c r="G338" s="151"/>
      <c r="H338" s="151"/>
      <c r="I338" s="154"/>
      <c r="J338" s="154"/>
      <c r="K338" s="284"/>
      <c r="L338" s="287" t="str">
        <f t="shared" si="25"/>
        <v/>
      </c>
      <c r="M338" s="287" t="str">
        <f t="shared" si="26"/>
        <v/>
      </c>
      <c r="N338" s="295" t="str">
        <f t="shared" si="27"/>
        <v/>
      </c>
      <c r="O338" s="287" t="str">
        <f t="shared" si="28"/>
        <v/>
      </c>
      <c r="P338" t="str">
        <f t="shared" si="29"/>
        <v>برايفيت</v>
      </c>
    </row>
    <row r="339" spans="1:16" ht="15.5" x14ac:dyDescent="0.35">
      <c r="A339" s="138"/>
      <c r="B339" s="133"/>
      <c r="C339" s="135"/>
      <c r="D339" s="136" t="s">
        <v>1760</v>
      </c>
      <c r="E339" s="135"/>
      <c r="F339" s="140"/>
      <c r="G339" s="138"/>
      <c r="H339" s="138"/>
      <c r="I339" s="140"/>
      <c r="J339" s="140"/>
      <c r="K339" s="283"/>
      <c r="L339" s="287" t="str">
        <f t="shared" si="25"/>
        <v/>
      </c>
      <c r="M339" s="287" t="str">
        <f t="shared" si="26"/>
        <v/>
      </c>
      <c r="N339" s="295" t="str">
        <f t="shared" si="27"/>
        <v/>
      </c>
      <c r="O339" s="287" t="str">
        <f t="shared" si="28"/>
        <v/>
      </c>
      <c r="P339" t="str">
        <f t="shared" si="29"/>
        <v>برايفيت</v>
      </c>
    </row>
    <row r="340" spans="1:16" ht="15.5" x14ac:dyDescent="0.35">
      <c r="A340" s="151"/>
      <c r="B340" s="148"/>
      <c r="C340" s="152"/>
      <c r="D340" s="153" t="s">
        <v>1760</v>
      </c>
      <c r="E340" s="152"/>
      <c r="F340" s="154"/>
      <c r="G340" s="151"/>
      <c r="H340" s="151"/>
      <c r="I340" s="154"/>
      <c r="J340" s="154"/>
      <c r="K340" s="284"/>
      <c r="L340" s="287" t="str">
        <f t="shared" si="25"/>
        <v/>
      </c>
      <c r="M340" s="287" t="str">
        <f t="shared" si="26"/>
        <v/>
      </c>
      <c r="N340" s="295" t="str">
        <f t="shared" si="27"/>
        <v/>
      </c>
      <c r="O340" s="287" t="str">
        <f t="shared" si="28"/>
        <v/>
      </c>
      <c r="P340" t="str">
        <f t="shared" si="29"/>
        <v>برايفيت</v>
      </c>
    </row>
    <row r="341" spans="1:16" ht="15.5" x14ac:dyDescent="0.35">
      <c r="A341" s="142"/>
      <c r="B341" s="143"/>
      <c r="C341" s="144"/>
      <c r="D341" s="145" t="s">
        <v>1760</v>
      </c>
      <c r="E341" s="144"/>
      <c r="F341" s="146"/>
      <c r="G341" s="142"/>
      <c r="H341" s="142"/>
      <c r="I341" s="146"/>
      <c r="J341" s="146"/>
      <c r="K341" s="285"/>
      <c r="L341" s="287" t="str">
        <f t="shared" si="25"/>
        <v/>
      </c>
      <c r="M341" s="287" t="str">
        <f t="shared" si="26"/>
        <v/>
      </c>
      <c r="N341" s="295" t="str">
        <f t="shared" si="27"/>
        <v/>
      </c>
      <c r="O341" s="287" t="str">
        <f t="shared" si="28"/>
        <v/>
      </c>
      <c r="P341" t="str">
        <f t="shared" si="29"/>
        <v>برايفيت</v>
      </c>
    </row>
  </sheetData>
  <conditionalFormatting sqref="L2:L341">
    <cfRule type="expression" dxfId="1" priority="1">
      <formula>AND(LEN($B2)&gt;0,LEN($L2)=0)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17"/>
  <sheetViews>
    <sheetView rightToLeft="1" tabSelected="1" zoomScale="70" zoomScaleNormal="70" workbookViewId="0">
      <selection activeCell="E56" sqref="E56"/>
    </sheetView>
  </sheetViews>
  <sheetFormatPr defaultRowHeight="14.5" x14ac:dyDescent="0.35"/>
  <cols>
    <col min="2" max="2" width="7.08984375" customWidth="1"/>
    <col min="3" max="3" width="23" customWidth="1"/>
    <col min="4" max="4" width="22.6328125" customWidth="1"/>
    <col min="5" max="5" width="11.7265625" customWidth="1"/>
    <col min="6" max="6" width="19.26953125" customWidth="1"/>
    <col min="7" max="7" width="23.81640625" customWidth="1"/>
    <col min="8" max="8" width="26.453125" customWidth="1"/>
    <col min="9" max="9" width="20.7265625" customWidth="1"/>
    <col min="10" max="10" width="17.90625" bestFit="1" customWidth="1"/>
  </cols>
  <sheetData>
    <row r="1" spans="2:10" x14ac:dyDescent="0.35">
      <c r="B1" s="255" t="s">
        <v>1220</v>
      </c>
      <c r="C1" s="255"/>
      <c r="D1" s="255"/>
      <c r="E1" s="255"/>
      <c r="F1" s="255"/>
      <c r="G1" s="256"/>
      <c r="H1" s="255"/>
    </row>
    <row r="2" spans="2:10" x14ac:dyDescent="0.35">
      <c r="B2" s="255"/>
      <c r="C2" s="255"/>
      <c r="D2" s="255"/>
      <c r="E2" s="255"/>
      <c r="F2" s="255"/>
      <c r="G2" s="256"/>
      <c r="H2" s="255"/>
    </row>
    <row r="3" spans="2:10" x14ac:dyDescent="0.35">
      <c r="B3" s="255"/>
      <c r="C3" s="255"/>
      <c r="D3" s="255"/>
      <c r="E3" s="255"/>
      <c r="F3" s="255"/>
      <c r="G3" s="256"/>
      <c r="H3" s="255"/>
    </row>
    <row r="4" spans="2:10" x14ac:dyDescent="0.35">
      <c r="B4" s="255"/>
      <c r="C4" s="255"/>
      <c r="D4" s="255"/>
      <c r="E4" s="255"/>
      <c r="F4" s="255"/>
      <c r="G4" s="256"/>
      <c r="H4" s="255"/>
    </row>
    <row r="5" spans="2:10" ht="31" x14ac:dyDescent="0.35">
      <c r="B5" s="25" t="s">
        <v>0</v>
      </c>
      <c r="C5" s="25" t="s">
        <v>7</v>
      </c>
      <c r="D5" s="25" t="s">
        <v>3</v>
      </c>
      <c r="E5" s="25" t="s">
        <v>1268</v>
      </c>
      <c r="F5" s="25" t="s">
        <v>15</v>
      </c>
      <c r="G5" s="162" t="s">
        <v>6</v>
      </c>
      <c r="H5" s="266" t="s">
        <v>655</v>
      </c>
      <c r="I5" s="269" t="s">
        <v>1805</v>
      </c>
      <c r="J5" s="269" t="s">
        <v>1806</v>
      </c>
    </row>
    <row r="6" spans="2:10" ht="26" x14ac:dyDescent="0.6">
      <c r="B6" s="71">
        <v>1</v>
      </c>
      <c r="C6" s="121" t="s">
        <v>1221</v>
      </c>
      <c r="D6" s="71">
        <v>1119736764</v>
      </c>
      <c r="E6" s="71">
        <v>66</v>
      </c>
      <c r="F6" s="132" t="s">
        <v>1728</v>
      </c>
      <c r="G6" s="215">
        <v>46144</v>
      </c>
      <c r="H6" s="272">
        <v>26012152402283</v>
      </c>
      <c r="I6" s="271">
        <v>200</v>
      </c>
      <c r="J6" s="271">
        <f>IF(I6="","",I6)</f>
        <v>200</v>
      </c>
    </row>
    <row r="7" spans="2:10" ht="26" x14ac:dyDescent="0.6">
      <c r="B7" s="71">
        <v>3</v>
      </c>
      <c r="C7" s="121" t="s">
        <v>1222</v>
      </c>
      <c r="D7" s="71">
        <v>1102224610</v>
      </c>
      <c r="E7" s="71">
        <v>36</v>
      </c>
      <c r="F7" s="132" t="s">
        <v>1728</v>
      </c>
      <c r="G7" s="215">
        <v>46144</v>
      </c>
      <c r="H7" s="272">
        <v>29006092403642</v>
      </c>
      <c r="I7" s="271">
        <v>200</v>
      </c>
      <c r="J7" s="271">
        <f t="shared" ref="J7:J70" si="0">IF(I7="","",I7)</f>
        <v>200</v>
      </c>
    </row>
    <row r="8" spans="2:10" ht="26" x14ac:dyDescent="0.6">
      <c r="B8" s="71">
        <v>4</v>
      </c>
      <c r="C8" s="121" t="s">
        <v>1223</v>
      </c>
      <c r="D8" s="71">
        <v>1277781615</v>
      </c>
      <c r="E8" s="71">
        <v>63</v>
      </c>
      <c r="F8" s="132" t="s">
        <v>1728</v>
      </c>
      <c r="G8" s="215">
        <v>46151</v>
      </c>
      <c r="H8" s="272">
        <v>26311292402078</v>
      </c>
      <c r="I8" s="271">
        <v>200</v>
      </c>
      <c r="J8" s="271">
        <f t="shared" si="0"/>
        <v>200</v>
      </c>
    </row>
    <row r="9" spans="2:10" ht="26" x14ac:dyDescent="0.6">
      <c r="B9" s="71">
        <v>5</v>
      </c>
      <c r="C9" s="121" t="s">
        <v>1224</v>
      </c>
      <c r="D9" s="71">
        <v>1283683179</v>
      </c>
      <c r="E9" s="71">
        <v>66</v>
      </c>
      <c r="F9" s="132" t="s">
        <v>1728</v>
      </c>
      <c r="G9" s="215">
        <v>46151</v>
      </c>
      <c r="H9" s="272">
        <v>26012012404979</v>
      </c>
      <c r="I9" s="271">
        <v>200</v>
      </c>
      <c r="J9" s="271">
        <f t="shared" si="0"/>
        <v>200</v>
      </c>
    </row>
    <row r="10" spans="2:10" ht="26" x14ac:dyDescent="0.6">
      <c r="B10" s="71">
        <v>6</v>
      </c>
      <c r="C10" s="121" t="s">
        <v>1225</v>
      </c>
      <c r="D10" s="71">
        <v>1115562198</v>
      </c>
      <c r="E10" s="71">
        <v>61</v>
      </c>
      <c r="F10" s="132" t="s">
        <v>1729</v>
      </c>
      <c r="G10" s="215">
        <v>46153</v>
      </c>
      <c r="H10" s="272">
        <v>26504152402127</v>
      </c>
      <c r="I10" s="271">
        <v>200</v>
      </c>
      <c r="J10" s="271">
        <f t="shared" si="0"/>
        <v>200</v>
      </c>
    </row>
    <row r="11" spans="2:10" ht="26" x14ac:dyDescent="0.6">
      <c r="B11" s="71">
        <v>7</v>
      </c>
      <c r="C11" s="121" t="s">
        <v>1226</v>
      </c>
      <c r="D11" s="71">
        <v>1114066451</v>
      </c>
      <c r="E11" s="71">
        <v>60</v>
      </c>
      <c r="F11" s="132" t="s">
        <v>1729</v>
      </c>
      <c r="G11" s="215">
        <v>46153</v>
      </c>
      <c r="H11" s="272">
        <v>26603172400901</v>
      </c>
      <c r="I11" s="271">
        <v>200</v>
      </c>
      <c r="J11" s="271">
        <f t="shared" si="0"/>
        <v>200</v>
      </c>
    </row>
    <row r="12" spans="2:10" ht="26" x14ac:dyDescent="0.6">
      <c r="B12" s="71">
        <v>9</v>
      </c>
      <c r="C12" s="121" t="s">
        <v>1227</v>
      </c>
      <c r="D12" s="71">
        <v>1154532019</v>
      </c>
      <c r="E12" s="71">
        <v>30</v>
      </c>
      <c r="F12" s="132" t="s">
        <v>1728</v>
      </c>
      <c r="G12" s="215">
        <v>46156</v>
      </c>
      <c r="H12" s="272">
        <v>29606202402512</v>
      </c>
      <c r="I12" s="271">
        <v>200</v>
      </c>
      <c r="J12" s="271">
        <f t="shared" si="0"/>
        <v>200</v>
      </c>
    </row>
    <row r="13" spans="2:10" ht="26" x14ac:dyDescent="0.6">
      <c r="B13" s="71">
        <v>10</v>
      </c>
      <c r="C13" s="121" t="s">
        <v>1228</v>
      </c>
      <c r="D13" s="71">
        <v>1001810205</v>
      </c>
      <c r="E13" s="71">
        <v>44</v>
      </c>
      <c r="F13" s="132" t="s">
        <v>1729</v>
      </c>
      <c r="G13" s="215">
        <v>46160</v>
      </c>
      <c r="H13" s="272">
        <v>28212062402451</v>
      </c>
      <c r="I13" s="271">
        <v>200</v>
      </c>
      <c r="J13" s="271">
        <f t="shared" si="0"/>
        <v>200</v>
      </c>
    </row>
    <row r="14" spans="2:10" ht="26" x14ac:dyDescent="0.6">
      <c r="B14" s="71">
        <v>11</v>
      </c>
      <c r="C14" s="121" t="s">
        <v>1229</v>
      </c>
      <c r="D14" s="71">
        <v>1001217860</v>
      </c>
      <c r="E14" s="71">
        <v>43</v>
      </c>
      <c r="F14" s="132" t="s">
        <v>1729</v>
      </c>
      <c r="G14" s="215">
        <v>46160</v>
      </c>
      <c r="H14" s="272">
        <v>28302201303399</v>
      </c>
      <c r="I14" s="271">
        <v>200</v>
      </c>
      <c r="J14" s="271">
        <f t="shared" si="0"/>
        <v>200</v>
      </c>
    </row>
    <row r="15" spans="2:10" ht="26" x14ac:dyDescent="0.6">
      <c r="B15" s="71">
        <v>12</v>
      </c>
      <c r="C15" s="121" t="s">
        <v>1230</v>
      </c>
      <c r="D15" s="71">
        <v>1116251177</v>
      </c>
      <c r="E15" s="71">
        <v>47</v>
      </c>
      <c r="F15" s="132" t="s">
        <v>1728</v>
      </c>
      <c r="G15" s="215">
        <v>46165</v>
      </c>
      <c r="H15" s="272">
        <v>27901092404152</v>
      </c>
      <c r="I15" s="271">
        <v>200</v>
      </c>
      <c r="J15" s="271">
        <f t="shared" si="0"/>
        <v>200</v>
      </c>
    </row>
    <row r="16" spans="2:10" ht="26" x14ac:dyDescent="0.6">
      <c r="B16" s="71">
        <v>14</v>
      </c>
      <c r="C16" s="121" t="s">
        <v>934</v>
      </c>
      <c r="D16" s="71">
        <v>1127521115</v>
      </c>
      <c r="E16" s="71">
        <v>60</v>
      </c>
      <c r="F16" s="132" t="s">
        <v>1728</v>
      </c>
      <c r="G16" s="215">
        <v>46165</v>
      </c>
      <c r="H16" s="272">
        <v>26602012402919</v>
      </c>
      <c r="I16" s="271">
        <v>200</v>
      </c>
      <c r="J16" s="271">
        <f t="shared" si="0"/>
        <v>200</v>
      </c>
    </row>
    <row r="17" spans="1:10" ht="26" x14ac:dyDescent="0.6">
      <c r="B17" s="71">
        <v>15</v>
      </c>
      <c r="C17" s="121" t="s">
        <v>1231</v>
      </c>
      <c r="D17" s="71">
        <v>1111022827</v>
      </c>
      <c r="E17" s="71">
        <v>60</v>
      </c>
      <c r="F17" s="132" t="s">
        <v>1729</v>
      </c>
      <c r="G17" s="215">
        <v>46174</v>
      </c>
      <c r="H17" s="272">
        <v>29111112402727</v>
      </c>
      <c r="I17" s="271">
        <v>200</v>
      </c>
      <c r="J17" s="271">
        <f t="shared" si="0"/>
        <v>200</v>
      </c>
    </row>
    <row r="18" spans="1:10" ht="26" x14ac:dyDescent="0.6">
      <c r="B18" s="71">
        <v>16</v>
      </c>
      <c r="C18" s="121" t="s">
        <v>1232</v>
      </c>
      <c r="D18" s="71">
        <v>1124244818</v>
      </c>
      <c r="E18" s="71">
        <v>67</v>
      </c>
      <c r="F18" s="132" t="s">
        <v>1729</v>
      </c>
      <c r="G18" s="215">
        <v>46174</v>
      </c>
      <c r="H18" s="272">
        <v>24812272400381</v>
      </c>
      <c r="I18" s="271">
        <v>200</v>
      </c>
      <c r="J18" s="271">
        <f t="shared" si="0"/>
        <v>200</v>
      </c>
    </row>
    <row r="19" spans="1:10" ht="26" x14ac:dyDescent="0.6">
      <c r="B19" s="71">
        <v>17</v>
      </c>
      <c r="C19" s="121" t="s">
        <v>1233</v>
      </c>
      <c r="D19" s="71">
        <v>1551568762</v>
      </c>
      <c r="E19" s="71">
        <v>64</v>
      </c>
      <c r="F19" s="132" t="s">
        <v>1729</v>
      </c>
      <c r="G19" s="215">
        <v>46174</v>
      </c>
      <c r="H19" s="272">
        <v>26508252400216</v>
      </c>
      <c r="I19" s="271">
        <v>200</v>
      </c>
      <c r="J19" s="271">
        <f t="shared" si="0"/>
        <v>200</v>
      </c>
    </row>
    <row r="20" spans="1:10" ht="26" x14ac:dyDescent="0.6">
      <c r="B20" s="71">
        <v>18</v>
      </c>
      <c r="C20" s="121" t="s">
        <v>1234</v>
      </c>
      <c r="D20" s="71">
        <v>1121868188</v>
      </c>
      <c r="E20" s="71">
        <v>49</v>
      </c>
      <c r="F20" s="132" t="s">
        <v>1728</v>
      </c>
      <c r="G20" s="215">
        <v>46177</v>
      </c>
      <c r="H20" s="272">
        <v>25906072200466</v>
      </c>
      <c r="I20" s="271">
        <v>200</v>
      </c>
      <c r="J20" s="271">
        <f t="shared" si="0"/>
        <v>200</v>
      </c>
    </row>
    <row r="21" spans="1:10" ht="26" x14ac:dyDescent="0.6">
      <c r="B21" s="71">
        <v>20</v>
      </c>
      <c r="C21" s="121" t="s">
        <v>1235</v>
      </c>
      <c r="D21" s="71">
        <v>1121702293</v>
      </c>
      <c r="E21" s="71">
        <v>71</v>
      </c>
      <c r="F21" s="132" t="s">
        <v>1728</v>
      </c>
      <c r="G21" s="215">
        <v>46177</v>
      </c>
      <c r="H21" s="272">
        <v>26610062401282</v>
      </c>
      <c r="I21" s="271">
        <v>200</v>
      </c>
      <c r="J21" s="271">
        <f t="shared" si="0"/>
        <v>200</v>
      </c>
    </row>
    <row r="22" spans="1:10" ht="26" x14ac:dyDescent="0.6">
      <c r="B22" s="71">
        <v>21</v>
      </c>
      <c r="C22" s="121" t="s">
        <v>1236</v>
      </c>
      <c r="D22" s="71">
        <v>1110744167</v>
      </c>
      <c r="E22" s="71">
        <v>38</v>
      </c>
      <c r="F22" s="132" t="s">
        <v>1728</v>
      </c>
      <c r="G22" s="215">
        <v>46179</v>
      </c>
      <c r="H22" s="272">
        <v>27708100103553</v>
      </c>
      <c r="I22" s="271">
        <v>200</v>
      </c>
      <c r="J22" s="271">
        <f t="shared" si="0"/>
        <v>200</v>
      </c>
    </row>
    <row r="23" spans="1:10" ht="26" x14ac:dyDescent="0.6">
      <c r="A23" s="24"/>
      <c r="B23" s="71">
        <v>22</v>
      </c>
      <c r="C23" s="121" t="s">
        <v>1237</v>
      </c>
      <c r="D23" s="71" t="s">
        <v>1241</v>
      </c>
      <c r="E23" s="71">
        <v>54</v>
      </c>
      <c r="F23" s="132" t="s">
        <v>1728</v>
      </c>
      <c r="G23" s="215">
        <v>46179</v>
      </c>
      <c r="H23" s="272">
        <v>25505232400241</v>
      </c>
      <c r="I23" s="271">
        <v>200</v>
      </c>
      <c r="J23" s="271">
        <f t="shared" si="0"/>
        <v>200</v>
      </c>
    </row>
    <row r="24" spans="1:10" ht="26" x14ac:dyDescent="0.6">
      <c r="B24" s="71">
        <v>23</v>
      </c>
      <c r="C24" s="121" t="s">
        <v>1238</v>
      </c>
      <c r="D24" s="71" t="s">
        <v>1242</v>
      </c>
      <c r="E24" s="71">
        <v>41</v>
      </c>
      <c r="F24" s="132" t="s">
        <v>1728</v>
      </c>
      <c r="G24" s="215">
        <v>46179</v>
      </c>
      <c r="H24" s="272">
        <v>28808142401412</v>
      </c>
      <c r="I24" s="271">
        <v>200</v>
      </c>
      <c r="J24" s="271">
        <f t="shared" si="0"/>
        <v>200</v>
      </c>
    </row>
    <row r="25" spans="1:10" ht="26" x14ac:dyDescent="0.6">
      <c r="B25" s="71">
        <v>24</v>
      </c>
      <c r="C25" s="121" t="s">
        <v>1239</v>
      </c>
      <c r="D25" s="71">
        <v>1125882868</v>
      </c>
      <c r="E25" s="71">
        <v>48</v>
      </c>
      <c r="F25" s="132" t="s">
        <v>1728</v>
      </c>
      <c r="G25" s="215">
        <v>46179</v>
      </c>
      <c r="H25" s="272">
        <v>27207152200647</v>
      </c>
      <c r="I25" s="271">
        <v>200</v>
      </c>
      <c r="J25" s="271">
        <f t="shared" si="0"/>
        <v>200</v>
      </c>
    </row>
    <row r="26" spans="1:10" ht="26" x14ac:dyDescent="0.6">
      <c r="B26" s="71">
        <v>25</v>
      </c>
      <c r="C26" s="121" t="s">
        <v>1240</v>
      </c>
      <c r="D26" s="71" t="s">
        <v>1243</v>
      </c>
      <c r="E26" s="71">
        <v>55</v>
      </c>
      <c r="F26" s="132" t="s">
        <v>1728</v>
      </c>
      <c r="G26" s="215">
        <v>46179</v>
      </c>
      <c r="H26" s="272">
        <v>28411222200411</v>
      </c>
      <c r="I26" s="271">
        <v>200</v>
      </c>
      <c r="J26" s="271">
        <f t="shared" si="0"/>
        <v>200</v>
      </c>
    </row>
    <row r="27" spans="1:10" ht="26" x14ac:dyDescent="0.6">
      <c r="B27" s="71">
        <v>26</v>
      </c>
      <c r="C27" s="121" t="s">
        <v>999</v>
      </c>
      <c r="D27" s="71" t="s">
        <v>1243</v>
      </c>
      <c r="E27" s="71">
        <v>61</v>
      </c>
      <c r="F27" s="132" t="s">
        <v>1728</v>
      </c>
      <c r="G27" s="215">
        <v>46184</v>
      </c>
      <c r="H27" s="272">
        <v>27802272200514</v>
      </c>
      <c r="I27" s="271">
        <v>200</v>
      </c>
      <c r="J27" s="271">
        <f t="shared" si="0"/>
        <v>200</v>
      </c>
    </row>
    <row r="28" spans="1:10" ht="26" x14ac:dyDescent="0.6">
      <c r="B28" s="71">
        <v>27</v>
      </c>
      <c r="C28" s="121" t="s">
        <v>1244</v>
      </c>
      <c r="D28" s="122" t="s">
        <v>1255</v>
      </c>
      <c r="E28" s="71">
        <v>60</v>
      </c>
      <c r="F28" s="132" t="s">
        <v>1728</v>
      </c>
      <c r="G28" s="215">
        <v>46184</v>
      </c>
      <c r="H28" s="272">
        <v>270090124202383</v>
      </c>
      <c r="I28" s="271">
        <v>200</v>
      </c>
      <c r="J28" s="271">
        <f t="shared" si="0"/>
        <v>200</v>
      </c>
    </row>
    <row r="29" spans="1:10" ht="26" x14ac:dyDescent="0.6">
      <c r="B29" s="71">
        <v>28</v>
      </c>
      <c r="C29" s="121" t="s">
        <v>1245</v>
      </c>
      <c r="D29" s="122" t="s">
        <v>1256</v>
      </c>
      <c r="E29" s="71">
        <v>72</v>
      </c>
      <c r="F29" s="132" t="s">
        <v>1729</v>
      </c>
      <c r="G29" s="215">
        <v>46188</v>
      </c>
      <c r="H29" s="272">
        <v>26412212201612</v>
      </c>
      <c r="I29" s="271">
        <v>200</v>
      </c>
      <c r="J29" s="271">
        <f t="shared" si="0"/>
        <v>200</v>
      </c>
    </row>
    <row r="30" spans="1:10" ht="26" x14ac:dyDescent="0.6">
      <c r="B30" s="71">
        <v>29</v>
      </c>
      <c r="C30" s="121" t="s">
        <v>1246</v>
      </c>
      <c r="D30" s="122" t="s">
        <v>1257</v>
      </c>
      <c r="E30" s="71">
        <v>74</v>
      </c>
      <c r="F30" s="132" t="s">
        <v>1729</v>
      </c>
      <c r="G30" s="215">
        <v>46188</v>
      </c>
      <c r="H30" s="272">
        <v>26512252402771</v>
      </c>
      <c r="I30" s="271">
        <v>200</v>
      </c>
      <c r="J30" s="271">
        <f t="shared" si="0"/>
        <v>200</v>
      </c>
    </row>
    <row r="31" spans="1:10" ht="26" x14ac:dyDescent="0.6">
      <c r="B31" s="71">
        <v>30</v>
      </c>
      <c r="C31" s="121" t="s">
        <v>1247</v>
      </c>
      <c r="D31" s="122" t="s">
        <v>1258</v>
      </c>
      <c r="E31" s="71">
        <v>65</v>
      </c>
      <c r="F31" s="132" t="s">
        <v>1728</v>
      </c>
      <c r="G31" s="215">
        <v>46193</v>
      </c>
      <c r="H31" s="272">
        <v>25310032401116</v>
      </c>
      <c r="I31" s="271">
        <v>200</v>
      </c>
      <c r="J31" s="271">
        <f t="shared" si="0"/>
        <v>200</v>
      </c>
    </row>
    <row r="32" spans="1:10" ht="26" x14ac:dyDescent="0.6">
      <c r="B32" s="71">
        <v>31</v>
      </c>
      <c r="C32" s="121" t="s">
        <v>1248</v>
      </c>
      <c r="D32" s="122" t="s">
        <v>1259</v>
      </c>
      <c r="E32" s="71">
        <v>47</v>
      </c>
      <c r="F32" s="132" t="s">
        <v>1728</v>
      </c>
      <c r="G32" s="215">
        <v>46193</v>
      </c>
      <c r="H32" s="272">
        <v>25111262400931</v>
      </c>
      <c r="I32" s="271">
        <v>200</v>
      </c>
      <c r="J32" s="271">
        <f t="shared" si="0"/>
        <v>200</v>
      </c>
    </row>
    <row r="33" spans="2:10" ht="26" x14ac:dyDescent="0.6">
      <c r="B33" s="71">
        <v>32</v>
      </c>
      <c r="C33" s="121" t="s">
        <v>1249</v>
      </c>
      <c r="D33" s="122" t="s">
        <v>1260</v>
      </c>
      <c r="E33" s="71">
        <v>36</v>
      </c>
      <c r="F33" s="132" t="s">
        <v>1728</v>
      </c>
      <c r="G33" s="215">
        <v>46193</v>
      </c>
      <c r="H33" s="272">
        <v>26107062400932</v>
      </c>
      <c r="I33" s="271">
        <v>200</v>
      </c>
      <c r="J33" s="271">
        <f t="shared" si="0"/>
        <v>200</v>
      </c>
    </row>
    <row r="34" spans="2:10" ht="26" x14ac:dyDescent="0.6">
      <c r="B34" s="71">
        <v>33</v>
      </c>
      <c r="C34" s="121" t="s">
        <v>1230</v>
      </c>
      <c r="D34" s="122" t="s">
        <v>1261</v>
      </c>
      <c r="E34" s="71">
        <v>34</v>
      </c>
      <c r="F34" s="132" t="s">
        <v>1728</v>
      </c>
      <c r="G34" s="215">
        <v>46198</v>
      </c>
      <c r="H34" s="272">
        <v>2790109240152</v>
      </c>
      <c r="I34" s="271">
        <v>200</v>
      </c>
      <c r="J34" s="271">
        <f t="shared" si="0"/>
        <v>200</v>
      </c>
    </row>
    <row r="35" spans="2:10" ht="26" x14ac:dyDescent="0.6">
      <c r="B35" s="71">
        <v>34</v>
      </c>
      <c r="C35" s="121" t="s">
        <v>1250</v>
      </c>
      <c r="D35" s="122" t="s">
        <v>1262</v>
      </c>
      <c r="E35" s="71">
        <v>39</v>
      </c>
      <c r="F35" s="132" t="s">
        <v>1728</v>
      </c>
      <c r="G35" s="215">
        <v>46198</v>
      </c>
      <c r="H35" s="272">
        <v>29001012428532</v>
      </c>
      <c r="I35" s="271">
        <v>200</v>
      </c>
      <c r="J35" s="271">
        <f t="shared" si="0"/>
        <v>200</v>
      </c>
    </row>
    <row r="36" spans="2:10" ht="26" x14ac:dyDescent="0.6">
      <c r="B36" s="71">
        <v>35</v>
      </c>
      <c r="C36" s="121" t="s">
        <v>1251</v>
      </c>
      <c r="D36" s="122" t="s">
        <v>1263</v>
      </c>
      <c r="E36" s="71">
        <v>35</v>
      </c>
      <c r="F36" s="132" t="s">
        <v>1728</v>
      </c>
      <c r="G36" s="215">
        <v>46198</v>
      </c>
      <c r="H36" s="272">
        <v>29111102404756</v>
      </c>
      <c r="I36" s="271">
        <v>200</v>
      </c>
      <c r="J36" s="271">
        <f t="shared" si="0"/>
        <v>200</v>
      </c>
    </row>
    <row r="37" spans="2:10" ht="26" x14ac:dyDescent="0.6">
      <c r="B37" s="71">
        <v>36</v>
      </c>
      <c r="C37" s="121" t="s">
        <v>1252</v>
      </c>
      <c r="D37" s="122" t="s">
        <v>1264</v>
      </c>
      <c r="E37" s="71">
        <v>45</v>
      </c>
      <c r="F37" s="132" t="s">
        <v>1728</v>
      </c>
      <c r="G37" s="215">
        <v>46205</v>
      </c>
      <c r="H37" s="272">
        <v>28702132401632</v>
      </c>
      <c r="I37" s="271">
        <v>200</v>
      </c>
      <c r="J37" s="271">
        <f t="shared" si="0"/>
        <v>200</v>
      </c>
    </row>
    <row r="38" spans="2:10" ht="26" x14ac:dyDescent="0.6">
      <c r="B38" s="71">
        <v>37</v>
      </c>
      <c r="C38" s="121" t="s">
        <v>1253</v>
      </c>
      <c r="D38" s="122" t="s">
        <v>1265</v>
      </c>
      <c r="E38" s="71">
        <v>29</v>
      </c>
      <c r="F38" s="132" t="s">
        <v>1728</v>
      </c>
      <c r="G38" s="215">
        <v>46205</v>
      </c>
      <c r="H38" s="272">
        <v>29010252403587</v>
      </c>
      <c r="I38" s="271">
        <v>200</v>
      </c>
      <c r="J38" s="271">
        <f t="shared" si="0"/>
        <v>200</v>
      </c>
    </row>
    <row r="39" spans="2:10" ht="26" x14ac:dyDescent="0.6">
      <c r="B39" s="71">
        <v>38</v>
      </c>
      <c r="C39" s="121" t="s">
        <v>1254</v>
      </c>
      <c r="D39" s="122" t="s">
        <v>1266</v>
      </c>
      <c r="E39" s="71">
        <v>29</v>
      </c>
      <c r="F39" s="132" t="s">
        <v>1728</v>
      </c>
      <c r="G39" s="215">
        <v>46214</v>
      </c>
      <c r="H39" s="272">
        <v>28108172402659</v>
      </c>
      <c r="I39" s="271">
        <v>200</v>
      </c>
      <c r="J39" s="271">
        <f t="shared" si="0"/>
        <v>200</v>
      </c>
    </row>
    <row r="40" spans="2:10" ht="26" x14ac:dyDescent="0.6">
      <c r="B40" s="71">
        <v>39</v>
      </c>
      <c r="C40" s="121" t="s">
        <v>1702</v>
      </c>
      <c r="D40" s="122">
        <v>1502414245</v>
      </c>
      <c r="E40" s="71">
        <v>33</v>
      </c>
      <c r="F40" s="132" t="s">
        <v>1728</v>
      </c>
      <c r="G40" s="215">
        <v>46214</v>
      </c>
      <c r="H40" s="272">
        <v>29703212401245</v>
      </c>
      <c r="I40" s="271">
        <v>200</v>
      </c>
      <c r="J40" s="271">
        <f t="shared" si="0"/>
        <v>200</v>
      </c>
    </row>
    <row r="41" spans="2:10" ht="26" x14ac:dyDescent="0.6">
      <c r="B41" s="71">
        <v>40</v>
      </c>
      <c r="C41" s="121" t="s">
        <v>1705</v>
      </c>
      <c r="D41" s="122" t="s">
        <v>1716</v>
      </c>
      <c r="E41" s="71">
        <v>38</v>
      </c>
      <c r="F41" s="132" t="s">
        <v>1728</v>
      </c>
      <c r="G41" s="215">
        <v>46214</v>
      </c>
      <c r="H41" s="272">
        <v>29210162401576</v>
      </c>
      <c r="I41" s="271">
        <v>200</v>
      </c>
      <c r="J41" s="271">
        <f t="shared" si="0"/>
        <v>200</v>
      </c>
    </row>
    <row r="42" spans="2:10" ht="26" x14ac:dyDescent="0.6">
      <c r="B42" s="71">
        <v>41</v>
      </c>
      <c r="C42" s="121" t="s">
        <v>1706</v>
      </c>
      <c r="D42" s="122" t="s">
        <v>1717</v>
      </c>
      <c r="E42" s="71">
        <v>28</v>
      </c>
      <c r="F42" s="132" t="s">
        <v>1729</v>
      </c>
      <c r="G42" s="215">
        <v>46216</v>
      </c>
      <c r="H42" s="272">
        <v>28711292402138</v>
      </c>
      <c r="I42" s="271">
        <v>200</v>
      </c>
      <c r="J42" s="271">
        <f t="shared" si="0"/>
        <v>200</v>
      </c>
    </row>
    <row r="43" spans="2:10" ht="26" x14ac:dyDescent="0.6">
      <c r="B43" s="71">
        <v>42</v>
      </c>
      <c r="C43" s="121" t="s">
        <v>1707</v>
      </c>
      <c r="D43" s="122" t="s">
        <v>1718</v>
      </c>
      <c r="E43" s="71">
        <v>31</v>
      </c>
      <c r="F43" s="132" t="s">
        <v>1729</v>
      </c>
      <c r="G43" s="215">
        <v>46216</v>
      </c>
      <c r="H43" s="272">
        <v>29802012207237</v>
      </c>
      <c r="I43" s="271">
        <v>200</v>
      </c>
      <c r="J43" s="271">
        <f t="shared" si="0"/>
        <v>200</v>
      </c>
    </row>
    <row r="44" spans="2:10" ht="26" x14ac:dyDescent="0.6">
      <c r="B44" s="71">
        <v>43</v>
      </c>
      <c r="C44" s="121" t="s">
        <v>1708</v>
      </c>
      <c r="D44" s="122" t="s">
        <v>1719</v>
      </c>
      <c r="E44" s="71">
        <v>32</v>
      </c>
      <c r="F44" s="132" t="s">
        <v>1729</v>
      </c>
      <c r="G44" s="215">
        <v>46216</v>
      </c>
      <c r="H44" s="272">
        <v>29410012434319</v>
      </c>
      <c r="I44" s="271">
        <v>200</v>
      </c>
      <c r="J44" s="271">
        <f t="shared" si="0"/>
        <v>200</v>
      </c>
    </row>
    <row r="45" spans="2:10" ht="26" x14ac:dyDescent="0.6">
      <c r="B45" s="71">
        <v>44</v>
      </c>
      <c r="C45" s="121" t="s">
        <v>1709</v>
      </c>
      <c r="D45" s="122" t="s">
        <v>1720</v>
      </c>
      <c r="E45" s="71">
        <v>38</v>
      </c>
      <c r="F45" s="132" t="s">
        <v>1728</v>
      </c>
      <c r="G45" s="215">
        <v>46219</v>
      </c>
      <c r="H45" s="272">
        <v>29312122200877</v>
      </c>
      <c r="I45" s="271">
        <v>200</v>
      </c>
      <c r="J45" s="271">
        <f t="shared" si="0"/>
        <v>200</v>
      </c>
    </row>
    <row r="46" spans="2:10" ht="26" x14ac:dyDescent="0.6">
      <c r="B46" s="71">
        <v>45</v>
      </c>
      <c r="C46" s="121" t="s">
        <v>1710</v>
      </c>
      <c r="D46" s="122" t="s">
        <v>1721</v>
      </c>
      <c r="E46" s="71">
        <v>29</v>
      </c>
      <c r="F46" s="132" t="s">
        <v>1728</v>
      </c>
      <c r="G46" s="215">
        <v>46219</v>
      </c>
      <c r="H46" s="272">
        <v>28801172403415</v>
      </c>
      <c r="I46" s="271">
        <v>200</v>
      </c>
      <c r="J46" s="271">
        <f t="shared" si="0"/>
        <v>200</v>
      </c>
    </row>
    <row r="47" spans="2:10" ht="26" x14ac:dyDescent="0.6">
      <c r="B47" s="71">
        <v>46</v>
      </c>
      <c r="C47" s="121" t="s">
        <v>1711</v>
      </c>
      <c r="D47" s="122" t="s">
        <v>1722</v>
      </c>
      <c r="E47" s="71">
        <v>52</v>
      </c>
      <c r="F47" s="132" t="s">
        <v>1728</v>
      </c>
      <c r="G47" s="215">
        <v>46219</v>
      </c>
      <c r="H47" s="272">
        <v>29610302402592</v>
      </c>
      <c r="I47" s="271">
        <v>200</v>
      </c>
      <c r="J47" s="271">
        <f t="shared" si="0"/>
        <v>200</v>
      </c>
    </row>
    <row r="48" spans="2:10" ht="26" x14ac:dyDescent="0.6">
      <c r="B48" s="71">
        <v>47</v>
      </c>
      <c r="C48" s="121" t="s">
        <v>1712</v>
      </c>
      <c r="D48" s="122" t="s">
        <v>1723</v>
      </c>
      <c r="E48" s="71">
        <v>35</v>
      </c>
      <c r="F48" s="132" t="s">
        <v>1729</v>
      </c>
      <c r="G48" s="215">
        <v>46223</v>
      </c>
      <c r="H48" s="272">
        <v>27402102402491</v>
      </c>
      <c r="I48" s="271">
        <v>200</v>
      </c>
      <c r="J48" s="271">
        <f t="shared" si="0"/>
        <v>200</v>
      </c>
    </row>
    <row r="49" spans="2:10" ht="26" x14ac:dyDescent="0.6">
      <c r="B49" s="71">
        <v>48</v>
      </c>
      <c r="C49" s="121" t="s">
        <v>1154</v>
      </c>
      <c r="D49" s="122" t="s">
        <v>1724</v>
      </c>
      <c r="E49" s="71">
        <v>30</v>
      </c>
      <c r="F49" s="132" t="s">
        <v>1729</v>
      </c>
      <c r="G49" s="215">
        <v>46223</v>
      </c>
      <c r="H49" s="272">
        <v>29108062402681</v>
      </c>
      <c r="I49" s="271">
        <v>200</v>
      </c>
      <c r="J49" s="271">
        <f t="shared" si="0"/>
        <v>200</v>
      </c>
    </row>
    <row r="50" spans="2:10" ht="26" x14ac:dyDescent="0.6">
      <c r="B50" s="71">
        <v>49</v>
      </c>
      <c r="C50" s="121" t="s">
        <v>1713</v>
      </c>
      <c r="D50" s="122" t="s">
        <v>1725</v>
      </c>
      <c r="E50" s="71">
        <v>80</v>
      </c>
      <c r="F50" s="132" t="s">
        <v>1729</v>
      </c>
      <c r="G50" s="215">
        <v>46223</v>
      </c>
      <c r="H50" s="272">
        <v>29603162401837</v>
      </c>
      <c r="I50" s="271">
        <v>200</v>
      </c>
      <c r="J50" s="271">
        <f t="shared" si="0"/>
        <v>200</v>
      </c>
    </row>
    <row r="51" spans="2:10" ht="26" x14ac:dyDescent="0.6">
      <c r="B51" s="71">
        <v>50</v>
      </c>
      <c r="C51" s="121" t="s">
        <v>1714</v>
      </c>
      <c r="D51" s="122" t="s">
        <v>1726</v>
      </c>
      <c r="E51" s="71">
        <v>32</v>
      </c>
      <c r="F51" s="132" t="s">
        <v>1728</v>
      </c>
      <c r="G51" s="215">
        <v>46228</v>
      </c>
      <c r="H51" s="272">
        <v>229310312200251</v>
      </c>
      <c r="I51" s="271">
        <v>200</v>
      </c>
      <c r="J51" s="271">
        <f t="shared" si="0"/>
        <v>200</v>
      </c>
    </row>
    <row r="52" spans="2:10" ht="26" x14ac:dyDescent="0.6">
      <c r="B52" s="71">
        <v>51</v>
      </c>
      <c r="C52" s="121" t="s">
        <v>1715</v>
      </c>
      <c r="D52" s="122" t="s">
        <v>1727</v>
      </c>
      <c r="E52" s="71">
        <v>32</v>
      </c>
      <c r="F52" s="132" t="s">
        <v>1728</v>
      </c>
      <c r="G52" s="215">
        <v>46228</v>
      </c>
      <c r="H52" s="272">
        <v>29402082400192</v>
      </c>
      <c r="I52" s="271">
        <v>200</v>
      </c>
      <c r="J52" s="271">
        <f t="shared" si="0"/>
        <v>200</v>
      </c>
    </row>
    <row r="53" spans="2:10" ht="26" x14ac:dyDescent="0.6">
      <c r="B53" s="71">
        <v>52</v>
      </c>
      <c r="C53" s="121"/>
      <c r="D53" s="122"/>
      <c r="E53" s="71"/>
      <c r="F53" s="122"/>
      <c r="G53" s="215"/>
      <c r="H53" s="272"/>
      <c r="I53" s="271">
        <v>200</v>
      </c>
      <c r="J53" s="271">
        <f t="shared" si="0"/>
        <v>200</v>
      </c>
    </row>
    <row r="54" spans="2:10" ht="26" x14ac:dyDescent="0.6">
      <c r="B54" s="71">
        <v>53</v>
      </c>
      <c r="C54" s="121"/>
      <c r="D54" s="122"/>
      <c r="E54" s="71"/>
      <c r="F54" s="122"/>
      <c r="G54" s="215"/>
      <c r="H54" s="272"/>
      <c r="I54" s="271">
        <v>200</v>
      </c>
      <c r="J54" s="271">
        <f t="shared" si="0"/>
        <v>200</v>
      </c>
    </row>
    <row r="55" spans="2:10" ht="26" x14ac:dyDescent="0.6">
      <c r="B55" s="71">
        <v>54</v>
      </c>
      <c r="C55" s="121"/>
      <c r="D55" s="122"/>
      <c r="E55" s="71"/>
      <c r="F55" s="122"/>
      <c r="G55" s="215"/>
      <c r="H55" s="272"/>
      <c r="I55" s="271">
        <v>200</v>
      </c>
      <c r="J55" s="271">
        <f t="shared" si="0"/>
        <v>200</v>
      </c>
    </row>
    <row r="56" spans="2:10" ht="26" x14ac:dyDescent="0.6">
      <c r="B56" s="71">
        <v>55</v>
      </c>
      <c r="C56" s="121"/>
      <c r="D56" s="122"/>
      <c r="E56" s="71"/>
      <c r="F56" s="122"/>
      <c r="G56" s="215"/>
      <c r="H56" s="272"/>
      <c r="I56" s="271">
        <v>200</v>
      </c>
      <c r="J56" s="271">
        <f t="shared" si="0"/>
        <v>200</v>
      </c>
    </row>
    <row r="57" spans="2:10" ht="26" x14ac:dyDescent="0.6">
      <c r="B57" s="71">
        <v>56</v>
      </c>
      <c r="C57" s="121"/>
      <c r="D57" s="122"/>
      <c r="E57" s="71"/>
      <c r="F57" s="122"/>
      <c r="G57" s="215"/>
      <c r="H57" s="272"/>
      <c r="I57" s="271">
        <v>200</v>
      </c>
      <c r="J57" s="271">
        <f t="shared" si="0"/>
        <v>200</v>
      </c>
    </row>
    <row r="58" spans="2:10" ht="26" x14ac:dyDescent="0.6">
      <c r="B58" s="71">
        <v>57</v>
      </c>
      <c r="C58" s="121"/>
      <c r="D58" s="122"/>
      <c r="E58" s="122"/>
      <c r="F58" s="122"/>
      <c r="G58" s="215"/>
      <c r="H58" s="272"/>
      <c r="I58" s="271">
        <v>200</v>
      </c>
      <c r="J58" s="271">
        <f t="shared" si="0"/>
        <v>200</v>
      </c>
    </row>
    <row r="59" spans="2:10" ht="26" x14ac:dyDescent="0.6">
      <c r="B59" s="71">
        <v>58</v>
      </c>
      <c r="C59" s="121"/>
      <c r="D59" s="122"/>
      <c r="E59" s="122"/>
      <c r="F59" s="122"/>
      <c r="G59" s="215"/>
      <c r="H59" s="272"/>
      <c r="I59" s="271">
        <v>200</v>
      </c>
      <c r="J59" s="271">
        <f t="shared" si="0"/>
        <v>200</v>
      </c>
    </row>
    <row r="60" spans="2:10" ht="26" x14ac:dyDescent="0.6">
      <c r="B60" s="71">
        <v>59</v>
      </c>
      <c r="C60" s="121"/>
      <c r="D60" s="71"/>
      <c r="E60" s="71"/>
      <c r="F60" s="71"/>
      <c r="G60" s="215"/>
      <c r="H60" s="272"/>
      <c r="I60" s="271">
        <v>200</v>
      </c>
      <c r="J60" s="271">
        <f t="shared" si="0"/>
        <v>200</v>
      </c>
    </row>
    <row r="61" spans="2:10" ht="26" x14ac:dyDescent="0.6">
      <c r="B61" s="71">
        <v>60</v>
      </c>
      <c r="C61" s="121"/>
      <c r="D61" s="71"/>
      <c r="E61" s="71"/>
      <c r="F61" s="71"/>
      <c r="G61" s="215"/>
      <c r="H61" s="272"/>
      <c r="I61" s="271">
        <v>200</v>
      </c>
      <c r="J61" s="271">
        <f t="shared" si="0"/>
        <v>200</v>
      </c>
    </row>
    <row r="62" spans="2:10" ht="26" x14ac:dyDescent="0.6">
      <c r="B62" s="71">
        <v>61</v>
      </c>
      <c r="C62" s="121"/>
      <c r="D62" s="71"/>
      <c r="E62" s="71"/>
      <c r="F62" s="71"/>
      <c r="G62" s="189"/>
      <c r="H62" s="272"/>
      <c r="I62" s="271">
        <v>200</v>
      </c>
      <c r="J62" s="271">
        <f t="shared" si="0"/>
        <v>200</v>
      </c>
    </row>
    <row r="63" spans="2:10" ht="26" x14ac:dyDescent="0.6">
      <c r="B63" s="71">
        <v>62</v>
      </c>
      <c r="C63" s="121"/>
      <c r="D63" s="71"/>
      <c r="E63" s="71"/>
      <c r="F63" s="71"/>
      <c r="G63" s="189"/>
      <c r="H63" s="272"/>
      <c r="I63" s="271">
        <v>200</v>
      </c>
      <c r="J63" s="271">
        <f t="shared" si="0"/>
        <v>200</v>
      </c>
    </row>
    <row r="64" spans="2:10" ht="26" x14ac:dyDescent="0.6">
      <c r="B64" s="71">
        <v>63</v>
      </c>
      <c r="C64" s="121"/>
      <c r="D64" s="71"/>
      <c r="E64" s="71"/>
      <c r="F64" s="71"/>
      <c r="G64" s="189"/>
      <c r="H64" s="272"/>
      <c r="I64" s="271">
        <v>200</v>
      </c>
      <c r="J64" s="271">
        <f t="shared" si="0"/>
        <v>200</v>
      </c>
    </row>
    <row r="65" spans="2:10" ht="26" x14ac:dyDescent="0.6">
      <c r="B65" s="71">
        <v>64</v>
      </c>
      <c r="C65" s="121"/>
      <c r="D65" s="71"/>
      <c r="E65" s="71"/>
      <c r="F65" s="71"/>
      <c r="G65" s="189"/>
      <c r="H65" s="272"/>
      <c r="I65" s="271">
        <v>200</v>
      </c>
      <c r="J65" s="271">
        <f t="shared" si="0"/>
        <v>200</v>
      </c>
    </row>
    <row r="66" spans="2:10" ht="26" x14ac:dyDescent="0.6">
      <c r="B66" s="71">
        <v>65</v>
      </c>
      <c r="C66" s="121"/>
      <c r="D66" s="71"/>
      <c r="E66" s="71"/>
      <c r="F66" s="71"/>
      <c r="G66" s="189"/>
      <c r="H66" s="272"/>
      <c r="I66" s="271">
        <v>200</v>
      </c>
      <c r="J66" s="271">
        <f t="shared" si="0"/>
        <v>200</v>
      </c>
    </row>
    <row r="67" spans="2:10" ht="26" x14ac:dyDescent="0.6">
      <c r="B67" s="71">
        <v>66</v>
      </c>
      <c r="C67" s="121"/>
      <c r="D67" s="71"/>
      <c r="E67" s="71"/>
      <c r="F67" s="71"/>
      <c r="G67" s="189"/>
      <c r="H67" s="272"/>
      <c r="I67" s="271">
        <v>200</v>
      </c>
      <c r="J67" s="271">
        <f t="shared" si="0"/>
        <v>200</v>
      </c>
    </row>
    <row r="68" spans="2:10" ht="26" x14ac:dyDescent="0.6">
      <c r="B68" s="71">
        <v>67</v>
      </c>
      <c r="C68" s="121"/>
      <c r="D68" s="71"/>
      <c r="E68" s="71"/>
      <c r="F68" s="71"/>
      <c r="G68" s="189"/>
      <c r="H68" s="272"/>
      <c r="I68" s="271">
        <v>200</v>
      </c>
      <c r="J68" s="271">
        <f t="shared" si="0"/>
        <v>200</v>
      </c>
    </row>
    <row r="69" spans="2:10" ht="26" x14ac:dyDescent="0.6">
      <c r="B69" s="71">
        <v>68</v>
      </c>
      <c r="C69" s="121"/>
      <c r="D69" s="71"/>
      <c r="E69" s="71"/>
      <c r="F69" s="71"/>
      <c r="G69" s="189"/>
      <c r="H69" s="272"/>
      <c r="I69" s="271">
        <v>200</v>
      </c>
      <c r="J69" s="271">
        <f t="shared" si="0"/>
        <v>200</v>
      </c>
    </row>
    <row r="70" spans="2:10" ht="26" x14ac:dyDescent="0.6">
      <c r="B70" s="71">
        <v>69</v>
      </c>
      <c r="C70" s="121"/>
      <c r="D70" s="71"/>
      <c r="E70" s="71"/>
      <c r="F70" s="71"/>
      <c r="G70" s="189"/>
      <c r="H70" s="272"/>
      <c r="I70" s="271">
        <v>200</v>
      </c>
      <c r="J70" s="271">
        <f t="shared" si="0"/>
        <v>200</v>
      </c>
    </row>
    <row r="71" spans="2:10" ht="26" x14ac:dyDescent="0.6">
      <c r="B71" s="71">
        <v>70</v>
      </c>
      <c r="C71" s="121"/>
      <c r="D71" s="71"/>
      <c r="E71" s="71"/>
      <c r="F71" s="71"/>
      <c r="G71" s="189"/>
      <c r="H71" s="272"/>
      <c r="I71" s="271">
        <v>200</v>
      </c>
      <c r="J71" s="271">
        <f t="shared" ref="J71:J134" si="1">IF(I71="","",I71)</f>
        <v>200</v>
      </c>
    </row>
    <row r="72" spans="2:10" ht="26" x14ac:dyDescent="0.6">
      <c r="B72" s="71">
        <v>71</v>
      </c>
      <c r="C72" s="121"/>
      <c r="D72" s="71"/>
      <c r="E72" s="71"/>
      <c r="F72" s="71"/>
      <c r="G72" s="189"/>
      <c r="H72" s="272"/>
      <c r="I72" s="271">
        <v>200</v>
      </c>
      <c r="J72" s="271">
        <f t="shared" si="1"/>
        <v>200</v>
      </c>
    </row>
    <row r="73" spans="2:10" ht="26" x14ac:dyDescent="0.6">
      <c r="B73" s="71">
        <v>72</v>
      </c>
      <c r="C73" s="121"/>
      <c r="D73" s="71"/>
      <c r="E73" s="71"/>
      <c r="F73" s="71"/>
      <c r="G73" s="189"/>
      <c r="H73" s="272"/>
      <c r="I73" s="271">
        <v>200</v>
      </c>
      <c r="J73" s="271">
        <f t="shared" si="1"/>
        <v>200</v>
      </c>
    </row>
    <row r="74" spans="2:10" ht="26" x14ac:dyDescent="0.6">
      <c r="B74" s="71">
        <v>73</v>
      </c>
      <c r="C74" s="121"/>
      <c r="D74" s="71"/>
      <c r="E74" s="71"/>
      <c r="F74" s="71"/>
      <c r="G74" s="189"/>
      <c r="H74" s="272"/>
      <c r="I74" s="271">
        <v>200</v>
      </c>
      <c r="J74" s="271">
        <f t="shared" si="1"/>
        <v>200</v>
      </c>
    </row>
    <row r="75" spans="2:10" ht="26" x14ac:dyDescent="0.6">
      <c r="B75" s="71">
        <v>74</v>
      </c>
      <c r="C75" s="121"/>
      <c r="D75" s="71"/>
      <c r="E75" s="71"/>
      <c r="F75" s="71"/>
      <c r="G75" s="189"/>
      <c r="H75" s="272"/>
      <c r="I75" s="271">
        <v>200</v>
      </c>
      <c r="J75" s="271">
        <f t="shared" si="1"/>
        <v>200</v>
      </c>
    </row>
    <row r="76" spans="2:10" ht="26" x14ac:dyDescent="0.6">
      <c r="B76" s="71">
        <v>75</v>
      </c>
      <c r="C76" s="121"/>
      <c r="D76" s="71"/>
      <c r="E76" s="71"/>
      <c r="F76" s="71"/>
      <c r="G76" s="189"/>
      <c r="H76" s="272"/>
      <c r="I76" s="271">
        <v>200</v>
      </c>
      <c r="J76" s="271">
        <f t="shared" si="1"/>
        <v>200</v>
      </c>
    </row>
    <row r="77" spans="2:10" ht="26" x14ac:dyDescent="0.6">
      <c r="B77" s="71">
        <v>76</v>
      </c>
      <c r="C77" s="121"/>
      <c r="D77" s="71"/>
      <c r="E77" s="71"/>
      <c r="F77" s="71"/>
      <c r="G77" s="189"/>
      <c r="H77" s="272"/>
      <c r="I77" s="271">
        <v>200</v>
      </c>
      <c r="J77" s="271">
        <f t="shared" si="1"/>
        <v>200</v>
      </c>
    </row>
    <row r="78" spans="2:10" ht="26" x14ac:dyDescent="0.6">
      <c r="B78" s="71">
        <v>77</v>
      </c>
      <c r="C78" s="121"/>
      <c r="D78" s="71"/>
      <c r="E78" s="71"/>
      <c r="F78" s="71"/>
      <c r="G78" s="189"/>
      <c r="H78" s="272"/>
      <c r="I78" s="271">
        <v>200</v>
      </c>
      <c r="J78" s="271">
        <f t="shared" si="1"/>
        <v>200</v>
      </c>
    </row>
    <row r="79" spans="2:10" ht="26" x14ac:dyDescent="0.6">
      <c r="B79" s="71">
        <v>78</v>
      </c>
      <c r="C79" s="121"/>
      <c r="D79" s="71"/>
      <c r="E79" s="71"/>
      <c r="F79" s="71"/>
      <c r="G79" s="189"/>
      <c r="H79" s="272"/>
      <c r="I79" s="271">
        <v>200</v>
      </c>
      <c r="J79" s="271">
        <f t="shared" si="1"/>
        <v>200</v>
      </c>
    </row>
    <row r="80" spans="2:10" ht="26" x14ac:dyDescent="0.6">
      <c r="B80" s="71">
        <v>79</v>
      </c>
      <c r="C80" s="121"/>
      <c r="D80" s="71"/>
      <c r="E80" s="71"/>
      <c r="F80" s="71"/>
      <c r="G80" s="189"/>
      <c r="H80" s="272"/>
      <c r="I80" s="271">
        <v>200</v>
      </c>
      <c r="J80" s="271">
        <f t="shared" si="1"/>
        <v>200</v>
      </c>
    </row>
    <row r="81" spans="2:10" ht="26" x14ac:dyDescent="0.6">
      <c r="B81" s="71">
        <v>80</v>
      </c>
      <c r="C81" s="121"/>
      <c r="D81" s="71"/>
      <c r="E81" s="71"/>
      <c r="F81" s="71"/>
      <c r="G81" s="189"/>
      <c r="H81" s="272"/>
      <c r="I81" s="271">
        <v>200</v>
      </c>
      <c r="J81" s="271">
        <f t="shared" si="1"/>
        <v>200</v>
      </c>
    </row>
    <row r="82" spans="2:10" ht="26" x14ac:dyDescent="0.6">
      <c r="B82" s="71">
        <v>81</v>
      </c>
      <c r="C82" s="121"/>
      <c r="D82" s="71"/>
      <c r="E82" s="71"/>
      <c r="F82" s="71"/>
      <c r="G82" s="189"/>
      <c r="H82" s="272"/>
      <c r="I82" s="271">
        <v>200</v>
      </c>
      <c r="J82" s="271">
        <f t="shared" si="1"/>
        <v>200</v>
      </c>
    </row>
    <row r="83" spans="2:10" ht="26" x14ac:dyDescent="0.6">
      <c r="B83" s="71">
        <v>82</v>
      </c>
      <c r="C83" s="121"/>
      <c r="D83" s="71"/>
      <c r="E83" s="71"/>
      <c r="F83" s="71"/>
      <c r="G83" s="189"/>
      <c r="H83" s="272"/>
      <c r="I83" s="271">
        <v>200</v>
      </c>
      <c r="J83" s="271">
        <f t="shared" si="1"/>
        <v>200</v>
      </c>
    </row>
    <row r="84" spans="2:10" ht="26" x14ac:dyDescent="0.6">
      <c r="B84" s="71">
        <v>83</v>
      </c>
      <c r="C84" s="121"/>
      <c r="D84" s="71"/>
      <c r="E84" s="71"/>
      <c r="F84" s="71"/>
      <c r="G84" s="189"/>
      <c r="H84" s="272"/>
      <c r="I84" s="271">
        <v>200</v>
      </c>
      <c r="J84" s="271">
        <f t="shared" si="1"/>
        <v>200</v>
      </c>
    </row>
    <row r="85" spans="2:10" ht="26" x14ac:dyDescent="0.6">
      <c r="B85" s="71">
        <v>84</v>
      </c>
      <c r="C85" s="121"/>
      <c r="D85" s="71"/>
      <c r="E85" s="71"/>
      <c r="F85" s="71"/>
      <c r="G85" s="189"/>
      <c r="H85" s="272"/>
      <c r="I85" s="271">
        <v>200</v>
      </c>
      <c r="J85" s="271">
        <f t="shared" si="1"/>
        <v>200</v>
      </c>
    </row>
    <row r="86" spans="2:10" ht="26" x14ac:dyDescent="0.6">
      <c r="B86" s="71">
        <v>85</v>
      </c>
      <c r="C86" s="121"/>
      <c r="D86" s="71"/>
      <c r="E86" s="71"/>
      <c r="F86" s="71"/>
      <c r="G86" s="189"/>
      <c r="H86" s="272"/>
      <c r="I86" s="271">
        <v>200</v>
      </c>
      <c r="J86" s="271">
        <f t="shared" si="1"/>
        <v>200</v>
      </c>
    </row>
    <row r="87" spans="2:10" ht="26" x14ac:dyDescent="0.6">
      <c r="B87" s="71">
        <v>86</v>
      </c>
      <c r="C87" s="121"/>
      <c r="D87" s="71"/>
      <c r="E87" s="71"/>
      <c r="F87" s="71"/>
      <c r="G87" s="189"/>
      <c r="H87" s="272"/>
      <c r="I87" s="271">
        <v>200</v>
      </c>
      <c r="J87" s="271">
        <f t="shared" si="1"/>
        <v>200</v>
      </c>
    </row>
    <row r="88" spans="2:10" ht="26" x14ac:dyDescent="0.6">
      <c r="B88" s="71">
        <v>87</v>
      </c>
      <c r="C88" s="121"/>
      <c r="D88" s="71"/>
      <c r="E88" s="71"/>
      <c r="F88" s="71"/>
      <c r="G88" s="189"/>
      <c r="H88" s="272"/>
      <c r="I88" s="271">
        <v>200</v>
      </c>
      <c r="J88" s="271">
        <f t="shared" si="1"/>
        <v>200</v>
      </c>
    </row>
    <row r="89" spans="2:10" ht="26" x14ac:dyDescent="0.6">
      <c r="B89" s="71">
        <v>88</v>
      </c>
      <c r="C89" s="121"/>
      <c r="D89" s="71"/>
      <c r="E89" s="71"/>
      <c r="F89" s="71"/>
      <c r="G89" s="189"/>
      <c r="H89" s="272"/>
      <c r="I89" s="271">
        <v>200</v>
      </c>
      <c r="J89" s="271">
        <f t="shared" si="1"/>
        <v>200</v>
      </c>
    </row>
    <row r="90" spans="2:10" ht="26" x14ac:dyDescent="0.6">
      <c r="B90" s="71">
        <v>89</v>
      </c>
      <c r="C90" s="121"/>
      <c r="D90" s="71"/>
      <c r="E90" s="71"/>
      <c r="F90" s="71"/>
      <c r="G90" s="189"/>
      <c r="H90" s="272"/>
      <c r="I90" s="271">
        <v>200</v>
      </c>
      <c r="J90" s="271">
        <f t="shared" si="1"/>
        <v>200</v>
      </c>
    </row>
    <row r="91" spans="2:10" ht="26" x14ac:dyDescent="0.6">
      <c r="B91" s="71">
        <v>90</v>
      </c>
      <c r="C91" s="121"/>
      <c r="D91" s="71"/>
      <c r="E91" s="71"/>
      <c r="F91" s="71"/>
      <c r="G91" s="189"/>
      <c r="H91" s="272"/>
      <c r="I91" s="271">
        <v>200</v>
      </c>
      <c r="J91" s="271">
        <f t="shared" si="1"/>
        <v>200</v>
      </c>
    </row>
    <row r="92" spans="2:10" ht="26" x14ac:dyDescent="0.6">
      <c r="B92" s="71">
        <v>91</v>
      </c>
      <c r="C92" s="121"/>
      <c r="D92" s="71"/>
      <c r="E92" s="71"/>
      <c r="F92" s="71"/>
      <c r="G92" s="189"/>
      <c r="H92" s="272"/>
      <c r="I92" s="271">
        <v>200</v>
      </c>
      <c r="J92" s="271">
        <f t="shared" si="1"/>
        <v>200</v>
      </c>
    </row>
    <row r="93" spans="2:10" ht="26" x14ac:dyDescent="0.6">
      <c r="B93" s="71">
        <v>92</v>
      </c>
      <c r="C93" s="121"/>
      <c r="D93" s="71"/>
      <c r="E93" s="71"/>
      <c r="F93" s="71"/>
      <c r="G93" s="189"/>
      <c r="H93" s="272"/>
      <c r="I93" s="271">
        <v>200</v>
      </c>
      <c r="J93" s="271">
        <f t="shared" si="1"/>
        <v>200</v>
      </c>
    </row>
    <row r="94" spans="2:10" ht="26" x14ac:dyDescent="0.6">
      <c r="B94" s="71">
        <v>93</v>
      </c>
      <c r="C94" s="121"/>
      <c r="D94" s="71"/>
      <c r="E94" s="71"/>
      <c r="F94" s="71"/>
      <c r="G94" s="189"/>
      <c r="H94" s="272"/>
      <c r="I94" s="271">
        <v>200</v>
      </c>
      <c r="J94" s="271">
        <f t="shared" si="1"/>
        <v>200</v>
      </c>
    </row>
    <row r="95" spans="2:10" ht="26" x14ac:dyDescent="0.6">
      <c r="B95" s="71">
        <v>94</v>
      </c>
      <c r="C95" s="121"/>
      <c r="D95" s="71"/>
      <c r="E95" s="71"/>
      <c r="F95" s="71"/>
      <c r="G95" s="189"/>
      <c r="H95" s="272"/>
      <c r="I95" s="271">
        <v>200</v>
      </c>
      <c r="J95" s="271">
        <f t="shared" si="1"/>
        <v>200</v>
      </c>
    </row>
    <row r="96" spans="2:10" ht="26" x14ac:dyDescent="0.6">
      <c r="B96" s="71">
        <v>95</v>
      </c>
      <c r="C96" s="121"/>
      <c r="D96" s="71"/>
      <c r="E96" s="71"/>
      <c r="F96" s="71"/>
      <c r="G96" s="189"/>
      <c r="H96" s="272"/>
      <c r="I96" s="271">
        <v>200</v>
      </c>
      <c r="J96" s="271">
        <f t="shared" si="1"/>
        <v>200</v>
      </c>
    </row>
    <row r="97" spans="2:10" ht="26" x14ac:dyDescent="0.6">
      <c r="B97" s="71">
        <v>96</v>
      </c>
      <c r="C97" s="121"/>
      <c r="D97" s="71"/>
      <c r="E97" s="71"/>
      <c r="F97" s="71"/>
      <c r="G97" s="189"/>
      <c r="H97" s="272"/>
      <c r="I97" s="271">
        <v>200</v>
      </c>
      <c r="J97" s="271">
        <f t="shared" si="1"/>
        <v>200</v>
      </c>
    </row>
    <row r="98" spans="2:10" ht="26" x14ac:dyDescent="0.6">
      <c r="B98" s="71">
        <v>97</v>
      </c>
      <c r="C98" s="121"/>
      <c r="D98" s="71"/>
      <c r="E98" s="71"/>
      <c r="F98" s="71"/>
      <c r="G98" s="189"/>
      <c r="H98" s="272"/>
      <c r="I98" s="271">
        <v>200</v>
      </c>
      <c r="J98" s="271">
        <f t="shared" si="1"/>
        <v>200</v>
      </c>
    </row>
    <row r="99" spans="2:10" ht="26" x14ac:dyDescent="0.6">
      <c r="B99" s="71">
        <v>98</v>
      </c>
      <c r="C99" s="121"/>
      <c r="D99" s="71"/>
      <c r="E99" s="71"/>
      <c r="F99" s="71"/>
      <c r="G99" s="189"/>
      <c r="H99" s="272"/>
      <c r="I99" s="271">
        <v>200</v>
      </c>
      <c r="J99" s="271">
        <f t="shared" si="1"/>
        <v>200</v>
      </c>
    </row>
    <row r="100" spans="2:10" ht="26" x14ac:dyDescent="0.6">
      <c r="B100" s="71">
        <v>99</v>
      </c>
      <c r="C100" s="121"/>
      <c r="D100" s="71"/>
      <c r="E100" s="71"/>
      <c r="F100" s="71"/>
      <c r="G100" s="189"/>
      <c r="H100" s="272"/>
      <c r="I100" s="271">
        <v>200</v>
      </c>
      <c r="J100" s="271">
        <f t="shared" si="1"/>
        <v>200</v>
      </c>
    </row>
    <row r="101" spans="2:10" ht="26" x14ac:dyDescent="0.6">
      <c r="B101" s="71">
        <v>100</v>
      </c>
      <c r="C101" s="121"/>
      <c r="D101" s="71"/>
      <c r="E101" s="71"/>
      <c r="F101" s="71"/>
      <c r="G101" s="189"/>
      <c r="H101" s="272"/>
      <c r="I101" s="271">
        <v>200</v>
      </c>
      <c r="J101" s="271">
        <f t="shared" si="1"/>
        <v>200</v>
      </c>
    </row>
    <row r="102" spans="2:10" ht="26" x14ac:dyDescent="0.6">
      <c r="B102" s="71">
        <v>101</v>
      </c>
      <c r="C102" s="121"/>
      <c r="D102" s="71"/>
      <c r="E102" s="71"/>
      <c r="F102" s="71"/>
      <c r="G102" s="189"/>
      <c r="H102" s="272"/>
      <c r="I102" s="271">
        <v>200</v>
      </c>
      <c r="J102" s="271">
        <f t="shared" si="1"/>
        <v>200</v>
      </c>
    </row>
    <row r="103" spans="2:10" ht="26" x14ac:dyDescent="0.6">
      <c r="B103" s="71">
        <v>102</v>
      </c>
      <c r="C103" s="121"/>
      <c r="D103" s="71"/>
      <c r="E103" s="71"/>
      <c r="F103" s="71"/>
      <c r="G103" s="189"/>
      <c r="H103" s="272"/>
      <c r="I103" s="271">
        <v>200</v>
      </c>
      <c r="J103" s="271">
        <f t="shared" si="1"/>
        <v>200</v>
      </c>
    </row>
    <row r="104" spans="2:10" ht="26" x14ac:dyDescent="0.6">
      <c r="B104" s="71">
        <v>103</v>
      </c>
      <c r="C104" s="121"/>
      <c r="D104" s="71"/>
      <c r="E104" s="71"/>
      <c r="F104" s="71"/>
      <c r="G104" s="189"/>
      <c r="H104" s="272"/>
      <c r="I104" s="271">
        <v>200</v>
      </c>
      <c r="J104" s="271">
        <f t="shared" si="1"/>
        <v>200</v>
      </c>
    </row>
    <row r="105" spans="2:10" ht="26" x14ac:dyDescent="0.6">
      <c r="B105" s="71">
        <v>104</v>
      </c>
      <c r="C105" s="121"/>
      <c r="D105" s="71"/>
      <c r="E105" s="71"/>
      <c r="F105" s="71"/>
      <c r="G105" s="189"/>
      <c r="H105" s="272"/>
      <c r="I105" s="271">
        <v>200</v>
      </c>
      <c r="J105" s="271">
        <f t="shared" si="1"/>
        <v>200</v>
      </c>
    </row>
    <row r="106" spans="2:10" ht="26" x14ac:dyDescent="0.6">
      <c r="B106" s="71">
        <v>105</v>
      </c>
      <c r="C106" s="121"/>
      <c r="D106" s="71"/>
      <c r="E106" s="71"/>
      <c r="F106" s="71"/>
      <c r="G106" s="189"/>
      <c r="H106" s="272"/>
      <c r="I106" s="271">
        <v>200</v>
      </c>
      <c r="J106" s="271">
        <f t="shared" si="1"/>
        <v>200</v>
      </c>
    </row>
    <row r="107" spans="2:10" ht="26" x14ac:dyDescent="0.6">
      <c r="B107" s="71">
        <v>106</v>
      </c>
      <c r="C107" s="121"/>
      <c r="D107" s="71"/>
      <c r="E107" s="71"/>
      <c r="F107" s="71"/>
      <c r="G107" s="189"/>
      <c r="H107" s="272"/>
      <c r="I107" s="271">
        <v>200</v>
      </c>
      <c r="J107" s="271">
        <f t="shared" si="1"/>
        <v>200</v>
      </c>
    </row>
    <row r="108" spans="2:10" ht="26" x14ac:dyDescent="0.6">
      <c r="B108" s="71">
        <v>107</v>
      </c>
      <c r="C108" s="121"/>
      <c r="D108" s="71"/>
      <c r="E108" s="71"/>
      <c r="F108" s="71"/>
      <c r="G108" s="189"/>
      <c r="H108" s="272"/>
      <c r="I108" s="271">
        <v>200</v>
      </c>
      <c r="J108" s="271">
        <f t="shared" si="1"/>
        <v>200</v>
      </c>
    </row>
    <row r="109" spans="2:10" ht="26" x14ac:dyDescent="0.6">
      <c r="B109" s="71">
        <v>108</v>
      </c>
      <c r="C109" s="121"/>
      <c r="D109" s="71"/>
      <c r="E109" s="71"/>
      <c r="F109" s="71"/>
      <c r="G109" s="189"/>
      <c r="H109" s="272"/>
      <c r="I109" s="271">
        <v>200</v>
      </c>
      <c r="J109" s="271">
        <f t="shared" si="1"/>
        <v>200</v>
      </c>
    </row>
    <row r="110" spans="2:10" ht="26" x14ac:dyDescent="0.6">
      <c r="B110" s="71">
        <v>109</v>
      </c>
      <c r="C110" s="121"/>
      <c r="D110" s="71"/>
      <c r="E110" s="71"/>
      <c r="F110" s="71"/>
      <c r="G110" s="189"/>
      <c r="H110" s="272"/>
      <c r="I110" s="271">
        <v>200</v>
      </c>
      <c r="J110" s="271">
        <f t="shared" si="1"/>
        <v>200</v>
      </c>
    </row>
    <row r="111" spans="2:10" ht="26" x14ac:dyDescent="0.6">
      <c r="B111" s="71">
        <v>110</v>
      </c>
      <c r="C111" s="121"/>
      <c r="D111" s="71"/>
      <c r="E111" s="71"/>
      <c r="F111" s="71"/>
      <c r="G111" s="189"/>
      <c r="H111" s="272"/>
      <c r="I111" s="271">
        <v>200</v>
      </c>
      <c r="J111" s="271">
        <f t="shared" si="1"/>
        <v>200</v>
      </c>
    </row>
    <row r="112" spans="2:10" ht="26" x14ac:dyDescent="0.6">
      <c r="B112" s="71">
        <v>111</v>
      </c>
      <c r="C112" s="121"/>
      <c r="D112" s="71"/>
      <c r="E112" s="71"/>
      <c r="F112" s="71"/>
      <c r="G112" s="189"/>
      <c r="H112" s="272"/>
      <c r="I112" s="271">
        <v>200</v>
      </c>
      <c r="J112" s="271">
        <f t="shared" si="1"/>
        <v>200</v>
      </c>
    </row>
    <row r="113" spans="2:10" ht="26" x14ac:dyDescent="0.6">
      <c r="B113" s="71">
        <v>112</v>
      </c>
      <c r="C113" s="121"/>
      <c r="D113" s="71"/>
      <c r="E113" s="71"/>
      <c r="F113" s="71"/>
      <c r="G113" s="189"/>
      <c r="H113" s="272"/>
      <c r="I113" s="271">
        <v>200</v>
      </c>
      <c r="J113" s="271">
        <f t="shared" si="1"/>
        <v>200</v>
      </c>
    </row>
    <row r="114" spans="2:10" ht="26" x14ac:dyDescent="0.6">
      <c r="B114" s="71">
        <v>113</v>
      </c>
      <c r="C114" s="121"/>
      <c r="D114" s="71"/>
      <c r="E114" s="71"/>
      <c r="F114" s="71"/>
      <c r="G114" s="189"/>
      <c r="H114" s="272"/>
      <c r="I114" s="271">
        <v>200</v>
      </c>
      <c r="J114" s="271">
        <f t="shared" si="1"/>
        <v>200</v>
      </c>
    </row>
    <row r="115" spans="2:10" ht="26" x14ac:dyDescent="0.6">
      <c r="B115" s="71">
        <v>114</v>
      </c>
      <c r="C115" s="121"/>
      <c r="D115" s="71"/>
      <c r="E115" s="71"/>
      <c r="F115" s="71"/>
      <c r="G115" s="189"/>
      <c r="H115" s="272"/>
      <c r="I115" s="271">
        <v>200</v>
      </c>
      <c r="J115" s="271">
        <f t="shared" si="1"/>
        <v>200</v>
      </c>
    </row>
    <row r="116" spans="2:10" ht="26" x14ac:dyDescent="0.6">
      <c r="B116" s="71">
        <v>115</v>
      </c>
      <c r="C116" s="121"/>
      <c r="D116" s="71"/>
      <c r="E116" s="71"/>
      <c r="F116" s="71"/>
      <c r="G116" s="189"/>
      <c r="H116" s="272"/>
      <c r="I116" s="271">
        <v>200</v>
      </c>
      <c r="J116" s="271">
        <f t="shared" si="1"/>
        <v>200</v>
      </c>
    </row>
    <row r="117" spans="2:10" ht="26" x14ac:dyDescent="0.6">
      <c r="B117" s="71">
        <v>116</v>
      </c>
      <c r="C117" s="121"/>
      <c r="D117" s="71"/>
      <c r="E117" s="71"/>
      <c r="F117" s="71"/>
      <c r="G117" s="189"/>
      <c r="H117" s="272"/>
      <c r="I117" s="271">
        <v>200</v>
      </c>
      <c r="J117" s="271">
        <f t="shared" si="1"/>
        <v>200</v>
      </c>
    </row>
    <row r="118" spans="2:10" ht="26" x14ac:dyDescent="0.6">
      <c r="B118" s="71">
        <v>117</v>
      </c>
      <c r="C118" s="121"/>
      <c r="D118" s="71"/>
      <c r="E118" s="71"/>
      <c r="F118" s="71"/>
      <c r="G118" s="189"/>
      <c r="H118" s="272"/>
      <c r="I118" s="271">
        <v>200</v>
      </c>
      <c r="J118" s="271">
        <f t="shared" si="1"/>
        <v>200</v>
      </c>
    </row>
    <row r="119" spans="2:10" ht="26" x14ac:dyDescent="0.6">
      <c r="B119" s="71">
        <v>118</v>
      </c>
      <c r="C119" s="121"/>
      <c r="D119" s="71"/>
      <c r="E119" s="71"/>
      <c r="F119" s="71"/>
      <c r="G119" s="189"/>
      <c r="H119" s="272"/>
      <c r="I119" s="271">
        <v>200</v>
      </c>
      <c r="J119" s="271">
        <f t="shared" si="1"/>
        <v>200</v>
      </c>
    </row>
    <row r="120" spans="2:10" ht="26" x14ac:dyDescent="0.6">
      <c r="B120" s="71">
        <v>119</v>
      </c>
      <c r="C120" s="121"/>
      <c r="D120" s="71"/>
      <c r="E120" s="71"/>
      <c r="F120" s="71"/>
      <c r="G120" s="189"/>
      <c r="H120" s="272"/>
      <c r="I120" s="271">
        <v>200</v>
      </c>
      <c r="J120" s="271">
        <f t="shared" si="1"/>
        <v>200</v>
      </c>
    </row>
    <row r="121" spans="2:10" ht="26" x14ac:dyDescent="0.6">
      <c r="B121" s="71">
        <v>120</v>
      </c>
      <c r="C121" s="121"/>
      <c r="D121" s="71"/>
      <c r="E121" s="71"/>
      <c r="F121" s="71"/>
      <c r="G121" s="189"/>
      <c r="H121" s="272"/>
      <c r="I121" s="271">
        <v>200</v>
      </c>
      <c r="J121" s="271">
        <f t="shared" si="1"/>
        <v>200</v>
      </c>
    </row>
    <row r="122" spans="2:10" ht="26" x14ac:dyDescent="0.6">
      <c r="B122" s="71">
        <v>121</v>
      </c>
      <c r="C122" s="121"/>
      <c r="D122" s="71"/>
      <c r="E122" s="71"/>
      <c r="F122" s="71"/>
      <c r="G122" s="189"/>
      <c r="H122" s="272"/>
      <c r="I122" s="271">
        <v>200</v>
      </c>
      <c r="J122" s="271">
        <f t="shared" si="1"/>
        <v>200</v>
      </c>
    </row>
    <row r="123" spans="2:10" ht="26" x14ac:dyDescent="0.6">
      <c r="B123" s="71">
        <v>122</v>
      </c>
      <c r="C123" s="121"/>
      <c r="D123" s="71"/>
      <c r="E123" s="71"/>
      <c r="F123" s="71"/>
      <c r="G123" s="189"/>
      <c r="H123" s="272"/>
      <c r="I123" s="271">
        <v>200</v>
      </c>
      <c r="J123" s="271">
        <f t="shared" si="1"/>
        <v>200</v>
      </c>
    </row>
    <row r="124" spans="2:10" ht="26" x14ac:dyDescent="0.6">
      <c r="B124" s="71">
        <v>123</v>
      </c>
      <c r="C124" s="121"/>
      <c r="D124" s="71"/>
      <c r="E124" s="71"/>
      <c r="F124" s="71"/>
      <c r="G124" s="189"/>
      <c r="H124" s="272"/>
      <c r="I124" s="271">
        <v>200</v>
      </c>
      <c r="J124" s="271">
        <f t="shared" si="1"/>
        <v>200</v>
      </c>
    </row>
    <row r="125" spans="2:10" ht="26" x14ac:dyDescent="0.6">
      <c r="B125" s="71">
        <v>124</v>
      </c>
      <c r="C125" s="121"/>
      <c r="D125" s="71"/>
      <c r="E125" s="71"/>
      <c r="F125" s="71"/>
      <c r="G125" s="189"/>
      <c r="H125" s="272"/>
      <c r="I125" s="271">
        <v>200</v>
      </c>
      <c r="J125" s="271">
        <f t="shared" si="1"/>
        <v>200</v>
      </c>
    </row>
    <row r="126" spans="2:10" ht="26" x14ac:dyDescent="0.6">
      <c r="B126" s="71">
        <v>125</v>
      </c>
      <c r="C126" s="121"/>
      <c r="D126" s="71"/>
      <c r="E126" s="71"/>
      <c r="F126" s="71"/>
      <c r="G126" s="189"/>
      <c r="H126" s="272"/>
      <c r="I126" s="271">
        <v>200</v>
      </c>
      <c r="J126" s="271">
        <f t="shared" si="1"/>
        <v>200</v>
      </c>
    </row>
    <row r="127" spans="2:10" ht="26" x14ac:dyDescent="0.6">
      <c r="B127" s="71">
        <v>126</v>
      </c>
      <c r="C127" s="121"/>
      <c r="D127" s="71"/>
      <c r="E127" s="71"/>
      <c r="F127" s="71"/>
      <c r="G127" s="189"/>
      <c r="H127" s="272"/>
      <c r="I127" s="271">
        <v>200</v>
      </c>
      <c r="J127" s="271">
        <f t="shared" si="1"/>
        <v>200</v>
      </c>
    </row>
    <row r="128" spans="2:10" ht="26" x14ac:dyDescent="0.6">
      <c r="B128" s="71">
        <v>127</v>
      </c>
      <c r="C128" s="121"/>
      <c r="D128" s="71"/>
      <c r="E128" s="71"/>
      <c r="F128" s="71"/>
      <c r="G128" s="189"/>
      <c r="H128" s="272"/>
      <c r="I128" s="271">
        <v>200</v>
      </c>
      <c r="J128" s="271">
        <f t="shared" si="1"/>
        <v>200</v>
      </c>
    </row>
    <row r="129" spans="2:10" ht="26" x14ac:dyDescent="0.6">
      <c r="B129" s="71">
        <v>128</v>
      </c>
      <c r="C129" s="121"/>
      <c r="D129" s="71"/>
      <c r="E129" s="71"/>
      <c r="F129" s="71"/>
      <c r="G129" s="189"/>
      <c r="H129" s="272"/>
      <c r="I129" s="271">
        <v>200</v>
      </c>
      <c r="J129" s="271">
        <f t="shared" si="1"/>
        <v>200</v>
      </c>
    </row>
    <row r="130" spans="2:10" ht="26" x14ac:dyDescent="0.6">
      <c r="B130" s="71">
        <v>129</v>
      </c>
      <c r="C130" s="121"/>
      <c r="D130" s="71"/>
      <c r="E130" s="71"/>
      <c r="F130" s="71"/>
      <c r="G130" s="189"/>
      <c r="H130" s="272"/>
      <c r="I130" s="271">
        <v>200</v>
      </c>
      <c r="J130" s="271">
        <f t="shared" si="1"/>
        <v>200</v>
      </c>
    </row>
    <row r="131" spans="2:10" ht="26" x14ac:dyDescent="0.6">
      <c r="B131" s="71">
        <v>130</v>
      </c>
      <c r="C131" s="121"/>
      <c r="D131" s="71"/>
      <c r="E131" s="71"/>
      <c r="F131" s="71"/>
      <c r="G131" s="189"/>
      <c r="H131" s="272"/>
      <c r="I131" s="271">
        <v>200</v>
      </c>
      <c r="J131" s="271">
        <f t="shared" si="1"/>
        <v>200</v>
      </c>
    </row>
    <row r="132" spans="2:10" ht="26" x14ac:dyDescent="0.6">
      <c r="B132" s="71">
        <v>131</v>
      </c>
      <c r="C132" s="121"/>
      <c r="D132" s="71"/>
      <c r="E132" s="71"/>
      <c r="F132" s="71"/>
      <c r="G132" s="189"/>
      <c r="H132" s="272"/>
      <c r="I132" s="271">
        <v>200</v>
      </c>
      <c r="J132" s="271">
        <f t="shared" si="1"/>
        <v>200</v>
      </c>
    </row>
    <row r="133" spans="2:10" ht="26" x14ac:dyDescent="0.6">
      <c r="B133" s="71">
        <v>132</v>
      </c>
      <c r="C133" s="121"/>
      <c r="D133" s="71"/>
      <c r="E133" s="71"/>
      <c r="F133" s="71"/>
      <c r="G133" s="189"/>
      <c r="H133" s="272"/>
      <c r="I133" s="271">
        <v>200</v>
      </c>
      <c r="J133" s="271">
        <f t="shared" si="1"/>
        <v>200</v>
      </c>
    </row>
    <row r="134" spans="2:10" ht="26" x14ac:dyDescent="0.6">
      <c r="B134" s="71">
        <v>133</v>
      </c>
      <c r="C134" s="121"/>
      <c r="D134" s="71"/>
      <c r="E134" s="71"/>
      <c r="F134" s="71"/>
      <c r="G134" s="189"/>
      <c r="H134" s="272"/>
      <c r="I134" s="271">
        <v>200</v>
      </c>
      <c r="J134" s="271">
        <f t="shared" si="1"/>
        <v>200</v>
      </c>
    </row>
    <row r="135" spans="2:10" ht="26" x14ac:dyDescent="0.6">
      <c r="B135" s="71">
        <v>134</v>
      </c>
      <c r="C135" s="121"/>
      <c r="D135" s="71"/>
      <c r="E135" s="71"/>
      <c r="F135" s="71"/>
      <c r="G135" s="189"/>
      <c r="H135" s="272"/>
      <c r="I135" s="271">
        <v>200</v>
      </c>
      <c r="J135" s="271">
        <f t="shared" ref="J135:J198" si="2">IF(I135="","",I135)</f>
        <v>200</v>
      </c>
    </row>
    <row r="136" spans="2:10" ht="26" x14ac:dyDescent="0.6">
      <c r="B136" s="71">
        <v>135</v>
      </c>
      <c r="C136" s="121"/>
      <c r="D136" s="71"/>
      <c r="E136" s="71"/>
      <c r="F136" s="71"/>
      <c r="G136" s="189"/>
      <c r="H136" s="272"/>
      <c r="I136" s="271">
        <v>200</v>
      </c>
      <c r="J136" s="271">
        <f t="shared" si="2"/>
        <v>200</v>
      </c>
    </row>
    <row r="137" spans="2:10" ht="26" x14ac:dyDescent="0.6">
      <c r="B137" s="71">
        <v>136</v>
      </c>
      <c r="C137" s="121"/>
      <c r="D137" s="71"/>
      <c r="E137" s="71"/>
      <c r="F137" s="71"/>
      <c r="G137" s="189"/>
      <c r="H137" s="272"/>
      <c r="I137" s="271">
        <v>200</v>
      </c>
      <c r="J137" s="271">
        <f t="shared" si="2"/>
        <v>200</v>
      </c>
    </row>
    <row r="138" spans="2:10" ht="26" x14ac:dyDescent="0.6">
      <c r="B138" s="71">
        <v>137</v>
      </c>
      <c r="C138" s="121"/>
      <c r="D138" s="71"/>
      <c r="E138" s="71"/>
      <c r="F138" s="71"/>
      <c r="G138" s="189"/>
      <c r="H138" s="272"/>
      <c r="I138" s="271">
        <v>200</v>
      </c>
      <c r="J138" s="271">
        <f t="shared" si="2"/>
        <v>200</v>
      </c>
    </row>
    <row r="139" spans="2:10" ht="26" x14ac:dyDescent="0.6">
      <c r="B139" s="71">
        <v>138</v>
      </c>
      <c r="C139" s="121"/>
      <c r="D139" s="71"/>
      <c r="E139" s="71"/>
      <c r="F139" s="71"/>
      <c r="G139" s="189"/>
      <c r="H139" s="272"/>
      <c r="I139" s="271">
        <v>200</v>
      </c>
      <c r="J139" s="271">
        <f t="shared" si="2"/>
        <v>200</v>
      </c>
    </row>
    <row r="140" spans="2:10" ht="26" x14ac:dyDescent="0.6">
      <c r="B140" s="71">
        <v>139</v>
      </c>
      <c r="C140" s="121"/>
      <c r="D140" s="71"/>
      <c r="E140" s="71"/>
      <c r="F140" s="71"/>
      <c r="G140" s="189"/>
      <c r="H140" s="272"/>
      <c r="I140" s="271">
        <v>200</v>
      </c>
      <c r="J140" s="271">
        <f t="shared" si="2"/>
        <v>200</v>
      </c>
    </row>
    <row r="141" spans="2:10" ht="26" x14ac:dyDescent="0.6">
      <c r="B141" s="71">
        <v>140</v>
      </c>
      <c r="C141" s="121"/>
      <c r="D141" s="71"/>
      <c r="E141" s="71"/>
      <c r="F141" s="71"/>
      <c r="G141" s="189"/>
      <c r="H141" s="272"/>
      <c r="I141" s="271">
        <v>200</v>
      </c>
      <c r="J141" s="271">
        <f t="shared" si="2"/>
        <v>200</v>
      </c>
    </row>
    <row r="142" spans="2:10" ht="26" x14ac:dyDescent="0.6">
      <c r="B142" s="71">
        <v>141</v>
      </c>
      <c r="C142" s="121"/>
      <c r="D142" s="71"/>
      <c r="E142" s="71"/>
      <c r="F142" s="71"/>
      <c r="G142" s="189"/>
      <c r="H142" s="272"/>
      <c r="I142" s="271">
        <v>200</v>
      </c>
      <c r="J142" s="271">
        <f t="shared" si="2"/>
        <v>200</v>
      </c>
    </row>
    <row r="143" spans="2:10" ht="26" x14ac:dyDescent="0.6">
      <c r="B143" s="71">
        <v>142</v>
      </c>
      <c r="C143" s="121"/>
      <c r="D143" s="71"/>
      <c r="E143" s="71"/>
      <c r="F143" s="71"/>
      <c r="G143" s="189"/>
      <c r="H143" s="272"/>
      <c r="I143" s="271">
        <v>200</v>
      </c>
      <c r="J143" s="271">
        <f t="shared" si="2"/>
        <v>200</v>
      </c>
    </row>
    <row r="144" spans="2:10" ht="26" x14ac:dyDescent="0.6">
      <c r="B144" s="71">
        <v>143</v>
      </c>
      <c r="C144" s="121"/>
      <c r="D144" s="71"/>
      <c r="E144" s="71"/>
      <c r="F144" s="71"/>
      <c r="G144" s="189"/>
      <c r="H144" s="272"/>
      <c r="I144" s="271">
        <v>200</v>
      </c>
      <c r="J144" s="271">
        <f t="shared" si="2"/>
        <v>200</v>
      </c>
    </row>
    <row r="145" spans="2:10" ht="26" x14ac:dyDescent="0.6">
      <c r="B145" s="71">
        <v>144</v>
      </c>
      <c r="C145" s="121"/>
      <c r="D145" s="71"/>
      <c r="E145" s="71"/>
      <c r="F145" s="71"/>
      <c r="G145" s="189"/>
      <c r="H145" s="272"/>
      <c r="I145" s="271">
        <v>200</v>
      </c>
      <c r="J145" s="271">
        <f t="shared" si="2"/>
        <v>200</v>
      </c>
    </row>
    <row r="146" spans="2:10" ht="26" x14ac:dyDescent="0.6">
      <c r="B146" s="71">
        <v>145</v>
      </c>
      <c r="C146" s="121"/>
      <c r="D146" s="71"/>
      <c r="E146" s="71"/>
      <c r="F146" s="71"/>
      <c r="G146" s="189"/>
      <c r="H146" s="272"/>
      <c r="I146" s="271">
        <v>200</v>
      </c>
      <c r="J146" s="271">
        <f t="shared" si="2"/>
        <v>200</v>
      </c>
    </row>
    <row r="147" spans="2:10" ht="26" x14ac:dyDescent="0.6">
      <c r="B147" s="71">
        <v>146</v>
      </c>
      <c r="C147" s="121"/>
      <c r="D147" s="71"/>
      <c r="E147" s="71"/>
      <c r="F147" s="71"/>
      <c r="G147" s="189"/>
      <c r="H147" s="272"/>
      <c r="I147" s="271">
        <v>200</v>
      </c>
      <c r="J147" s="271">
        <f t="shared" si="2"/>
        <v>200</v>
      </c>
    </row>
    <row r="148" spans="2:10" ht="26" x14ac:dyDescent="0.6">
      <c r="B148" s="71">
        <v>147</v>
      </c>
      <c r="C148" s="121"/>
      <c r="D148" s="71"/>
      <c r="E148" s="71"/>
      <c r="F148" s="71"/>
      <c r="G148" s="189"/>
      <c r="H148" s="272"/>
      <c r="I148" s="271">
        <v>200</v>
      </c>
      <c r="J148" s="271">
        <f t="shared" si="2"/>
        <v>200</v>
      </c>
    </row>
    <row r="149" spans="2:10" ht="26" x14ac:dyDescent="0.6">
      <c r="B149" s="71">
        <v>148</v>
      </c>
      <c r="C149" s="121"/>
      <c r="D149" s="71"/>
      <c r="E149" s="71"/>
      <c r="F149" s="71"/>
      <c r="G149" s="189"/>
      <c r="H149" s="272"/>
      <c r="I149" s="271">
        <v>200</v>
      </c>
      <c r="J149" s="271">
        <f t="shared" si="2"/>
        <v>200</v>
      </c>
    </row>
    <row r="150" spans="2:10" ht="26" x14ac:dyDescent="0.6">
      <c r="B150" s="71">
        <v>149</v>
      </c>
      <c r="C150" s="121"/>
      <c r="D150" s="71"/>
      <c r="E150" s="71"/>
      <c r="F150" s="71"/>
      <c r="G150" s="189"/>
      <c r="H150" s="272"/>
      <c r="I150" s="271">
        <v>200</v>
      </c>
      <c r="J150" s="271">
        <f t="shared" si="2"/>
        <v>200</v>
      </c>
    </row>
    <row r="151" spans="2:10" ht="26" x14ac:dyDescent="0.6">
      <c r="B151" s="71">
        <v>150</v>
      </c>
      <c r="C151" s="121"/>
      <c r="D151" s="71"/>
      <c r="E151" s="71"/>
      <c r="F151" s="71"/>
      <c r="G151" s="189"/>
      <c r="H151" s="272"/>
      <c r="I151" s="271">
        <v>200</v>
      </c>
      <c r="J151" s="271">
        <f t="shared" si="2"/>
        <v>200</v>
      </c>
    </row>
    <row r="152" spans="2:10" ht="26" x14ac:dyDescent="0.6">
      <c r="B152" s="71">
        <v>151</v>
      </c>
      <c r="C152" s="121"/>
      <c r="D152" s="71"/>
      <c r="E152" s="71"/>
      <c r="F152" s="71"/>
      <c r="G152" s="189"/>
      <c r="H152" s="272"/>
      <c r="I152" s="271">
        <v>200</v>
      </c>
      <c r="J152" s="271">
        <f t="shared" si="2"/>
        <v>200</v>
      </c>
    </row>
    <row r="153" spans="2:10" ht="26" x14ac:dyDescent="0.6">
      <c r="B153" s="71">
        <v>152</v>
      </c>
      <c r="C153" s="121"/>
      <c r="D153" s="71"/>
      <c r="E153" s="71"/>
      <c r="F153" s="71"/>
      <c r="G153" s="189"/>
      <c r="H153" s="272"/>
      <c r="I153" s="271">
        <v>200</v>
      </c>
      <c r="J153" s="271">
        <f t="shared" si="2"/>
        <v>200</v>
      </c>
    </row>
    <row r="154" spans="2:10" ht="26" x14ac:dyDescent="0.6">
      <c r="B154" s="71">
        <v>153</v>
      </c>
      <c r="C154" s="121"/>
      <c r="D154" s="71"/>
      <c r="E154" s="71"/>
      <c r="F154" s="71"/>
      <c r="G154" s="189"/>
      <c r="H154" s="272"/>
      <c r="I154" s="271">
        <v>200</v>
      </c>
      <c r="J154" s="271">
        <f t="shared" si="2"/>
        <v>200</v>
      </c>
    </row>
    <row r="155" spans="2:10" ht="26" x14ac:dyDescent="0.6">
      <c r="B155" s="71">
        <v>154</v>
      </c>
      <c r="C155" s="121"/>
      <c r="D155" s="71"/>
      <c r="E155" s="71"/>
      <c r="F155" s="71"/>
      <c r="G155" s="189"/>
      <c r="H155" s="272"/>
      <c r="I155" s="271">
        <v>200</v>
      </c>
      <c r="J155" s="271">
        <f t="shared" si="2"/>
        <v>200</v>
      </c>
    </row>
    <row r="156" spans="2:10" ht="26" x14ac:dyDescent="0.6">
      <c r="B156" s="71">
        <v>155</v>
      </c>
      <c r="C156" s="121"/>
      <c r="D156" s="71"/>
      <c r="E156" s="71"/>
      <c r="F156" s="71"/>
      <c r="G156" s="189"/>
      <c r="H156" s="272"/>
      <c r="I156" s="271">
        <v>200</v>
      </c>
      <c r="J156" s="271">
        <f t="shared" si="2"/>
        <v>200</v>
      </c>
    </row>
    <row r="157" spans="2:10" ht="26" x14ac:dyDescent="0.6">
      <c r="B157" s="71">
        <v>156</v>
      </c>
      <c r="C157" s="121"/>
      <c r="D157" s="71"/>
      <c r="E157" s="71"/>
      <c r="F157" s="71"/>
      <c r="G157" s="189"/>
      <c r="H157" s="272"/>
      <c r="I157" s="271">
        <v>200</v>
      </c>
      <c r="J157" s="271">
        <f t="shared" si="2"/>
        <v>200</v>
      </c>
    </row>
    <row r="158" spans="2:10" ht="26" x14ac:dyDescent="0.6">
      <c r="B158" s="71">
        <v>157</v>
      </c>
      <c r="C158" s="121"/>
      <c r="D158" s="71"/>
      <c r="E158" s="71"/>
      <c r="F158" s="71"/>
      <c r="G158" s="189"/>
      <c r="H158" s="272"/>
      <c r="I158" s="271">
        <v>200</v>
      </c>
      <c r="J158" s="271">
        <f t="shared" si="2"/>
        <v>200</v>
      </c>
    </row>
    <row r="159" spans="2:10" ht="26" x14ac:dyDescent="0.6">
      <c r="B159" s="71">
        <v>158</v>
      </c>
      <c r="C159" s="121"/>
      <c r="D159" s="71"/>
      <c r="E159" s="71"/>
      <c r="F159" s="71"/>
      <c r="G159" s="189"/>
      <c r="H159" s="272"/>
      <c r="I159" s="271">
        <v>200</v>
      </c>
      <c r="J159" s="271">
        <f t="shared" si="2"/>
        <v>200</v>
      </c>
    </row>
    <row r="160" spans="2:10" ht="26" x14ac:dyDescent="0.6">
      <c r="B160" s="71">
        <v>159</v>
      </c>
      <c r="C160" s="121"/>
      <c r="D160" s="71"/>
      <c r="E160" s="71"/>
      <c r="F160" s="71"/>
      <c r="G160" s="189"/>
      <c r="H160" s="272"/>
      <c r="I160" s="271">
        <v>200</v>
      </c>
      <c r="J160" s="271">
        <f t="shared" si="2"/>
        <v>200</v>
      </c>
    </row>
    <row r="161" spans="2:10" ht="26" x14ac:dyDescent="0.6">
      <c r="B161" s="71">
        <v>160</v>
      </c>
      <c r="C161" s="121"/>
      <c r="D161" s="71"/>
      <c r="E161" s="71"/>
      <c r="F161" s="71"/>
      <c r="G161" s="189"/>
      <c r="H161" s="272"/>
      <c r="I161" s="271">
        <v>200</v>
      </c>
      <c r="J161" s="271">
        <f t="shared" si="2"/>
        <v>200</v>
      </c>
    </row>
    <row r="162" spans="2:10" ht="26" x14ac:dyDescent="0.6">
      <c r="B162" s="71">
        <v>161</v>
      </c>
      <c r="C162" s="121"/>
      <c r="D162" s="71"/>
      <c r="E162" s="71"/>
      <c r="F162" s="71"/>
      <c r="G162" s="189"/>
      <c r="H162" s="272"/>
      <c r="I162" s="271">
        <v>200</v>
      </c>
      <c r="J162" s="271">
        <f t="shared" si="2"/>
        <v>200</v>
      </c>
    </row>
    <row r="163" spans="2:10" ht="26" x14ac:dyDescent="0.6">
      <c r="B163" s="71">
        <v>162</v>
      </c>
      <c r="C163" s="121"/>
      <c r="D163" s="71"/>
      <c r="E163" s="71"/>
      <c r="F163" s="71"/>
      <c r="G163" s="189"/>
      <c r="H163" s="272"/>
      <c r="I163" s="271">
        <v>200</v>
      </c>
      <c r="J163" s="271">
        <f t="shared" si="2"/>
        <v>200</v>
      </c>
    </row>
    <row r="164" spans="2:10" ht="26" x14ac:dyDescent="0.6">
      <c r="B164" s="71">
        <v>163</v>
      </c>
      <c r="C164" s="121"/>
      <c r="D164" s="71"/>
      <c r="E164" s="71"/>
      <c r="F164" s="71"/>
      <c r="G164" s="189"/>
      <c r="H164" s="272"/>
      <c r="I164" s="271">
        <v>200</v>
      </c>
      <c r="J164" s="271">
        <f t="shared" si="2"/>
        <v>200</v>
      </c>
    </row>
    <row r="165" spans="2:10" ht="26" x14ac:dyDescent="0.6">
      <c r="B165" s="71">
        <v>164</v>
      </c>
      <c r="C165" s="121"/>
      <c r="D165" s="71"/>
      <c r="E165" s="71"/>
      <c r="F165" s="71"/>
      <c r="G165" s="189"/>
      <c r="H165" s="272"/>
      <c r="I165" s="271">
        <v>200</v>
      </c>
      <c r="J165" s="271">
        <f t="shared" si="2"/>
        <v>200</v>
      </c>
    </row>
    <row r="166" spans="2:10" ht="26" x14ac:dyDescent="0.6">
      <c r="B166" s="71">
        <v>165</v>
      </c>
      <c r="C166" s="121"/>
      <c r="D166" s="71"/>
      <c r="E166" s="71"/>
      <c r="F166" s="71"/>
      <c r="G166" s="189"/>
      <c r="H166" s="272"/>
      <c r="I166" s="271">
        <v>200</v>
      </c>
      <c r="J166" s="271">
        <f t="shared" si="2"/>
        <v>200</v>
      </c>
    </row>
    <row r="167" spans="2:10" ht="26" x14ac:dyDescent="0.6">
      <c r="B167" s="71">
        <v>166</v>
      </c>
      <c r="C167" s="121"/>
      <c r="D167" s="71"/>
      <c r="E167" s="71"/>
      <c r="F167" s="71"/>
      <c r="G167" s="189"/>
      <c r="H167" s="272"/>
      <c r="I167" s="271">
        <v>200</v>
      </c>
      <c r="J167" s="271">
        <f t="shared" si="2"/>
        <v>200</v>
      </c>
    </row>
    <row r="168" spans="2:10" ht="26" x14ac:dyDescent="0.6">
      <c r="B168" s="71">
        <v>167</v>
      </c>
      <c r="C168" s="121"/>
      <c r="D168" s="71"/>
      <c r="E168" s="71"/>
      <c r="F168" s="71"/>
      <c r="G168" s="189"/>
      <c r="H168" s="272"/>
      <c r="I168" s="271">
        <v>200</v>
      </c>
      <c r="J168" s="271">
        <f t="shared" si="2"/>
        <v>200</v>
      </c>
    </row>
    <row r="169" spans="2:10" ht="26" x14ac:dyDescent="0.6">
      <c r="B169" s="71">
        <v>168</v>
      </c>
      <c r="C169" s="121"/>
      <c r="D169" s="71"/>
      <c r="E169" s="71"/>
      <c r="F169" s="71"/>
      <c r="G169" s="189"/>
      <c r="H169" s="272"/>
      <c r="I169" s="271">
        <v>200</v>
      </c>
      <c r="J169" s="271">
        <f t="shared" si="2"/>
        <v>200</v>
      </c>
    </row>
    <row r="170" spans="2:10" ht="26" x14ac:dyDescent="0.6">
      <c r="B170" s="71">
        <v>169</v>
      </c>
      <c r="C170" s="121"/>
      <c r="D170" s="71"/>
      <c r="E170" s="71"/>
      <c r="F170" s="71"/>
      <c r="G170" s="189"/>
      <c r="H170" s="272"/>
      <c r="I170" s="271">
        <v>200</v>
      </c>
      <c r="J170" s="271">
        <f t="shared" si="2"/>
        <v>200</v>
      </c>
    </row>
    <row r="171" spans="2:10" ht="26" x14ac:dyDescent="0.6">
      <c r="B171" s="71">
        <v>170</v>
      </c>
      <c r="C171" s="121"/>
      <c r="D171" s="71"/>
      <c r="E171" s="71"/>
      <c r="F171" s="71"/>
      <c r="G171" s="189"/>
      <c r="H171" s="272"/>
      <c r="I171" s="271">
        <v>200</v>
      </c>
      <c r="J171" s="271">
        <f t="shared" si="2"/>
        <v>200</v>
      </c>
    </row>
    <row r="172" spans="2:10" ht="26" x14ac:dyDescent="0.6">
      <c r="B172" s="71">
        <v>171</v>
      </c>
      <c r="C172" s="121"/>
      <c r="D172" s="71"/>
      <c r="E172" s="71"/>
      <c r="F172" s="71"/>
      <c r="G172" s="189"/>
      <c r="H172" s="272"/>
      <c r="I172" s="271">
        <v>200</v>
      </c>
      <c r="J172" s="271">
        <f t="shared" si="2"/>
        <v>200</v>
      </c>
    </row>
    <row r="173" spans="2:10" ht="26" x14ac:dyDescent="0.6">
      <c r="B173" s="71">
        <v>172</v>
      </c>
      <c r="C173" s="121"/>
      <c r="D173" s="71"/>
      <c r="E173" s="71"/>
      <c r="F173" s="71"/>
      <c r="G173" s="189"/>
      <c r="H173" s="272"/>
      <c r="I173" s="271">
        <v>200</v>
      </c>
      <c r="J173" s="271">
        <f t="shared" si="2"/>
        <v>200</v>
      </c>
    </row>
    <row r="174" spans="2:10" ht="26" x14ac:dyDescent="0.6">
      <c r="B174" s="71">
        <v>173</v>
      </c>
      <c r="C174" s="121"/>
      <c r="D174" s="71"/>
      <c r="E174" s="71"/>
      <c r="F174" s="71"/>
      <c r="G174" s="189"/>
      <c r="H174" s="272"/>
      <c r="I174" s="271">
        <v>200</v>
      </c>
      <c r="J174" s="271">
        <f t="shared" si="2"/>
        <v>200</v>
      </c>
    </row>
    <row r="175" spans="2:10" ht="26" x14ac:dyDescent="0.6">
      <c r="B175" s="71">
        <v>174</v>
      </c>
      <c r="C175" s="121"/>
      <c r="D175" s="71"/>
      <c r="E175" s="71"/>
      <c r="F175" s="71"/>
      <c r="G175" s="189"/>
      <c r="H175" s="272"/>
      <c r="I175" s="271">
        <v>200</v>
      </c>
      <c r="J175" s="271">
        <f t="shared" si="2"/>
        <v>200</v>
      </c>
    </row>
    <row r="176" spans="2:10" ht="26" x14ac:dyDescent="0.6">
      <c r="B176" s="71">
        <v>175</v>
      </c>
      <c r="C176" s="121"/>
      <c r="D176" s="71"/>
      <c r="E176" s="71"/>
      <c r="F176" s="71"/>
      <c r="G176" s="189"/>
      <c r="H176" s="272"/>
      <c r="I176" s="271">
        <v>200</v>
      </c>
      <c r="J176" s="271">
        <f t="shared" si="2"/>
        <v>200</v>
      </c>
    </row>
    <row r="177" spans="2:10" ht="26" x14ac:dyDescent="0.6">
      <c r="B177" s="71">
        <v>176</v>
      </c>
      <c r="C177" s="121"/>
      <c r="D177" s="71"/>
      <c r="E177" s="71"/>
      <c r="F177" s="71"/>
      <c r="G177" s="189"/>
      <c r="H177" s="272"/>
      <c r="I177" s="271">
        <v>200</v>
      </c>
      <c r="J177" s="271">
        <f t="shared" si="2"/>
        <v>200</v>
      </c>
    </row>
    <row r="178" spans="2:10" ht="26" x14ac:dyDescent="0.6">
      <c r="B178" s="71">
        <v>177</v>
      </c>
      <c r="C178" s="121"/>
      <c r="D178" s="71"/>
      <c r="E178" s="71"/>
      <c r="F178" s="71"/>
      <c r="G178" s="189"/>
      <c r="H178" s="272"/>
      <c r="I178" s="271">
        <v>200</v>
      </c>
      <c r="J178" s="271">
        <f t="shared" si="2"/>
        <v>200</v>
      </c>
    </row>
    <row r="179" spans="2:10" ht="26" x14ac:dyDescent="0.6">
      <c r="B179" s="71">
        <v>178</v>
      </c>
      <c r="C179" s="121"/>
      <c r="D179" s="71"/>
      <c r="E179" s="71"/>
      <c r="F179" s="71"/>
      <c r="G179" s="189"/>
      <c r="H179" s="272"/>
      <c r="I179" s="271">
        <v>200</v>
      </c>
      <c r="J179" s="271">
        <f t="shared" si="2"/>
        <v>200</v>
      </c>
    </row>
    <row r="180" spans="2:10" ht="26" x14ac:dyDescent="0.6">
      <c r="B180" s="71">
        <v>179</v>
      </c>
      <c r="C180" s="121"/>
      <c r="D180" s="71"/>
      <c r="E180" s="71"/>
      <c r="F180" s="71"/>
      <c r="G180" s="189"/>
      <c r="H180" s="272"/>
      <c r="I180" s="271">
        <v>200</v>
      </c>
      <c r="J180" s="271">
        <f t="shared" si="2"/>
        <v>200</v>
      </c>
    </row>
    <row r="181" spans="2:10" ht="26" x14ac:dyDescent="0.6">
      <c r="B181" s="71">
        <v>180</v>
      </c>
      <c r="C181" s="121"/>
      <c r="D181" s="71"/>
      <c r="E181" s="71"/>
      <c r="F181" s="71"/>
      <c r="G181" s="189"/>
      <c r="H181" s="272"/>
      <c r="I181" s="271">
        <v>200</v>
      </c>
      <c r="J181" s="271">
        <f t="shared" si="2"/>
        <v>200</v>
      </c>
    </row>
    <row r="182" spans="2:10" ht="26" x14ac:dyDescent="0.6">
      <c r="B182" s="71">
        <v>181</v>
      </c>
      <c r="C182" s="121"/>
      <c r="D182" s="71"/>
      <c r="E182" s="71"/>
      <c r="F182" s="71"/>
      <c r="G182" s="189"/>
      <c r="H182" s="272"/>
      <c r="I182" s="271">
        <v>200</v>
      </c>
      <c r="J182" s="271">
        <f t="shared" si="2"/>
        <v>200</v>
      </c>
    </row>
    <row r="183" spans="2:10" ht="26" x14ac:dyDescent="0.6">
      <c r="B183" s="71">
        <v>182</v>
      </c>
      <c r="C183" s="121"/>
      <c r="D183" s="71"/>
      <c r="E183" s="71"/>
      <c r="F183" s="71"/>
      <c r="G183" s="189"/>
      <c r="H183" s="272"/>
      <c r="I183" s="271">
        <v>200</v>
      </c>
      <c r="J183" s="271">
        <f t="shared" si="2"/>
        <v>200</v>
      </c>
    </row>
    <row r="184" spans="2:10" ht="26" x14ac:dyDescent="0.6">
      <c r="B184" s="71">
        <v>183</v>
      </c>
      <c r="C184" s="121"/>
      <c r="D184" s="71"/>
      <c r="E184" s="71"/>
      <c r="F184" s="71"/>
      <c r="G184" s="189"/>
      <c r="H184" s="272"/>
      <c r="I184" s="271">
        <v>200</v>
      </c>
      <c r="J184" s="271">
        <f t="shared" si="2"/>
        <v>200</v>
      </c>
    </row>
    <row r="185" spans="2:10" ht="26" x14ac:dyDescent="0.6">
      <c r="B185" s="71">
        <v>184</v>
      </c>
      <c r="C185" s="121"/>
      <c r="D185" s="71"/>
      <c r="E185" s="71"/>
      <c r="F185" s="71"/>
      <c r="G185" s="189"/>
      <c r="H185" s="272"/>
      <c r="I185" s="271">
        <v>200</v>
      </c>
      <c r="J185" s="271">
        <f t="shared" si="2"/>
        <v>200</v>
      </c>
    </row>
    <row r="186" spans="2:10" ht="26" x14ac:dyDescent="0.6">
      <c r="B186" s="71">
        <v>185</v>
      </c>
      <c r="C186" s="121"/>
      <c r="D186" s="71"/>
      <c r="E186" s="71"/>
      <c r="F186" s="71"/>
      <c r="G186" s="189"/>
      <c r="H186" s="272"/>
      <c r="I186" s="271">
        <v>200</v>
      </c>
      <c r="J186" s="271">
        <f t="shared" si="2"/>
        <v>200</v>
      </c>
    </row>
    <row r="187" spans="2:10" ht="26" x14ac:dyDescent="0.6">
      <c r="B187" s="71">
        <v>186</v>
      </c>
      <c r="C187" s="121"/>
      <c r="D187" s="71"/>
      <c r="E187" s="71"/>
      <c r="F187" s="71"/>
      <c r="G187" s="189"/>
      <c r="H187" s="272"/>
      <c r="I187" s="271">
        <v>200</v>
      </c>
      <c r="J187" s="271">
        <f t="shared" si="2"/>
        <v>200</v>
      </c>
    </row>
    <row r="188" spans="2:10" ht="26" x14ac:dyDescent="0.6">
      <c r="B188" s="71">
        <v>187</v>
      </c>
      <c r="C188" s="121"/>
      <c r="D188" s="71"/>
      <c r="E188" s="71"/>
      <c r="F188" s="71"/>
      <c r="G188" s="189"/>
      <c r="H188" s="272"/>
      <c r="I188" s="271">
        <v>200</v>
      </c>
      <c r="J188" s="271">
        <f t="shared" si="2"/>
        <v>200</v>
      </c>
    </row>
    <row r="189" spans="2:10" ht="26" x14ac:dyDescent="0.6">
      <c r="B189" s="71">
        <v>188</v>
      </c>
      <c r="C189" s="121"/>
      <c r="D189" s="71"/>
      <c r="E189" s="71"/>
      <c r="F189" s="71"/>
      <c r="G189" s="189"/>
      <c r="H189" s="272"/>
      <c r="I189" s="271">
        <v>200</v>
      </c>
      <c r="J189" s="271">
        <f t="shared" si="2"/>
        <v>200</v>
      </c>
    </row>
    <row r="190" spans="2:10" ht="26" x14ac:dyDescent="0.6">
      <c r="B190" s="71">
        <v>189</v>
      </c>
      <c r="C190" s="121"/>
      <c r="D190" s="71"/>
      <c r="E190" s="71"/>
      <c r="F190" s="71"/>
      <c r="G190" s="189"/>
      <c r="H190" s="272"/>
      <c r="I190" s="271">
        <v>200</v>
      </c>
      <c r="J190" s="271">
        <f t="shared" si="2"/>
        <v>200</v>
      </c>
    </row>
    <row r="191" spans="2:10" ht="26" x14ac:dyDescent="0.6">
      <c r="B191" s="71">
        <v>190</v>
      </c>
      <c r="C191" s="121"/>
      <c r="D191" s="71"/>
      <c r="E191" s="71"/>
      <c r="F191" s="71"/>
      <c r="G191" s="189"/>
      <c r="H191" s="272"/>
      <c r="I191" s="271">
        <v>200</v>
      </c>
      <c r="J191" s="271">
        <f t="shared" si="2"/>
        <v>200</v>
      </c>
    </row>
    <row r="192" spans="2:10" ht="26" x14ac:dyDescent="0.6">
      <c r="B192" s="71">
        <v>191</v>
      </c>
      <c r="C192" s="121"/>
      <c r="D192" s="71"/>
      <c r="E192" s="71"/>
      <c r="F192" s="71"/>
      <c r="G192" s="189"/>
      <c r="H192" s="272"/>
      <c r="I192" s="271">
        <v>200</v>
      </c>
      <c r="J192" s="271">
        <f t="shared" si="2"/>
        <v>200</v>
      </c>
    </row>
    <row r="193" spans="2:10" ht="26" x14ac:dyDescent="0.6">
      <c r="B193" s="71">
        <v>192</v>
      </c>
      <c r="C193" s="121"/>
      <c r="D193" s="71"/>
      <c r="E193" s="71"/>
      <c r="F193" s="71"/>
      <c r="G193" s="189"/>
      <c r="H193" s="272"/>
      <c r="I193" s="271">
        <v>200</v>
      </c>
      <c r="J193" s="271">
        <f t="shared" si="2"/>
        <v>200</v>
      </c>
    </row>
    <row r="194" spans="2:10" ht="26" x14ac:dyDescent="0.6">
      <c r="B194" s="71">
        <v>193</v>
      </c>
      <c r="C194" s="121"/>
      <c r="D194" s="71"/>
      <c r="E194" s="71"/>
      <c r="F194" s="71"/>
      <c r="G194" s="189"/>
      <c r="H194" s="272"/>
      <c r="I194" s="271">
        <v>200</v>
      </c>
      <c r="J194" s="271">
        <f t="shared" si="2"/>
        <v>200</v>
      </c>
    </row>
    <row r="195" spans="2:10" ht="26" x14ac:dyDescent="0.6">
      <c r="B195" s="71">
        <v>194</v>
      </c>
      <c r="C195" s="121"/>
      <c r="D195" s="71"/>
      <c r="E195" s="71"/>
      <c r="F195" s="71"/>
      <c r="G195" s="189"/>
      <c r="H195" s="272"/>
      <c r="I195" s="271">
        <v>200</v>
      </c>
      <c r="J195" s="271">
        <f t="shared" si="2"/>
        <v>200</v>
      </c>
    </row>
    <row r="196" spans="2:10" ht="26" x14ac:dyDescent="0.6">
      <c r="B196" s="71">
        <v>195</v>
      </c>
      <c r="C196" s="121"/>
      <c r="D196" s="71"/>
      <c r="E196" s="71"/>
      <c r="F196" s="71"/>
      <c r="G196" s="189"/>
      <c r="H196" s="272"/>
      <c r="I196" s="271">
        <v>200</v>
      </c>
      <c r="J196" s="271">
        <f t="shared" si="2"/>
        <v>200</v>
      </c>
    </row>
    <row r="197" spans="2:10" ht="26" x14ac:dyDescent="0.6">
      <c r="B197" s="71">
        <v>196</v>
      </c>
      <c r="C197" s="121"/>
      <c r="D197" s="71"/>
      <c r="E197" s="71"/>
      <c r="F197" s="71"/>
      <c r="G197" s="189"/>
      <c r="H197" s="272"/>
      <c r="I197" s="271">
        <v>200</v>
      </c>
      <c r="J197" s="271">
        <f t="shared" si="2"/>
        <v>200</v>
      </c>
    </row>
    <row r="198" spans="2:10" ht="26" x14ac:dyDescent="0.6">
      <c r="B198" s="71">
        <v>197</v>
      </c>
      <c r="C198" s="121"/>
      <c r="D198" s="71"/>
      <c r="E198" s="71"/>
      <c r="F198" s="71"/>
      <c r="G198" s="189"/>
      <c r="H198" s="272"/>
      <c r="I198" s="271">
        <v>200</v>
      </c>
      <c r="J198" s="271">
        <f t="shared" si="2"/>
        <v>200</v>
      </c>
    </row>
    <row r="199" spans="2:10" ht="26" x14ac:dyDescent="0.6">
      <c r="B199" s="71">
        <v>198</v>
      </c>
      <c r="C199" s="121"/>
      <c r="D199" s="71"/>
      <c r="E199" s="71"/>
      <c r="F199" s="71"/>
      <c r="G199" s="189"/>
      <c r="H199" s="272"/>
      <c r="I199" s="271">
        <v>200</v>
      </c>
      <c r="J199" s="271">
        <f t="shared" ref="J199:J217" si="3">IF(I199="","",I199)</f>
        <v>200</v>
      </c>
    </row>
    <row r="200" spans="2:10" ht="26" x14ac:dyDescent="0.6">
      <c r="B200" s="71">
        <v>199</v>
      </c>
      <c r="C200" s="121"/>
      <c r="D200" s="71"/>
      <c r="E200" s="71"/>
      <c r="F200" s="71"/>
      <c r="G200" s="189"/>
      <c r="H200" s="272"/>
      <c r="I200" s="271">
        <v>200</v>
      </c>
      <c r="J200" s="271">
        <f t="shared" si="3"/>
        <v>200</v>
      </c>
    </row>
    <row r="201" spans="2:10" ht="26" x14ac:dyDescent="0.6">
      <c r="B201" s="71">
        <v>200</v>
      </c>
      <c r="C201" s="121"/>
      <c r="D201" s="71"/>
      <c r="E201" s="71"/>
      <c r="F201" s="71"/>
      <c r="G201" s="189"/>
      <c r="H201" s="272"/>
      <c r="I201" s="271">
        <v>200</v>
      </c>
      <c r="J201" s="271">
        <f t="shared" si="3"/>
        <v>200</v>
      </c>
    </row>
    <row r="202" spans="2:10" ht="26" x14ac:dyDescent="0.6">
      <c r="B202" s="71">
        <v>201</v>
      </c>
      <c r="C202" s="121"/>
      <c r="D202" s="71"/>
      <c r="E202" s="71"/>
      <c r="F202" s="71"/>
      <c r="G202" s="189"/>
      <c r="H202" s="272"/>
      <c r="I202" s="271">
        <v>200</v>
      </c>
      <c r="J202" s="271">
        <f t="shared" si="3"/>
        <v>200</v>
      </c>
    </row>
    <row r="203" spans="2:10" ht="26" x14ac:dyDescent="0.6">
      <c r="B203" s="71">
        <v>202</v>
      </c>
      <c r="C203" s="121"/>
      <c r="D203" s="71"/>
      <c r="E203" s="71"/>
      <c r="F203" s="71"/>
      <c r="G203" s="189"/>
      <c r="H203" s="272"/>
      <c r="I203" s="271">
        <v>200</v>
      </c>
      <c r="J203" s="271">
        <f t="shared" si="3"/>
        <v>200</v>
      </c>
    </row>
    <row r="204" spans="2:10" ht="26" x14ac:dyDescent="0.6">
      <c r="B204" s="71">
        <v>203</v>
      </c>
      <c r="C204" s="121"/>
      <c r="D204" s="71"/>
      <c r="E204" s="71"/>
      <c r="F204" s="71"/>
      <c r="G204" s="189"/>
      <c r="H204" s="272"/>
      <c r="I204" s="271">
        <v>200</v>
      </c>
      <c r="J204" s="271">
        <f t="shared" si="3"/>
        <v>200</v>
      </c>
    </row>
    <row r="205" spans="2:10" ht="26" x14ac:dyDescent="0.6">
      <c r="B205" s="71">
        <v>204</v>
      </c>
      <c r="C205" s="121"/>
      <c r="D205" s="71"/>
      <c r="E205" s="71"/>
      <c r="F205" s="71"/>
      <c r="G205" s="189"/>
      <c r="H205" s="272"/>
      <c r="I205" s="271">
        <v>200</v>
      </c>
      <c r="J205" s="271">
        <f t="shared" si="3"/>
        <v>200</v>
      </c>
    </row>
    <row r="206" spans="2:10" ht="26" x14ac:dyDescent="0.6">
      <c r="B206" s="71">
        <v>205</v>
      </c>
      <c r="C206" s="121"/>
      <c r="D206" s="71"/>
      <c r="E206" s="71"/>
      <c r="F206" s="71"/>
      <c r="G206" s="189"/>
      <c r="H206" s="272"/>
      <c r="I206" s="271">
        <v>200</v>
      </c>
      <c r="J206" s="271">
        <f t="shared" si="3"/>
        <v>200</v>
      </c>
    </row>
    <row r="207" spans="2:10" ht="26" x14ac:dyDescent="0.6">
      <c r="B207" s="71">
        <v>206</v>
      </c>
      <c r="C207" s="121"/>
      <c r="D207" s="71"/>
      <c r="E207" s="71"/>
      <c r="F207" s="71"/>
      <c r="G207" s="189"/>
      <c r="H207" s="272"/>
      <c r="I207" s="271">
        <v>200</v>
      </c>
      <c r="J207" s="271">
        <f t="shared" si="3"/>
        <v>200</v>
      </c>
    </row>
    <row r="208" spans="2:10" ht="26" x14ac:dyDescent="0.6">
      <c r="B208" s="71">
        <v>207</v>
      </c>
      <c r="C208" s="121"/>
      <c r="D208" s="71"/>
      <c r="E208" s="71"/>
      <c r="F208" s="71"/>
      <c r="G208" s="189"/>
      <c r="H208" s="272"/>
      <c r="I208" s="271">
        <v>200</v>
      </c>
      <c r="J208" s="271">
        <f t="shared" si="3"/>
        <v>200</v>
      </c>
    </row>
    <row r="209" spans="2:10" ht="26" x14ac:dyDescent="0.6">
      <c r="B209" s="71">
        <v>208</v>
      </c>
      <c r="C209" s="121"/>
      <c r="D209" s="71"/>
      <c r="E209" s="71"/>
      <c r="F209" s="71"/>
      <c r="G209" s="189"/>
      <c r="H209" s="272"/>
      <c r="I209" s="271">
        <v>200</v>
      </c>
      <c r="J209" s="271">
        <f t="shared" si="3"/>
        <v>200</v>
      </c>
    </row>
    <row r="210" spans="2:10" ht="26" x14ac:dyDescent="0.6">
      <c r="B210" s="71">
        <v>209</v>
      </c>
      <c r="C210" s="121"/>
      <c r="D210" s="71"/>
      <c r="E210" s="71"/>
      <c r="F210" s="71"/>
      <c r="G210" s="189"/>
      <c r="H210" s="272"/>
      <c r="I210" s="271">
        <v>200</v>
      </c>
      <c r="J210" s="271">
        <f t="shared" si="3"/>
        <v>200</v>
      </c>
    </row>
    <row r="211" spans="2:10" ht="26" x14ac:dyDescent="0.6">
      <c r="B211" s="71">
        <v>210</v>
      </c>
      <c r="C211" s="121"/>
      <c r="D211" s="71"/>
      <c r="E211" s="71"/>
      <c r="F211" s="71"/>
      <c r="G211" s="189"/>
      <c r="H211" s="272"/>
      <c r="I211" s="271">
        <v>200</v>
      </c>
      <c r="J211" s="271">
        <f t="shared" si="3"/>
        <v>200</v>
      </c>
    </row>
    <row r="212" spans="2:10" ht="26" x14ac:dyDescent="0.6">
      <c r="B212" s="71">
        <v>211</v>
      </c>
      <c r="C212" s="121"/>
      <c r="D212" s="71"/>
      <c r="E212" s="71"/>
      <c r="F212" s="71"/>
      <c r="G212" s="189"/>
      <c r="H212" s="272"/>
      <c r="I212" s="271">
        <v>200</v>
      </c>
      <c r="J212" s="271">
        <f t="shared" si="3"/>
        <v>200</v>
      </c>
    </row>
    <row r="213" spans="2:10" ht="26" x14ac:dyDescent="0.6">
      <c r="B213" s="71">
        <v>212</v>
      </c>
      <c r="C213" s="121"/>
      <c r="D213" s="71"/>
      <c r="E213" s="71"/>
      <c r="F213" s="71"/>
      <c r="G213" s="189"/>
      <c r="H213" s="272"/>
      <c r="I213" s="271">
        <v>200</v>
      </c>
      <c r="J213" s="271">
        <f t="shared" si="3"/>
        <v>200</v>
      </c>
    </row>
    <row r="214" spans="2:10" ht="26" x14ac:dyDescent="0.6">
      <c r="B214" s="71">
        <v>213</v>
      </c>
      <c r="C214" s="121"/>
      <c r="D214" s="71"/>
      <c r="E214" s="71"/>
      <c r="F214" s="71"/>
      <c r="G214" s="189"/>
      <c r="H214" s="272"/>
      <c r="I214" s="271">
        <v>200</v>
      </c>
      <c r="J214" s="271">
        <f t="shared" si="3"/>
        <v>200</v>
      </c>
    </row>
    <row r="215" spans="2:10" ht="26" x14ac:dyDescent="0.6">
      <c r="B215" s="71">
        <v>214</v>
      </c>
      <c r="C215" s="121"/>
      <c r="D215" s="71"/>
      <c r="E215" s="71"/>
      <c r="F215" s="71"/>
      <c r="G215" s="189"/>
      <c r="H215" s="272"/>
      <c r="I215" s="271">
        <v>200</v>
      </c>
      <c r="J215" s="271">
        <f t="shared" si="3"/>
        <v>200</v>
      </c>
    </row>
    <row r="216" spans="2:10" ht="26" x14ac:dyDescent="0.6">
      <c r="B216" s="71">
        <v>215</v>
      </c>
      <c r="C216" s="121"/>
      <c r="D216" s="71"/>
      <c r="E216" s="71"/>
      <c r="F216" s="71"/>
      <c r="G216" s="189"/>
      <c r="H216" s="272"/>
      <c r="I216" s="271">
        <v>200</v>
      </c>
      <c r="J216" s="271">
        <f t="shared" si="3"/>
        <v>200</v>
      </c>
    </row>
    <row r="217" spans="2:10" ht="26" x14ac:dyDescent="0.6">
      <c r="B217" s="71">
        <v>216</v>
      </c>
      <c r="C217" s="121"/>
      <c r="D217" s="71"/>
      <c r="E217" s="71"/>
      <c r="F217" s="71"/>
      <c r="G217" s="189"/>
      <c r="H217" s="272"/>
      <c r="I217" s="271">
        <v>200</v>
      </c>
      <c r="J217" s="271">
        <f t="shared" si="3"/>
        <v>200</v>
      </c>
    </row>
  </sheetData>
  <mergeCells count="1">
    <mergeCell ref="B1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13</vt:i4>
      </vt:variant>
    </vt:vector>
  </HeadingPairs>
  <TitlesOfParts>
    <vt:vector size="13" baseType="lpstr">
      <vt:lpstr>التامين الصحى</vt:lpstr>
      <vt:lpstr>بنتكام</vt:lpstr>
      <vt:lpstr>فحوصات الاشاعات </vt:lpstr>
      <vt:lpstr>عدسات</vt:lpstr>
      <vt:lpstr>كشوفات</vt:lpstr>
      <vt:lpstr>مسح العدسه</vt:lpstr>
      <vt:lpstr>ارجون</vt:lpstr>
      <vt:lpstr>احصائيه</vt:lpstr>
      <vt:lpstr>كشف فري</vt:lpstr>
      <vt:lpstr>ورقة1</vt:lpstr>
      <vt:lpstr>اشاعات</vt:lpstr>
      <vt:lpstr>عمليات</vt:lpstr>
      <vt:lpstr>كشف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 2</dc:creator>
  <cp:lastModifiedBy>Osama Elhefnawy</cp:lastModifiedBy>
  <dcterms:created xsi:type="dcterms:W3CDTF">2021-01-01T19:48:48Z</dcterms:created>
  <dcterms:modified xsi:type="dcterms:W3CDTF">2026-08-20T12:23:27Z</dcterms:modified>
</cp:coreProperties>
</file>